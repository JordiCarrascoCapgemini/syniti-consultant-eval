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ocumenttasks/documenttask1.xml" ContentType="application/vnd.ms-excel.documenttasks+xml"/>
  <Override PartName="/xl/tables/table2.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4.xml" ContentType="application/vnd.openxmlformats-officedocument.drawing+xml"/>
  <Override PartName="/xl/tables/table5.xml" ContentType="application/vnd.openxmlformats-officedocument.spreadsheetml.table+xml"/>
  <Override PartName="/xl/slicers/slicer1.xml" ContentType="application/vnd.ms-excel.slicer+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python.xml" ContentType="application/vnd.ms-excel.pyth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5" codeName="{00000000-0000-0000-0000-000000000000}"/>
  <workbookPr codeName="ThisWorkbook" hidePivotFieldList="1"/>
  <mc:AlternateContent xmlns:mc="http://schemas.openxmlformats.org/markup-compatibility/2006">
    <mc:Choice Requires="x15">
      <x15ac:absPath xmlns:x15ac="http://schemas.microsoft.com/office/spreadsheetml/2010/11/ac" url="https://boaweb.sharepoint.com/sites/EMEADQPractice-000.DisciplineLT/Shared Documents/000. Discipline LT/Team and People/Competency Assessments/"/>
    </mc:Choice>
  </mc:AlternateContent>
  <xr:revisionPtr revIDLastSave="3174" documentId="8_{4F18727F-E09B-4218-AFAC-0B928E1C0462}" xr6:coauthVersionLast="47" xr6:coauthVersionMax="47" xr10:uidLastSave="{05520505-0515-3949-B955-6344FB0DB02D}"/>
  <bookViews>
    <workbookView xWindow="0" yWindow="500" windowWidth="51200" windowHeight="27200" firstSheet="2" activeTab="2" xr2:uid="{E983D6C0-2CB6-294B-B643-E4B73D655EEB}"/>
  </bookViews>
  <sheets>
    <sheet name="Info" sheetId="27" state="hidden" r:id="rId1"/>
    <sheet name="SUMMARY - Competency Matrix" sheetId="24" r:id="rId2"/>
    <sheet name="RATED - Competency Matrix " sheetId="19" r:id="rId3"/>
    <sheet name="WEIGHTED - Competency Matrix" sheetId="26" state="hidden" r:id="rId4"/>
    <sheet name="REF - Team Master Data" sheetId="7" state="hidden" r:id="rId5"/>
    <sheet name="TO BE REMOVED - RoleMapping" sheetId="8" state="hidden" r:id="rId6"/>
    <sheet name="REF - Compencies Master Data" sheetId="5" r:id="rId7"/>
    <sheet name="Weighted" sheetId="20" state="hidden" r:id="rId8"/>
    <sheet name="Model" sheetId="23" state="hidden" r:id="rId9"/>
  </sheets>
  <definedNames>
    <definedName name="_xlcn.WorksheetConnection_WIPCompetencyMatrixjose.xlsmModel" hidden="1">Model[]</definedName>
    <definedName name="_xleta.LEFT" hidden="1" xlm="1">#NAME?</definedName>
    <definedName name="_xlpm.alpha" hidden="1" xlm="1">#NAME?</definedName>
    <definedName name="_xlpm.beta" hidden="1" xlm="1">#NAME?</definedName>
    <definedName name="_xlpm.cLevel" hidden="1" xlm="1">#NAME?</definedName>
    <definedName name="_xlpm.codeList" hidden="1" xlm="1">#NAME?</definedName>
    <definedName name="_xlpm.colIndex" hidden="1" xlm="1">#NAME?</definedName>
    <definedName name="_xlpm.colOffset" hidden="1" xlm="1">#NAME?</definedName>
    <definedName name="_xlpm.comp" hidden="1" xlm="1">#NAME?</definedName>
    <definedName name="_xlpm.competency_ref" hidden="1" xlm="1">#NAME?</definedName>
    <definedName name="_xlpm.compRef" hidden="1" xlm="1">#NAME?</definedName>
    <definedName name="_xlpm.diff" hidden="1" xlm="1">#NAME?</definedName>
    <definedName name="_xlpm.expected" hidden="1" xlm="1">#NAME?</definedName>
    <definedName name="_xlpm.expectedScore" hidden="1" xlm="1">#NAME?</definedName>
    <definedName name="_xlpm.headers" hidden="1" xlm="1">#NAME?</definedName>
    <definedName name="_xlpm.headersRange" hidden="1" xlm="1">#NAME?</definedName>
    <definedName name="_xlpm.isValid" hidden="1" xlm="1">#NAME?</definedName>
    <definedName name="_xlpm.level" hidden="1" xlm="1">#NAME?</definedName>
    <definedName name="_xlpm.multiplier" hidden="1" xlm="1">#NAME?</definedName>
    <definedName name="_xlpm.note" hidden="1" xlm="1">#NAME?</definedName>
    <definedName name="_xlpm.pos" hidden="1" xlm="1">#NAME?</definedName>
    <definedName name="_xlpm.raw" hidden="1" xlm="1">#NAME?</definedName>
    <definedName name="_xlpm.rawScore" hidden="1" xlm="1">#NAME?</definedName>
    <definedName name="_xlpm.ref" hidden="1" xlm="1">#NAME?</definedName>
    <definedName name="_xlpm.rowIndex" hidden="1" xlm="1">#NAME?</definedName>
    <definedName name="_xlpm.rowRefRange" hidden="1" xlm="1">#NAME?</definedName>
    <definedName name="_xlpm.rowRegular" hidden="1" xlm="1">#NAME?</definedName>
    <definedName name="_xlpm.scoreCol" hidden="1" xlm="1">#NAME?</definedName>
    <definedName name="_xlpm.valuesRange" hidden="1" xlm="1">#NAME?</definedName>
    <definedName name="_xlpm.w" hidden="1" xlm="1">#NAME?</definedName>
    <definedName name="_xlpm.weight" hidden="1" xlm="1">#NAME?</definedName>
    <definedName name="_xlpm.weighted" hidden="1" xlm="1">#NAME?</definedName>
    <definedName name="_xlpm.weightedScore" hidden="1" xlm="1">#NAME?</definedName>
    <definedName name="ExternalData_1" localSheetId="3" hidden="1">'WEIGHTED - Competency Matrix'!$A$2:$CP$64</definedName>
    <definedName name="ExternalData_2" localSheetId="8" hidden="1">Model!$A$1:$L$1361</definedName>
    <definedName name="Slicer_Competency_Area">#N/A</definedName>
    <definedName name="Slicer_DQ_Developer">#N/A</definedName>
    <definedName name="Slicer_DQ_Snr._Developer">#N/A</definedName>
    <definedName name="Slicer_Implementation_Lead">#N/A</definedName>
    <definedName name="Slicer_Solution_Architect">#N/A</definedName>
    <definedName name="Slicer_Technical_Architect">#N/A</definedName>
  </definedNames>
  <calcPr calcId="191028"/>
  <pivotCaches>
    <pivotCache cacheId="0" r:id="rId10"/>
    <pivotCache cacheId="1" r:id="rId11"/>
    <pivotCache cacheId="2" r:id="rId12"/>
    <pivotCache cacheId="3" r:id="rId13"/>
    <pivotCache cacheId="4" r:id="rId14"/>
    <pivotCache cacheId="5" r:id="rId15"/>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6"/>
        <x14:slicerCache r:id="rId17"/>
        <x14:slicerCache r:id="rId18"/>
        <x14:slicerCache r:id="rId19"/>
        <x14:slicerCache r:id="rId20"/>
        <x14:slicerCache r:id="rId21"/>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odel" name="Model" connection="WorksheetConnection_WIP - Competency Matrix- jose.xlsm!Mode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 i="19" l="1"/>
  <c r="J5" i="19"/>
  <c r="BE6" i="19"/>
  <c r="BD6" i="19" l="1"/>
  <c r="CD5" i="19"/>
  <c r="CE5" i="19"/>
  <c r="CF5" i="19"/>
  <c r="CG5" i="19"/>
  <c r="CH5" i="19"/>
  <c r="CI5" i="19"/>
  <c r="CJ5" i="19"/>
  <c r="CK5" i="19"/>
  <c r="K6" i="19" l="1"/>
  <c r="L6" i="19"/>
  <c r="M6" i="19"/>
  <c r="N6" i="19"/>
  <c r="O6" i="19"/>
  <c r="P6" i="19"/>
  <c r="Q6" i="19"/>
  <c r="R6" i="19"/>
  <c r="S6" i="19"/>
  <c r="T6" i="19"/>
  <c r="U6" i="19"/>
  <c r="V6" i="19"/>
  <c r="W6" i="19"/>
  <c r="X6" i="19"/>
  <c r="Y6" i="19"/>
  <c r="Z6" i="19"/>
  <c r="AA6" i="19"/>
  <c r="AB6" i="19"/>
  <c r="AC6" i="19"/>
  <c r="AD6" i="19"/>
  <c r="AE6" i="19"/>
  <c r="AF6" i="19"/>
  <c r="AG6" i="19"/>
  <c r="AH6" i="19"/>
  <c r="AI6" i="19"/>
  <c r="AJ6" i="19"/>
  <c r="AK6" i="19"/>
  <c r="AL6" i="19"/>
  <c r="AM6" i="19"/>
  <c r="AN6" i="19"/>
  <c r="AO6" i="19"/>
  <c r="AP6" i="19"/>
  <c r="AQ6" i="19"/>
  <c r="AR6" i="19"/>
  <c r="AS6" i="19"/>
  <c r="AT6" i="19"/>
  <c r="AU6" i="19"/>
  <c r="AV6" i="19"/>
  <c r="AW6" i="19"/>
  <c r="AX6" i="19"/>
  <c r="AY6" i="19"/>
  <c r="AZ6" i="19"/>
  <c r="BA6" i="19"/>
  <c r="BB6" i="19"/>
  <c r="BC6" i="19"/>
  <c r="BF6" i="19"/>
  <c r="BG6" i="19"/>
  <c r="BH6" i="19"/>
  <c r="BI6" i="19"/>
  <c r="BJ6" i="19"/>
  <c r="BK6" i="19"/>
  <c r="BL6" i="19"/>
  <c r="BM6" i="19"/>
  <c r="BN6" i="19"/>
  <c r="BO6" i="19"/>
  <c r="BP6" i="19"/>
  <c r="BQ6" i="19"/>
  <c r="BR6" i="19"/>
  <c r="BS6" i="19"/>
  <c r="BT6" i="19"/>
  <c r="BU6" i="19"/>
  <c r="BV6" i="19"/>
  <c r="BW6" i="19"/>
  <c r="BX6" i="19"/>
  <c r="BY6" i="19"/>
  <c r="BZ6" i="19"/>
  <c r="CA6" i="19"/>
  <c r="CB6" i="19"/>
  <c r="CC6" i="19"/>
  <c r="CD6" i="19"/>
  <c r="CE6" i="19"/>
  <c r="CF6" i="19"/>
  <c r="CG6" i="19"/>
  <c r="CH6" i="19"/>
  <c r="CI6" i="19"/>
  <c r="CJ6" i="19"/>
  <c r="CK6" i="19"/>
  <c r="K5" i="19"/>
  <c r="L5" i="19"/>
  <c r="M5" i="19"/>
  <c r="N5" i="19"/>
  <c r="O5" i="19"/>
  <c r="P5" i="19"/>
  <c r="Q5" i="19"/>
  <c r="R5" i="19"/>
  <c r="S5" i="19"/>
  <c r="T5" i="19"/>
  <c r="U5" i="19"/>
  <c r="V5" i="19"/>
  <c r="W5" i="19"/>
  <c r="X5" i="19"/>
  <c r="Y5" i="19"/>
  <c r="Z5" i="19"/>
  <c r="AA5" i="19"/>
  <c r="AB5" i="19"/>
  <c r="AC5" i="19"/>
  <c r="AD5" i="19"/>
  <c r="AE5" i="19"/>
  <c r="AF5" i="19"/>
  <c r="AG5" i="19"/>
  <c r="AH5" i="19"/>
  <c r="AI5" i="19"/>
  <c r="AJ5" i="19"/>
  <c r="AK5" i="19"/>
  <c r="AL5" i="19"/>
  <c r="AM5" i="19"/>
  <c r="AN5" i="19"/>
  <c r="AO5" i="19"/>
  <c r="AP5" i="19"/>
  <c r="AQ5" i="19"/>
  <c r="AR5" i="19"/>
  <c r="AS5" i="19"/>
  <c r="AT5" i="19"/>
  <c r="AU5" i="19"/>
  <c r="AV5" i="19"/>
  <c r="AW5" i="19"/>
  <c r="AX5" i="19"/>
  <c r="AY5" i="19"/>
  <c r="AZ5" i="19"/>
  <c r="BA5" i="19"/>
  <c r="BB5" i="19"/>
  <c r="BC5" i="19"/>
  <c r="BD5" i="19"/>
  <c r="BE5" i="19"/>
  <c r="BF5" i="19"/>
  <c r="BG5" i="19"/>
  <c r="BH5" i="19"/>
  <c r="BI5" i="19"/>
  <c r="BJ5" i="19"/>
  <c r="BK5" i="19"/>
  <c r="BL5" i="19"/>
  <c r="BM5" i="19"/>
  <c r="BN5" i="19"/>
  <c r="BO5" i="19"/>
  <c r="BP5" i="19"/>
  <c r="BQ5" i="19"/>
  <c r="BR5" i="19"/>
  <c r="BS5" i="19"/>
  <c r="BT5" i="19"/>
  <c r="BU5" i="19"/>
  <c r="BV5" i="19"/>
  <c r="BW5" i="19"/>
  <c r="BX5" i="19"/>
  <c r="BY5" i="19"/>
  <c r="BZ5" i="19"/>
  <c r="CA5" i="19"/>
  <c r="CB5" i="19"/>
  <c r="CC5" i="19"/>
  <c r="CJ33" i="20" a="1"/>
  <c r="CJ33" i="20" s="1"/>
  <c r="CI33" i="20" a="1"/>
  <c r="CI33" i="20" s="1"/>
  <c r="CH33" i="20" a="1"/>
  <c r="CH33" i="20" s="1"/>
  <c r="CG33" i="20" a="1"/>
  <c r="CG33" i="20" s="1"/>
  <c r="CF33" i="20" a="1"/>
  <c r="CF33" i="20" s="1"/>
  <c r="CE33" i="20" a="1"/>
  <c r="CE33" i="20" s="1"/>
  <c r="CD33" i="20" a="1"/>
  <c r="CD33" i="20" s="1"/>
  <c r="CC33" i="20" a="1"/>
  <c r="CC33" i="20" s="1"/>
  <c r="CB33" i="20" a="1"/>
  <c r="CB33" i="20" s="1"/>
  <c r="CA33" i="20" a="1"/>
  <c r="CA33" i="20" s="1"/>
  <c r="BZ33" i="20" a="1"/>
  <c r="BZ33" i="20" s="1"/>
  <c r="BY33" i="20" a="1"/>
  <c r="BY33" i="20" s="1"/>
  <c r="BX33" i="20" a="1"/>
  <c r="BX33" i="20" s="1"/>
  <c r="BW33" i="20" a="1"/>
  <c r="BW33" i="20" s="1"/>
  <c r="BV33" i="20" a="1"/>
  <c r="BV33" i="20" s="1"/>
  <c r="BU33" i="20" a="1"/>
  <c r="BU33" i="20" s="1"/>
  <c r="BT33" i="20" a="1"/>
  <c r="BT33" i="20" s="1"/>
  <c r="BS33" i="20" a="1"/>
  <c r="BS33" i="20" s="1"/>
  <c r="BR33" i="20" a="1"/>
  <c r="BR33" i="20" s="1"/>
  <c r="BQ33" i="20" a="1"/>
  <c r="BQ33" i="20" s="1"/>
  <c r="BP33" i="20" a="1"/>
  <c r="BP33" i="20" s="1"/>
  <c r="BO33" i="20" a="1"/>
  <c r="BO33" i="20" s="1"/>
  <c r="BN33" i="20" a="1"/>
  <c r="BN33" i="20" s="1"/>
  <c r="BM33" i="20" a="1"/>
  <c r="BM33" i="20" s="1"/>
  <c r="BL33" i="20" a="1"/>
  <c r="BL33" i="20" s="1"/>
  <c r="BK33" i="20" a="1"/>
  <c r="BK33" i="20" s="1"/>
  <c r="BJ33" i="20" a="1"/>
  <c r="BJ33" i="20" s="1"/>
  <c r="BI33" i="20" a="1"/>
  <c r="BI33" i="20" s="1"/>
  <c r="BH33" i="20" a="1"/>
  <c r="BH33" i="20" s="1"/>
  <c r="BG33" i="20" a="1"/>
  <c r="BG33" i="20" s="1"/>
  <c r="BF33" i="20" a="1"/>
  <c r="BF33" i="20" s="1"/>
  <c r="BE33" i="20" a="1"/>
  <c r="BE33" i="20" s="1"/>
  <c r="BD33" i="20" a="1"/>
  <c r="BD33" i="20" s="1"/>
  <c r="BC33" i="20" a="1"/>
  <c r="BC33" i="20" s="1"/>
  <c r="BB33" i="20" a="1"/>
  <c r="BB33" i="20" s="1"/>
  <c r="BA33" i="20" a="1"/>
  <c r="BA33" i="20" s="1"/>
  <c r="AZ33" i="20" a="1"/>
  <c r="AZ33" i="20" s="1"/>
  <c r="AY33" i="20" a="1"/>
  <c r="AY33" i="20" s="1"/>
  <c r="AX33" i="20" a="1"/>
  <c r="AX33" i="20" s="1"/>
  <c r="AW33" i="20" a="1"/>
  <c r="AW33" i="20" s="1"/>
  <c r="AV33" i="20" a="1"/>
  <c r="AV33" i="20" s="1"/>
  <c r="AU33" i="20" a="1"/>
  <c r="AU33" i="20" s="1"/>
  <c r="AT33" i="20" a="1"/>
  <c r="AT33" i="20" s="1"/>
  <c r="AS33" i="20" a="1"/>
  <c r="AS33" i="20" s="1"/>
  <c r="AR33" i="20" a="1"/>
  <c r="AR33" i="20" s="1"/>
  <c r="AQ33" i="20" a="1"/>
  <c r="AQ33" i="20" s="1"/>
  <c r="AP33" i="20" a="1"/>
  <c r="AP33" i="20" s="1"/>
  <c r="AO33" i="20" a="1"/>
  <c r="AO33" i="20" s="1"/>
  <c r="AN33" i="20" a="1"/>
  <c r="AN33" i="20" s="1"/>
  <c r="AM33" i="20" a="1"/>
  <c r="AM33" i="20" s="1"/>
  <c r="AL33" i="20" a="1"/>
  <c r="AL33" i="20" s="1"/>
  <c r="AK33" i="20" a="1"/>
  <c r="AK33" i="20" s="1"/>
  <c r="AJ33" i="20" a="1"/>
  <c r="AJ33" i="20" s="1"/>
  <c r="AI33" i="20" a="1"/>
  <c r="AI33" i="20" s="1"/>
  <c r="AH33" i="20" a="1"/>
  <c r="AH33" i="20" s="1"/>
  <c r="AG33" i="20" a="1"/>
  <c r="AG33" i="20" s="1"/>
  <c r="AF33" i="20" a="1"/>
  <c r="AF33" i="20" s="1"/>
  <c r="AE33" i="20" a="1"/>
  <c r="AE33" i="20" s="1"/>
  <c r="AD33" i="20" a="1"/>
  <c r="AD33" i="20" s="1"/>
  <c r="AC33" i="20" a="1"/>
  <c r="AC33" i="20" s="1"/>
  <c r="AB33" i="20" a="1"/>
  <c r="AB33" i="20" s="1"/>
  <c r="AA33" i="20" a="1"/>
  <c r="AA33" i="20" s="1"/>
  <c r="Z33" i="20" a="1"/>
  <c r="Z33" i="20" s="1"/>
  <c r="Y33" i="20" a="1"/>
  <c r="Y33" i="20" s="1"/>
  <c r="X33" i="20" a="1"/>
  <c r="X33" i="20" s="1"/>
  <c r="W33" i="20" a="1"/>
  <c r="W33" i="20" s="1"/>
  <c r="V33" i="20" a="1"/>
  <c r="V33" i="20" s="1"/>
  <c r="U33" i="20" a="1"/>
  <c r="U33" i="20" s="1"/>
  <c r="T33" i="20" a="1"/>
  <c r="T33" i="20" s="1"/>
  <c r="S33" i="20" a="1"/>
  <c r="S33" i="20" s="1"/>
  <c r="R33" i="20" a="1"/>
  <c r="R33" i="20" s="1"/>
  <c r="Q33" i="20" a="1"/>
  <c r="Q33" i="20" s="1"/>
  <c r="P33" i="20" a="1"/>
  <c r="P33" i="20" s="1"/>
  <c r="O33" i="20" a="1"/>
  <c r="O33" i="20" s="1"/>
  <c r="N33" i="20" a="1"/>
  <c r="N33" i="20" s="1"/>
  <c r="M33" i="20" a="1"/>
  <c r="M33" i="20" s="1"/>
  <c r="L33" i="20" a="1"/>
  <c r="L33" i="20" s="1"/>
  <c r="K33" i="20" a="1"/>
  <c r="K33" i="20" s="1"/>
  <c r="J33" i="20" a="1"/>
  <c r="J33" i="20" s="1"/>
  <c r="I33" i="20" a="1"/>
  <c r="I33" i="20" s="1"/>
  <c r="CJ32" i="20" a="1"/>
  <c r="CJ32" i="20" s="1"/>
  <c r="CI32" i="20" a="1"/>
  <c r="CI32" i="20" s="1"/>
  <c r="CH32" i="20" a="1"/>
  <c r="CH32" i="20" s="1"/>
  <c r="CG32" i="20" a="1"/>
  <c r="CG32" i="20" s="1"/>
  <c r="CF32" i="20" a="1"/>
  <c r="CF32" i="20" s="1"/>
  <c r="CE32" i="20" a="1"/>
  <c r="CE32" i="20" s="1"/>
  <c r="CD32" i="20" a="1"/>
  <c r="CD32" i="20" s="1"/>
  <c r="CC32" i="20" a="1"/>
  <c r="CC32" i="20" s="1"/>
  <c r="CB32" i="20" a="1"/>
  <c r="CB32" i="20" s="1"/>
  <c r="CA32" i="20" a="1"/>
  <c r="CA32" i="20" s="1"/>
  <c r="BZ32" i="20" a="1"/>
  <c r="BZ32" i="20" s="1"/>
  <c r="BY32" i="20" a="1"/>
  <c r="BY32" i="20" s="1"/>
  <c r="BX32" i="20" a="1"/>
  <c r="BX32" i="20" s="1"/>
  <c r="BW32" i="20" a="1"/>
  <c r="BW32" i="20" s="1"/>
  <c r="BV32" i="20" a="1"/>
  <c r="BV32" i="20" s="1"/>
  <c r="BU32" i="20" a="1"/>
  <c r="BU32" i="20" s="1"/>
  <c r="BT32" i="20" a="1"/>
  <c r="BT32" i="20" s="1"/>
  <c r="BS32" i="20" a="1"/>
  <c r="BS32" i="20" s="1"/>
  <c r="BR32" i="20" a="1"/>
  <c r="BR32" i="20" s="1"/>
  <c r="BQ32" i="20" a="1"/>
  <c r="BQ32" i="20" s="1"/>
  <c r="BP32" i="20" a="1"/>
  <c r="BP32" i="20" s="1"/>
  <c r="BO32" i="20" a="1"/>
  <c r="BO32" i="20" s="1"/>
  <c r="BN32" i="20" a="1"/>
  <c r="BN32" i="20" s="1"/>
  <c r="BM32" i="20" a="1"/>
  <c r="BM32" i="20" s="1"/>
  <c r="BL32" i="20" a="1"/>
  <c r="BL32" i="20" s="1"/>
  <c r="BK32" i="20" a="1"/>
  <c r="BK32" i="20" s="1"/>
  <c r="BJ32" i="20" a="1"/>
  <c r="BJ32" i="20" s="1"/>
  <c r="BI32" i="20" a="1"/>
  <c r="BI32" i="20" s="1"/>
  <c r="BH32" i="20" a="1"/>
  <c r="BH32" i="20" s="1"/>
  <c r="BG32" i="20" a="1"/>
  <c r="BG32" i="20" s="1"/>
  <c r="BF32" i="20" a="1"/>
  <c r="BF32" i="20" s="1"/>
  <c r="BE32" i="20" a="1"/>
  <c r="BE32" i="20" s="1"/>
  <c r="BD32" i="20" a="1"/>
  <c r="BD32" i="20" s="1"/>
  <c r="BC32" i="20" a="1"/>
  <c r="BC32" i="20" s="1"/>
  <c r="BB32" i="20" a="1"/>
  <c r="BB32" i="20" s="1"/>
  <c r="BA32" i="20" a="1"/>
  <c r="BA32" i="20" s="1"/>
  <c r="AZ32" i="20" a="1"/>
  <c r="AZ32" i="20" s="1"/>
  <c r="AY32" i="20" a="1"/>
  <c r="AY32" i="20" s="1"/>
  <c r="AX32" i="20" a="1"/>
  <c r="AX32" i="20" s="1"/>
  <c r="AW32" i="20" a="1"/>
  <c r="AW32" i="20" s="1"/>
  <c r="AV32" i="20" a="1"/>
  <c r="AV32" i="20" s="1"/>
  <c r="AU32" i="20" a="1"/>
  <c r="AU32" i="20" s="1"/>
  <c r="AT32" i="20" a="1"/>
  <c r="AT32" i="20" s="1"/>
  <c r="AS32" i="20" a="1"/>
  <c r="AS32" i="20" s="1"/>
  <c r="AR32" i="20" a="1"/>
  <c r="AR32" i="20" s="1"/>
  <c r="AQ32" i="20" a="1"/>
  <c r="AQ32" i="20" s="1"/>
  <c r="AP32" i="20" a="1"/>
  <c r="AP32" i="20" s="1"/>
  <c r="AO32" i="20" a="1"/>
  <c r="AO32" i="20" s="1"/>
  <c r="AN32" i="20" a="1"/>
  <c r="AN32" i="20" s="1"/>
  <c r="AM32" i="20" a="1"/>
  <c r="AM32" i="20" s="1"/>
  <c r="AL32" i="20" a="1"/>
  <c r="AL32" i="20" s="1"/>
  <c r="AK32" i="20" a="1"/>
  <c r="AK32" i="20" s="1"/>
  <c r="AJ32" i="20" a="1"/>
  <c r="AJ32" i="20" s="1"/>
  <c r="AI32" i="20" a="1"/>
  <c r="AI32" i="20" s="1"/>
  <c r="AH32" i="20" a="1"/>
  <c r="AH32" i="20" s="1"/>
  <c r="AG32" i="20" a="1"/>
  <c r="AG32" i="20" s="1"/>
  <c r="AF32" i="20" a="1"/>
  <c r="AF32" i="20" s="1"/>
  <c r="AE32" i="20" a="1"/>
  <c r="AE32" i="20" s="1"/>
  <c r="AD32" i="20" a="1"/>
  <c r="AD32" i="20" s="1"/>
  <c r="AC32" i="20" a="1"/>
  <c r="AC32" i="20" s="1"/>
  <c r="AB32" i="20" a="1"/>
  <c r="AB32" i="20" s="1"/>
  <c r="AA32" i="20" a="1"/>
  <c r="AA32" i="20" s="1"/>
  <c r="Z32" i="20" a="1"/>
  <c r="Z32" i="20" s="1"/>
  <c r="Y32" i="20" a="1"/>
  <c r="Y32" i="20" s="1"/>
  <c r="X32" i="20" a="1"/>
  <c r="X32" i="20" s="1"/>
  <c r="W32" i="20" a="1"/>
  <c r="W32" i="20" s="1"/>
  <c r="V32" i="20" a="1"/>
  <c r="V32" i="20" s="1"/>
  <c r="U32" i="20" a="1"/>
  <c r="U32" i="20" s="1"/>
  <c r="T32" i="20" a="1"/>
  <c r="T32" i="20" s="1"/>
  <c r="S32" i="20" a="1"/>
  <c r="S32" i="20" s="1"/>
  <c r="R32" i="20" a="1"/>
  <c r="R32" i="20" s="1"/>
  <c r="Q32" i="20" a="1"/>
  <c r="Q32" i="20" s="1"/>
  <c r="P32" i="20" a="1"/>
  <c r="P32" i="20" s="1"/>
  <c r="O32" i="20" a="1"/>
  <c r="O32" i="20" s="1"/>
  <c r="N32" i="20" a="1"/>
  <c r="N32" i="20" s="1"/>
  <c r="M32" i="20" a="1"/>
  <c r="M32" i="20" s="1"/>
  <c r="L32" i="20" a="1"/>
  <c r="L32" i="20" s="1"/>
  <c r="K32" i="20" a="1"/>
  <c r="K32" i="20" s="1"/>
  <c r="J32" i="20" a="1"/>
  <c r="J32" i="20" s="1"/>
  <c r="I32" i="20" a="1"/>
  <c r="I32" i="20" s="1"/>
  <c r="CJ31" i="20" a="1"/>
  <c r="CJ31" i="20" s="1"/>
  <c r="CI31" i="20" a="1"/>
  <c r="CI31" i="20" s="1"/>
  <c r="CH31" i="20" a="1"/>
  <c r="CH31" i="20" s="1"/>
  <c r="CG31" i="20" a="1"/>
  <c r="CG31" i="20" s="1"/>
  <c r="CF31" i="20" a="1"/>
  <c r="CF31" i="20" s="1"/>
  <c r="CE31" i="20" a="1"/>
  <c r="CE31" i="20" s="1"/>
  <c r="CD31" i="20" a="1"/>
  <c r="CD31" i="20" s="1"/>
  <c r="CC31" i="20" a="1"/>
  <c r="CC31" i="20" s="1"/>
  <c r="CB31" i="20" a="1"/>
  <c r="CB31" i="20" s="1"/>
  <c r="CA31" i="20" a="1"/>
  <c r="CA31" i="20" s="1"/>
  <c r="BZ31" i="20" a="1"/>
  <c r="BZ31" i="20" s="1"/>
  <c r="BY31" i="20" a="1"/>
  <c r="BY31" i="20" s="1"/>
  <c r="BX31" i="20" a="1"/>
  <c r="BX31" i="20" s="1"/>
  <c r="BW31" i="20" a="1"/>
  <c r="BW31" i="20" s="1"/>
  <c r="BV31" i="20" a="1"/>
  <c r="BV31" i="20" s="1"/>
  <c r="BU31" i="20" a="1"/>
  <c r="BU31" i="20" s="1"/>
  <c r="BT31" i="20" a="1"/>
  <c r="BT31" i="20" s="1"/>
  <c r="BS31" i="20" a="1"/>
  <c r="BS31" i="20" s="1"/>
  <c r="BR31" i="20" a="1"/>
  <c r="BR31" i="20" s="1"/>
  <c r="BQ31" i="20" a="1"/>
  <c r="BQ31" i="20" s="1"/>
  <c r="BP31" i="20" a="1"/>
  <c r="BP31" i="20" s="1"/>
  <c r="BO31" i="20" a="1"/>
  <c r="BO31" i="20" s="1"/>
  <c r="BN31" i="20" a="1"/>
  <c r="BN31" i="20" s="1"/>
  <c r="BM31" i="20" a="1"/>
  <c r="BM31" i="20" s="1"/>
  <c r="BL31" i="20" a="1"/>
  <c r="BL31" i="20" s="1"/>
  <c r="BK31" i="20" a="1"/>
  <c r="BK31" i="20" s="1"/>
  <c r="BJ31" i="20" a="1"/>
  <c r="BJ31" i="20" s="1"/>
  <c r="BI31" i="20" a="1"/>
  <c r="BI31" i="20" s="1"/>
  <c r="BH31" i="20" a="1"/>
  <c r="BH31" i="20" s="1"/>
  <c r="BG31" i="20" a="1"/>
  <c r="BG31" i="20" s="1"/>
  <c r="BF31" i="20" a="1"/>
  <c r="BF31" i="20" s="1"/>
  <c r="BE31" i="20" a="1"/>
  <c r="BE31" i="20" s="1"/>
  <c r="BD31" i="20" a="1"/>
  <c r="BD31" i="20" s="1"/>
  <c r="BC31" i="20" a="1"/>
  <c r="BC31" i="20" s="1"/>
  <c r="BB31" i="20" a="1"/>
  <c r="BB31" i="20" s="1"/>
  <c r="BA31" i="20" a="1"/>
  <c r="BA31" i="20" s="1"/>
  <c r="AZ31" i="20" a="1"/>
  <c r="AZ31" i="20" s="1"/>
  <c r="AY31" i="20" a="1"/>
  <c r="AY31" i="20" s="1"/>
  <c r="AX31" i="20" a="1"/>
  <c r="AX31" i="20" s="1"/>
  <c r="AW31" i="20" a="1"/>
  <c r="AW31" i="20" s="1"/>
  <c r="AV31" i="20" a="1"/>
  <c r="AV31" i="20" s="1"/>
  <c r="AU31" i="20" a="1"/>
  <c r="AU31" i="20" s="1"/>
  <c r="AT31" i="20" a="1"/>
  <c r="AT31" i="20" s="1"/>
  <c r="AS31" i="20" a="1"/>
  <c r="AS31" i="20" s="1"/>
  <c r="AR31" i="20" a="1"/>
  <c r="AR31" i="20" s="1"/>
  <c r="AQ31" i="20" a="1"/>
  <c r="AQ31" i="20" s="1"/>
  <c r="AP31" i="20" a="1"/>
  <c r="AP31" i="20" s="1"/>
  <c r="AO31" i="20" a="1"/>
  <c r="AO31" i="20" s="1"/>
  <c r="AN31" i="20" a="1"/>
  <c r="AN31" i="20" s="1"/>
  <c r="AM31" i="20" a="1"/>
  <c r="AM31" i="20" s="1"/>
  <c r="AL31" i="20" a="1"/>
  <c r="AL31" i="20" s="1"/>
  <c r="AK31" i="20" a="1"/>
  <c r="AK31" i="20" s="1"/>
  <c r="AJ31" i="20" a="1"/>
  <c r="AJ31" i="20" s="1"/>
  <c r="AI31" i="20" a="1"/>
  <c r="AI31" i="20" s="1"/>
  <c r="AH31" i="20" a="1"/>
  <c r="AH31" i="20" s="1"/>
  <c r="AG31" i="20" a="1"/>
  <c r="AG31" i="20" s="1"/>
  <c r="AF31" i="20" a="1"/>
  <c r="AF31" i="20" s="1"/>
  <c r="AE31" i="20" a="1"/>
  <c r="AE31" i="20" s="1"/>
  <c r="AD31" i="20" a="1"/>
  <c r="AD31" i="20" s="1"/>
  <c r="AC31" i="20" a="1"/>
  <c r="AC31" i="20" s="1"/>
  <c r="AB31" i="20" a="1"/>
  <c r="AB31" i="20" s="1"/>
  <c r="AA31" i="20" a="1"/>
  <c r="AA31" i="20" s="1"/>
  <c r="Z31" i="20" a="1"/>
  <c r="Z31" i="20" s="1"/>
  <c r="Y31" i="20" a="1"/>
  <c r="Y31" i="20" s="1"/>
  <c r="X31" i="20" a="1"/>
  <c r="X31" i="20" s="1"/>
  <c r="W31" i="20" a="1"/>
  <c r="W31" i="20" s="1"/>
  <c r="V31" i="20" a="1"/>
  <c r="V31" i="20" s="1"/>
  <c r="U31" i="20" a="1"/>
  <c r="U31" i="20" s="1"/>
  <c r="T31" i="20" a="1"/>
  <c r="T31" i="20" s="1"/>
  <c r="S31" i="20" a="1"/>
  <c r="S31" i="20" s="1"/>
  <c r="R31" i="20" a="1"/>
  <c r="R31" i="20" s="1"/>
  <c r="Q31" i="20" a="1"/>
  <c r="Q31" i="20" s="1"/>
  <c r="P31" i="20" a="1"/>
  <c r="P31" i="20" s="1"/>
  <c r="O31" i="20" a="1"/>
  <c r="O31" i="20" s="1"/>
  <c r="N31" i="20" a="1"/>
  <c r="N31" i="20" s="1"/>
  <c r="M31" i="20" a="1"/>
  <c r="M31" i="20" s="1"/>
  <c r="L31" i="20" a="1"/>
  <c r="L31" i="20" s="1"/>
  <c r="K31" i="20" a="1"/>
  <c r="K31" i="20" s="1"/>
  <c r="J31" i="20" a="1"/>
  <c r="J31" i="20" s="1"/>
  <c r="I31" i="20" a="1"/>
  <c r="I31" i="20" s="1"/>
  <c r="CJ30" i="20" a="1"/>
  <c r="CJ30" i="20" s="1"/>
  <c r="CI30" i="20" a="1"/>
  <c r="CI30" i="20" s="1"/>
  <c r="CH30" i="20" a="1"/>
  <c r="CH30" i="20" s="1"/>
  <c r="CG30" i="20" a="1"/>
  <c r="CG30" i="20" s="1"/>
  <c r="CF30" i="20" a="1"/>
  <c r="CF30" i="20" s="1"/>
  <c r="CE30" i="20" a="1"/>
  <c r="CE30" i="20" s="1"/>
  <c r="CD30" i="20" a="1"/>
  <c r="CD30" i="20" s="1"/>
  <c r="CC30" i="20" a="1"/>
  <c r="CC30" i="20" s="1"/>
  <c r="CB30" i="20" a="1"/>
  <c r="CB30" i="20" s="1"/>
  <c r="CA30" i="20" a="1"/>
  <c r="CA30" i="20" s="1"/>
  <c r="BZ30" i="20" a="1"/>
  <c r="BZ30" i="20" s="1"/>
  <c r="BY30" i="20" a="1"/>
  <c r="BY30" i="20" s="1"/>
  <c r="BX30" i="20" a="1"/>
  <c r="BX30" i="20" s="1"/>
  <c r="BW30" i="20" a="1"/>
  <c r="BW30" i="20" s="1"/>
  <c r="BV30" i="20" a="1"/>
  <c r="BV30" i="20" s="1"/>
  <c r="BU30" i="20" a="1"/>
  <c r="BU30" i="20" s="1"/>
  <c r="BT30" i="20" a="1"/>
  <c r="BT30" i="20" s="1"/>
  <c r="BS30" i="20" a="1"/>
  <c r="BS30" i="20" s="1"/>
  <c r="BR30" i="20" a="1"/>
  <c r="BR30" i="20" s="1"/>
  <c r="BQ30" i="20" a="1"/>
  <c r="BQ30" i="20" s="1"/>
  <c r="BP30" i="20" a="1"/>
  <c r="BP30" i="20" s="1"/>
  <c r="BO30" i="20" a="1"/>
  <c r="BO30" i="20" s="1"/>
  <c r="BN30" i="20" a="1"/>
  <c r="BN30" i="20" s="1"/>
  <c r="BM30" i="20" a="1"/>
  <c r="BM30" i="20" s="1"/>
  <c r="BL30" i="20" a="1"/>
  <c r="BL30" i="20" s="1"/>
  <c r="BK30" i="20" a="1"/>
  <c r="BK30" i="20" s="1"/>
  <c r="BJ30" i="20" a="1"/>
  <c r="BJ30" i="20" s="1"/>
  <c r="BI30" i="20" a="1"/>
  <c r="BI30" i="20" s="1"/>
  <c r="BH30" i="20" a="1"/>
  <c r="BH30" i="20" s="1"/>
  <c r="BG30" i="20" a="1"/>
  <c r="BG30" i="20" s="1"/>
  <c r="BF30" i="20" a="1"/>
  <c r="BF30" i="20" s="1"/>
  <c r="BE30" i="20" a="1"/>
  <c r="BE30" i="20" s="1"/>
  <c r="BD30" i="20" a="1"/>
  <c r="BD30" i="20" s="1"/>
  <c r="BC30" i="20" a="1"/>
  <c r="BC30" i="20" s="1"/>
  <c r="BB30" i="20" a="1"/>
  <c r="BB30" i="20" s="1"/>
  <c r="BA30" i="20" a="1"/>
  <c r="BA30" i="20" s="1"/>
  <c r="AZ30" i="20" a="1"/>
  <c r="AZ30" i="20" s="1"/>
  <c r="AY30" i="20" a="1"/>
  <c r="AY30" i="20" s="1"/>
  <c r="AX30" i="20" a="1"/>
  <c r="AX30" i="20" s="1"/>
  <c r="AW30" i="20" a="1"/>
  <c r="AW30" i="20" s="1"/>
  <c r="AV30" i="20" a="1"/>
  <c r="AV30" i="20" s="1"/>
  <c r="AU30" i="20" a="1"/>
  <c r="AU30" i="20" s="1"/>
  <c r="AT30" i="20" a="1"/>
  <c r="AT30" i="20" s="1"/>
  <c r="AS30" i="20" a="1"/>
  <c r="AS30" i="20" s="1"/>
  <c r="AR30" i="20" a="1"/>
  <c r="AR30" i="20" s="1"/>
  <c r="AQ30" i="20" a="1"/>
  <c r="AQ30" i="20" s="1"/>
  <c r="AP30" i="20" a="1"/>
  <c r="AP30" i="20" s="1"/>
  <c r="AO30" i="20" a="1"/>
  <c r="AO30" i="20" s="1"/>
  <c r="AN30" i="20" a="1"/>
  <c r="AN30" i="20" s="1"/>
  <c r="AM30" i="20" a="1"/>
  <c r="AM30" i="20" s="1"/>
  <c r="AL30" i="20" a="1"/>
  <c r="AL30" i="20" s="1"/>
  <c r="AK30" i="20" a="1"/>
  <c r="AK30" i="20" s="1"/>
  <c r="AJ30" i="20" a="1"/>
  <c r="AJ30" i="20" s="1"/>
  <c r="AI30" i="20" a="1"/>
  <c r="AI30" i="20" s="1"/>
  <c r="AH30" i="20" a="1"/>
  <c r="AH30" i="20" s="1"/>
  <c r="AG30" i="20" a="1"/>
  <c r="AG30" i="20" s="1"/>
  <c r="AF30" i="20" a="1"/>
  <c r="AF30" i="20" s="1"/>
  <c r="AE30" i="20" a="1"/>
  <c r="AE30" i="20" s="1"/>
  <c r="AD30" i="20" a="1"/>
  <c r="AD30" i="20" s="1"/>
  <c r="AC30" i="20" a="1"/>
  <c r="AC30" i="20" s="1"/>
  <c r="AB30" i="20" a="1"/>
  <c r="AB30" i="20" s="1"/>
  <c r="AA30" i="20" a="1"/>
  <c r="AA30" i="20" s="1"/>
  <c r="Z30" i="20" a="1"/>
  <c r="Z30" i="20" s="1"/>
  <c r="Y30" i="20" a="1"/>
  <c r="Y30" i="20" s="1"/>
  <c r="X30" i="20" a="1"/>
  <c r="X30" i="20" s="1"/>
  <c r="W30" i="20" a="1"/>
  <c r="W30" i="20" s="1"/>
  <c r="V30" i="20" a="1"/>
  <c r="V30" i="20" s="1"/>
  <c r="U30" i="20" a="1"/>
  <c r="U30" i="20" s="1"/>
  <c r="T30" i="20" a="1"/>
  <c r="T30" i="20" s="1"/>
  <c r="S30" i="20" a="1"/>
  <c r="S30" i="20" s="1"/>
  <c r="R30" i="20" a="1"/>
  <c r="R30" i="20" s="1"/>
  <c r="Q30" i="20" a="1"/>
  <c r="Q30" i="20" s="1"/>
  <c r="P30" i="20" a="1"/>
  <c r="P30" i="20" s="1"/>
  <c r="O30" i="20" a="1"/>
  <c r="O30" i="20" s="1"/>
  <c r="N30" i="20" a="1"/>
  <c r="N30" i="20" s="1"/>
  <c r="M30" i="20" a="1"/>
  <c r="M30" i="20" s="1"/>
  <c r="L30" i="20" a="1"/>
  <c r="L30" i="20" s="1"/>
  <c r="K30" i="20" a="1"/>
  <c r="K30" i="20" s="1"/>
  <c r="J30" i="20" a="1"/>
  <c r="J30" i="20" s="1"/>
  <c r="I30" i="20" a="1"/>
  <c r="I30" i="20" s="1"/>
  <c r="CJ29" i="20" a="1"/>
  <c r="CJ29" i="20" s="1"/>
  <c r="CI29" i="20" a="1"/>
  <c r="CI29" i="20" s="1"/>
  <c r="CH29" i="20" a="1"/>
  <c r="CH29" i="20" s="1"/>
  <c r="CG29" i="20" a="1"/>
  <c r="CG29" i="20" s="1"/>
  <c r="CF29" i="20" a="1"/>
  <c r="CF29" i="20" s="1"/>
  <c r="CE29" i="20" a="1"/>
  <c r="CE29" i="20" s="1"/>
  <c r="CD29" i="20" a="1"/>
  <c r="CD29" i="20" s="1"/>
  <c r="CC29" i="20" a="1"/>
  <c r="CC29" i="20" s="1"/>
  <c r="CB29" i="20" a="1"/>
  <c r="CB29" i="20" s="1"/>
  <c r="CA29" i="20" a="1"/>
  <c r="CA29" i="20" s="1"/>
  <c r="BZ29" i="20" a="1"/>
  <c r="BZ29" i="20" s="1"/>
  <c r="BY29" i="20" a="1"/>
  <c r="BY29" i="20" s="1"/>
  <c r="BX29" i="20" a="1"/>
  <c r="BX29" i="20" s="1"/>
  <c r="BW29" i="20" a="1"/>
  <c r="BW29" i="20" s="1"/>
  <c r="BV29" i="20" a="1"/>
  <c r="BV29" i="20" s="1"/>
  <c r="BU29" i="20" a="1"/>
  <c r="BU29" i="20" s="1"/>
  <c r="BT29" i="20" a="1"/>
  <c r="BT29" i="20" s="1"/>
  <c r="BS29" i="20" a="1"/>
  <c r="BS29" i="20" s="1"/>
  <c r="BR29" i="20" a="1"/>
  <c r="BR29" i="20" s="1"/>
  <c r="BQ29" i="20" a="1"/>
  <c r="BQ29" i="20" s="1"/>
  <c r="BP29" i="20" a="1"/>
  <c r="BP29" i="20" s="1"/>
  <c r="BO29" i="20" a="1"/>
  <c r="BO29" i="20" s="1"/>
  <c r="BN29" i="20" a="1"/>
  <c r="BN29" i="20" s="1"/>
  <c r="BM29" i="20" a="1"/>
  <c r="BM29" i="20" s="1"/>
  <c r="BL29" i="20" a="1"/>
  <c r="BL29" i="20" s="1"/>
  <c r="BK29" i="20" a="1"/>
  <c r="BK29" i="20" s="1"/>
  <c r="BJ29" i="20" a="1"/>
  <c r="BJ29" i="20" s="1"/>
  <c r="BI29" i="20" a="1"/>
  <c r="BI29" i="20" s="1"/>
  <c r="BH29" i="20" a="1"/>
  <c r="BH29" i="20" s="1"/>
  <c r="BG29" i="20" a="1"/>
  <c r="BG29" i="20" s="1"/>
  <c r="BF29" i="20" a="1"/>
  <c r="BF29" i="20" s="1"/>
  <c r="BE29" i="20" a="1"/>
  <c r="BE29" i="20" s="1"/>
  <c r="BD29" i="20" a="1"/>
  <c r="BD29" i="20" s="1"/>
  <c r="BC29" i="20" a="1"/>
  <c r="BC29" i="20" s="1"/>
  <c r="BB29" i="20" a="1"/>
  <c r="BB29" i="20" s="1"/>
  <c r="BA29" i="20" a="1"/>
  <c r="BA29" i="20" s="1"/>
  <c r="AZ29" i="20" a="1"/>
  <c r="AZ29" i="20" s="1"/>
  <c r="AY29" i="20" a="1"/>
  <c r="AY29" i="20" s="1"/>
  <c r="AX29" i="20" a="1"/>
  <c r="AX29" i="20" s="1"/>
  <c r="AW29" i="20" a="1"/>
  <c r="AW29" i="20" s="1"/>
  <c r="AV29" i="20" a="1"/>
  <c r="AV29" i="20" s="1"/>
  <c r="AU29" i="20" a="1"/>
  <c r="AU29" i="20" s="1"/>
  <c r="AT29" i="20" a="1"/>
  <c r="AT29" i="20" s="1"/>
  <c r="AS29" i="20" a="1"/>
  <c r="AS29" i="20" s="1"/>
  <c r="AR29" i="20" a="1"/>
  <c r="AR29" i="20" s="1"/>
  <c r="AQ29" i="20" a="1"/>
  <c r="AQ29" i="20" s="1"/>
  <c r="AP29" i="20" a="1"/>
  <c r="AP29" i="20" s="1"/>
  <c r="AO29" i="20" a="1"/>
  <c r="AO29" i="20" s="1"/>
  <c r="AN29" i="20" a="1"/>
  <c r="AN29" i="20" s="1"/>
  <c r="AM29" i="20" a="1"/>
  <c r="AM29" i="20" s="1"/>
  <c r="AL29" i="20" a="1"/>
  <c r="AL29" i="20" s="1"/>
  <c r="AK29" i="20" a="1"/>
  <c r="AK29" i="20" s="1"/>
  <c r="AJ29" i="20" a="1"/>
  <c r="AJ29" i="20" s="1"/>
  <c r="AI29" i="20" a="1"/>
  <c r="AI29" i="20" s="1"/>
  <c r="AH29" i="20" a="1"/>
  <c r="AH29" i="20" s="1"/>
  <c r="AG29" i="20" a="1"/>
  <c r="AG29" i="20" s="1"/>
  <c r="AF29" i="20" a="1"/>
  <c r="AF29" i="20" s="1"/>
  <c r="AE29" i="20" a="1"/>
  <c r="AE29" i="20" s="1"/>
  <c r="AD29" i="20" a="1"/>
  <c r="AD29" i="20" s="1"/>
  <c r="AC29" i="20" a="1"/>
  <c r="AC29" i="20" s="1"/>
  <c r="AB29" i="20" a="1"/>
  <c r="AB29" i="20" s="1"/>
  <c r="AA29" i="20" a="1"/>
  <c r="AA29" i="20" s="1"/>
  <c r="Z29" i="20" a="1"/>
  <c r="Z29" i="20" s="1"/>
  <c r="Y29" i="20" a="1"/>
  <c r="Y29" i="20" s="1"/>
  <c r="X29" i="20" a="1"/>
  <c r="X29" i="20" s="1"/>
  <c r="W29" i="20" a="1"/>
  <c r="W29" i="20" s="1"/>
  <c r="V29" i="20" a="1"/>
  <c r="V29" i="20" s="1"/>
  <c r="U29" i="20" a="1"/>
  <c r="U29" i="20" s="1"/>
  <c r="T29" i="20" a="1"/>
  <c r="T29" i="20" s="1"/>
  <c r="S29" i="20" a="1"/>
  <c r="S29" i="20" s="1"/>
  <c r="R29" i="20" a="1"/>
  <c r="R29" i="20" s="1"/>
  <c r="Q29" i="20" a="1"/>
  <c r="Q29" i="20" s="1"/>
  <c r="P29" i="20" a="1"/>
  <c r="P29" i="20" s="1"/>
  <c r="O29" i="20" a="1"/>
  <c r="O29" i="20" s="1"/>
  <c r="N29" i="20" a="1"/>
  <c r="N29" i="20" s="1"/>
  <c r="M29" i="20" a="1"/>
  <c r="M29" i="20" s="1"/>
  <c r="L29" i="20" a="1"/>
  <c r="L29" i="20" s="1"/>
  <c r="I29" i="20" a="1"/>
  <c r="I29" i="20" s="1"/>
  <c r="CJ28" i="20" a="1"/>
  <c r="CJ28" i="20" s="1"/>
  <c r="CI28" i="20" a="1"/>
  <c r="CI28" i="20" s="1"/>
  <c r="CH28" i="20" a="1"/>
  <c r="CH28" i="20" s="1"/>
  <c r="CG28" i="20" a="1"/>
  <c r="CG28" i="20" s="1"/>
  <c r="CF28" i="20" a="1"/>
  <c r="CF28" i="20" s="1"/>
  <c r="CE28" i="20" a="1"/>
  <c r="CE28" i="20" s="1"/>
  <c r="CD28" i="20" a="1"/>
  <c r="CD28" i="20" s="1"/>
  <c r="CC28" i="20" a="1"/>
  <c r="CC28" i="20" s="1"/>
  <c r="CB28" i="20" a="1"/>
  <c r="CB28" i="20" s="1"/>
  <c r="CA28" i="20" a="1"/>
  <c r="CA28" i="20" s="1"/>
  <c r="BZ28" i="20" a="1"/>
  <c r="BZ28" i="20" s="1"/>
  <c r="BY28" i="20" a="1"/>
  <c r="BY28" i="20" s="1"/>
  <c r="BX28" i="20" a="1"/>
  <c r="BX28" i="20" s="1"/>
  <c r="BW28" i="20" a="1"/>
  <c r="BW28" i="20" s="1"/>
  <c r="BV28" i="20" a="1"/>
  <c r="BV28" i="20" s="1"/>
  <c r="BU28" i="20" a="1"/>
  <c r="BU28" i="20" s="1"/>
  <c r="BT28" i="20" a="1"/>
  <c r="BT28" i="20" s="1"/>
  <c r="BS28" i="20" a="1"/>
  <c r="BS28" i="20" s="1"/>
  <c r="BR28" i="20" a="1"/>
  <c r="BR28" i="20" s="1"/>
  <c r="BQ28" i="20" a="1"/>
  <c r="BQ28" i="20" s="1"/>
  <c r="BP28" i="20" a="1"/>
  <c r="BP28" i="20" s="1"/>
  <c r="BO28" i="20" a="1"/>
  <c r="BO28" i="20" s="1"/>
  <c r="BN28" i="20" a="1"/>
  <c r="BN28" i="20" s="1"/>
  <c r="BM28" i="20" a="1"/>
  <c r="BM28" i="20" s="1"/>
  <c r="BL28" i="20" a="1"/>
  <c r="BL28" i="20" s="1"/>
  <c r="BK28" i="20" a="1"/>
  <c r="BK28" i="20" s="1"/>
  <c r="BJ28" i="20" a="1"/>
  <c r="BJ28" i="20" s="1"/>
  <c r="BI28" i="20" a="1"/>
  <c r="BI28" i="20" s="1"/>
  <c r="BH28" i="20" a="1"/>
  <c r="BH28" i="20" s="1"/>
  <c r="BG28" i="20" a="1"/>
  <c r="BG28" i="20" s="1"/>
  <c r="BF28" i="20" a="1"/>
  <c r="BF28" i="20" s="1"/>
  <c r="BE28" i="20" a="1"/>
  <c r="BE28" i="20" s="1"/>
  <c r="BD28" i="20" a="1"/>
  <c r="BD28" i="20" s="1"/>
  <c r="BC28" i="20" a="1"/>
  <c r="BC28" i="20" s="1"/>
  <c r="BB28" i="20" a="1"/>
  <c r="BB28" i="20" s="1"/>
  <c r="BA28" i="20" a="1"/>
  <c r="BA28" i="20" s="1"/>
  <c r="AZ28" i="20" a="1"/>
  <c r="AZ28" i="20" s="1"/>
  <c r="AY28" i="20" a="1"/>
  <c r="AY28" i="20" s="1"/>
  <c r="AX28" i="20" a="1"/>
  <c r="AX28" i="20" s="1"/>
  <c r="AW28" i="20" a="1"/>
  <c r="AW28" i="20" s="1"/>
  <c r="AV28" i="20" a="1"/>
  <c r="AV28" i="20" s="1"/>
  <c r="AU28" i="20" a="1"/>
  <c r="AU28" i="20" s="1"/>
  <c r="AT28" i="20" a="1"/>
  <c r="AT28" i="20" s="1"/>
  <c r="AS28" i="20" a="1"/>
  <c r="AS28" i="20" s="1"/>
  <c r="AR28" i="20" a="1"/>
  <c r="AR28" i="20" s="1"/>
  <c r="AQ28" i="20" a="1"/>
  <c r="AQ28" i="20" s="1"/>
  <c r="AP28" i="20" a="1"/>
  <c r="AP28" i="20" s="1"/>
  <c r="AO28" i="20" a="1"/>
  <c r="AO28" i="20" s="1"/>
  <c r="AN28" i="20" a="1"/>
  <c r="AN28" i="20" s="1"/>
  <c r="AM28" i="20" a="1"/>
  <c r="AM28" i="20" s="1"/>
  <c r="AL28" i="20" a="1"/>
  <c r="AL28" i="20" s="1"/>
  <c r="AK28" i="20" a="1"/>
  <c r="AK28" i="20" s="1"/>
  <c r="AJ28" i="20" a="1"/>
  <c r="AJ28" i="20" s="1"/>
  <c r="AI28" i="20" a="1"/>
  <c r="AI28" i="20" s="1"/>
  <c r="AH28" i="20" a="1"/>
  <c r="AH28" i="20" s="1"/>
  <c r="AG28" i="20" a="1"/>
  <c r="AG28" i="20" s="1"/>
  <c r="AF28" i="20" a="1"/>
  <c r="AF28" i="20" s="1"/>
  <c r="AE28" i="20" a="1"/>
  <c r="AE28" i="20" s="1"/>
  <c r="AD28" i="20" a="1"/>
  <c r="AD28" i="20" s="1"/>
  <c r="AC28" i="20" a="1"/>
  <c r="AC28" i="20" s="1"/>
  <c r="AB28" i="20" a="1"/>
  <c r="AB28" i="20" s="1"/>
  <c r="AA28" i="20" a="1"/>
  <c r="AA28" i="20" s="1"/>
  <c r="Z28" i="20" a="1"/>
  <c r="Z28" i="20" s="1"/>
  <c r="Y28" i="20" a="1"/>
  <c r="Y28" i="20" s="1"/>
  <c r="X28" i="20" a="1"/>
  <c r="X28" i="20" s="1"/>
  <c r="W28" i="20" a="1"/>
  <c r="W28" i="20" s="1"/>
  <c r="V28" i="20" a="1"/>
  <c r="V28" i="20" s="1"/>
  <c r="U28" i="20" a="1"/>
  <c r="U28" i="20" s="1"/>
  <c r="T28" i="20" a="1"/>
  <c r="T28" i="20" s="1"/>
  <c r="S28" i="20" a="1"/>
  <c r="S28" i="20" s="1"/>
  <c r="R28" i="20" a="1"/>
  <c r="R28" i="20" s="1"/>
  <c r="Q28" i="20" a="1"/>
  <c r="Q28" i="20" s="1"/>
  <c r="P28" i="20" a="1"/>
  <c r="P28" i="20" s="1"/>
  <c r="O28" i="20" a="1"/>
  <c r="O28" i="20" s="1"/>
  <c r="N28" i="20" a="1"/>
  <c r="N28" i="20" s="1"/>
  <c r="M28" i="20" a="1"/>
  <c r="M28" i="20" s="1"/>
  <c r="L28" i="20" a="1"/>
  <c r="L28" i="20" s="1"/>
  <c r="K28" i="20" a="1"/>
  <c r="K28" i="20" s="1"/>
  <c r="J28" i="20" a="1"/>
  <c r="J28" i="20" s="1"/>
  <c r="I28" i="20" a="1"/>
  <c r="I28" i="20" s="1"/>
  <c r="CJ27" i="20" a="1"/>
  <c r="CJ27" i="20" s="1"/>
  <c r="CI27" i="20" a="1"/>
  <c r="CI27" i="20" s="1"/>
  <c r="CH27" i="20" a="1"/>
  <c r="CH27" i="20" s="1"/>
  <c r="CG27" i="20" a="1"/>
  <c r="CG27" i="20" s="1"/>
  <c r="CF27" i="20" a="1"/>
  <c r="CF27" i="20" s="1"/>
  <c r="CE27" i="20" a="1"/>
  <c r="CE27" i="20" s="1"/>
  <c r="CD27" i="20" a="1"/>
  <c r="CD27" i="20" s="1"/>
  <c r="CC27" i="20" a="1"/>
  <c r="CC27" i="20" s="1"/>
  <c r="CB27" i="20" a="1"/>
  <c r="CB27" i="20" s="1"/>
  <c r="CA27" i="20" a="1"/>
  <c r="CA27" i="20" s="1"/>
  <c r="BZ27" i="20" a="1"/>
  <c r="BZ27" i="20" s="1"/>
  <c r="BY27" i="20" a="1"/>
  <c r="BY27" i="20" s="1"/>
  <c r="BX27" i="20" a="1"/>
  <c r="BX27" i="20" s="1"/>
  <c r="BW27" i="20" a="1"/>
  <c r="BW27" i="20" s="1"/>
  <c r="BV27" i="20" a="1"/>
  <c r="BV27" i="20" s="1"/>
  <c r="BU27" i="20" a="1"/>
  <c r="BU27" i="20" s="1"/>
  <c r="BT27" i="20" a="1"/>
  <c r="BT27" i="20" s="1"/>
  <c r="BS27" i="20" a="1"/>
  <c r="BS27" i="20" s="1"/>
  <c r="BR27" i="20" a="1"/>
  <c r="BR27" i="20" s="1"/>
  <c r="BQ27" i="20" a="1"/>
  <c r="BQ27" i="20" s="1"/>
  <c r="BP27" i="20" a="1"/>
  <c r="BP27" i="20" s="1"/>
  <c r="BO27" i="20" a="1"/>
  <c r="BO27" i="20" s="1"/>
  <c r="BN27" i="20" a="1"/>
  <c r="BN27" i="20" s="1"/>
  <c r="BM27" i="20" a="1"/>
  <c r="BM27" i="20" s="1"/>
  <c r="BL27" i="20" a="1"/>
  <c r="BL27" i="20" s="1"/>
  <c r="BK27" i="20" a="1"/>
  <c r="BK27" i="20" s="1"/>
  <c r="BJ27" i="20" a="1"/>
  <c r="BJ27" i="20" s="1"/>
  <c r="BI27" i="20" a="1"/>
  <c r="BI27" i="20" s="1"/>
  <c r="BH27" i="20" a="1"/>
  <c r="BH27" i="20" s="1"/>
  <c r="BG27" i="20" a="1"/>
  <c r="BG27" i="20" s="1"/>
  <c r="BF27" i="20" a="1"/>
  <c r="BF27" i="20" s="1"/>
  <c r="BE27" i="20" a="1"/>
  <c r="BE27" i="20" s="1"/>
  <c r="BD27" i="20" a="1"/>
  <c r="BD27" i="20" s="1"/>
  <c r="BC27" i="20" a="1"/>
  <c r="BC27" i="20" s="1"/>
  <c r="BB27" i="20" a="1"/>
  <c r="BB27" i="20" s="1"/>
  <c r="BA27" i="20" a="1"/>
  <c r="BA27" i="20" s="1"/>
  <c r="AZ27" i="20" a="1"/>
  <c r="AZ27" i="20" s="1"/>
  <c r="AY27" i="20" a="1"/>
  <c r="AY27" i="20" s="1"/>
  <c r="AX27" i="20" a="1"/>
  <c r="AX27" i="20" s="1"/>
  <c r="AW27" i="20" a="1"/>
  <c r="AW27" i="20" s="1"/>
  <c r="AV27" i="20" a="1"/>
  <c r="AV27" i="20" s="1"/>
  <c r="AU27" i="20" a="1"/>
  <c r="AU27" i="20" s="1"/>
  <c r="AT27" i="20" a="1"/>
  <c r="AT27" i="20" s="1"/>
  <c r="AS27" i="20" a="1"/>
  <c r="AS27" i="20" s="1"/>
  <c r="AR27" i="20" a="1"/>
  <c r="AR27" i="20" s="1"/>
  <c r="AQ27" i="20" a="1"/>
  <c r="AQ27" i="20" s="1"/>
  <c r="AP27" i="20" a="1"/>
  <c r="AP27" i="20" s="1"/>
  <c r="AO27" i="20" a="1"/>
  <c r="AO27" i="20" s="1"/>
  <c r="AN27" i="20" a="1"/>
  <c r="AN27" i="20" s="1"/>
  <c r="AM27" i="20" a="1"/>
  <c r="AM27" i="20" s="1"/>
  <c r="AL27" i="20" a="1"/>
  <c r="AL27" i="20" s="1"/>
  <c r="AK27" i="20" a="1"/>
  <c r="AK27" i="20" s="1"/>
  <c r="AJ27" i="20" a="1"/>
  <c r="AJ27" i="20" s="1"/>
  <c r="AI27" i="20" a="1"/>
  <c r="AI27" i="20" s="1"/>
  <c r="AH27" i="20" a="1"/>
  <c r="AH27" i="20" s="1"/>
  <c r="AG27" i="20" a="1"/>
  <c r="AG27" i="20" s="1"/>
  <c r="AF27" i="20" a="1"/>
  <c r="AF27" i="20" s="1"/>
  <c r="AE27" i="20" a="1"/>
  <c r="AE27" i="20" s="1"/>
  <c r="AD27" i="20" a="1"/>
  <c r="AD27" i="20" s="1"/>
  <c r="AC27" i="20" a="1"/>
  <c r="AC27" i="20" s="1"/>
  <c r="AB27" i="20" a="1"/>
  <c r="AB27" i="20" s="1"/>
  <c r="AA27" i="20" a="1"/>
  <c r="AA27" i="20" s="1"/>
  <c r="Z27" i="20" a="1"/>
  <c r="Z27" i="20" s="1"/>
  <c r="Y27" i="20" a="1"/>
  <c r="Y27" i="20" s="1"/>
  <c r="X27" i="20" a="1"/>
  <c r="X27" i="20" s="1"/>
  <c r="W27" i="20" a="1"/>
  <c r="W27" i="20" s="1"/>
  <c r="V27" i="20" a="1"/>
  <c r="V27" i="20" s="1"/>
  <c r="U27" i="20" a="1"/>
  <c r="U27" i="20" s="1"/>
  <c r="T27" i="20" a="1"/>
  <c r="T27" i="20" s="1"/>
  <c r="S27" i="20" a="1"/>
  <c r="S27" i="20" s="1"/>
  <c r="R27" i="20" a="1"/>
  <c r="R27" i="20" s="1"/>
  <c r="Q27" i="20" a="1"/>
  <c r="Q27" i="20" s="1"/>
  <c r="P27" i="20" a="1"/>
  <c r="P27" i="20" s="1"/>
  <c r="O27" i="20" a="1"/>
  <c r="O27" i="20" s="1"/>
  <c r="N27" i="20" a="1"/>
  <c r="N27" i="20" s="1"/>
  <c r="M27" i="20" a="1"/>
  <c r="M27" i="20" s="1"/>
  <c r="L27" i="20" a="1"/>
  <c r="L27" i="20" s="1"/>
  <c r="K27" i="20" a="1"/>
  <c r="K27" i="20" s="1"/>
  <c r="J27" i="20" a="1"/>
  <c r="J27" i="20" s="1"/>
  <c r="I27" i="20" a="1"/>
  <c r="I27" i="20" s="1"/>
  <c r="CJ26" i="20" a="1"/>
  <c r="CJ26" i="20" s="1"/>
  <c r="CI26" i="20" a="1"/>
  <c r="CI26" i="20" s="1"/>
  <c r="CH26" i="20" a="1"/>
  <c r="CH26" i="20" s="1"/>
  <c r="CG26" i="20" a="1"/>
  <c r="CG26" i="20" s="1"/>
  <c r="CF26" i="20" a="1"/>
  <c r="CF26" i="20" s="1"/>
  <c r="CE26" i="20" a="1"/>
  <c r="CE26" i="20" s="1"/>
  <c r="CD26" i="20" a="1"/>
  <c r="CD26" i="20" s="1"/>
  <c r="CC26" i="20" a="1"/>
  <c r="CC26" i="20" s="1"/>
  <c r="CB26" i="20" a="1"/>
  <c r="CB26" i="20" s="1"/>
  <c r="CA26" i="20" a="1"/>
  <c r="CA26" i="20" s="1"/>
  <c r="BZ26" i="20" a="1"/>
  <c r="BZ26" i="20" s="1"/>
  <c r="BY26" i="20" a="1"/>
  <c r="BY26" i="20" s="1"/>
  <c r="BX26" i="20" a="1"/>
  <c r="BX26" i="20" s="1"/>
  <c r="BW26" i="20" a="1"/>
  <c r="BW26" i="20" s="1"/>
  <c r="BV26" i="20" a="1"/>
  <c r="BV26" i="20" s="1"/>
  <c r="BU26" i="20" a="1"/>
  <c r="BU26" i="20" s="1"/>
  <c r="BT26" i="20" a="1"/>
  <c r="BT26" i="20" s="1"/>
  <c r="BS26" i="20" a="1"/>
  <c r="BS26" i="20" s="1"/>
  <c r="BR26" i="20" a="1"/>
  <c r="BR26" i="20" s="1"/>
  <c r="BQ26" i="20" a="1"/>
  <c r="BQ26" i="20" s="1"/>
  <c r="BP26" i="20" a="1"/>
  <c r="BP26" i="20" s="1"/>
  <c r="BO26" i="20" a="1"/>
  <c r="BO26" i="20" s="1"/>
  <c r="BN26" i="20" a="1"/>
  <c r="BN26" i="20" s="1"/>
  <c r="BM26" i="20" a="1"/>
  <c r="BM26" i="20" s="1"/>
  <c r="BL26" i="20" a="1"/>
  <c r="BL26" i="20" s="1"/>
  <c r="BK26" i="20" a="1"/>
  <c r="BK26" i="20" s="1"/>
  <c r="BJ26" i="20" a="1"/>
  <c r="BJ26" i="20" s="1"/>
  <c r="BI26" i="20" a="1"/>
  <c r="BI26" i="20" s="1"/>
  <c r="BH26" i="20" a="1"/>
  <c r="BH26" i="20" s="1"/>
  <c r="BG26" i="20" a="1"/>
  <c r="BG26" i="20" s="1"/>
  <c r="BF26" i="20" a="1"/>
  <c r="BF26" i="20" s="1"/>
  <c r="BE26" i="20" a="1"/>
  <c r="BE26" i="20" s="1"/>
  <c r="BD26" i="20" a="1"/>
  <c r="BD26" i="20" s="1"/>
  <c r="BC26" i="20" a="1"/>
  <c r="BC26" i="20" s="1"/>
  <c r="BB26" i="20" a="1"/>
  <c r="BB26" i="20" s="1"/>
  <c r="BA26" i="20" a="1"/>
  <c r="BA26" i="20" s="1"/>
  <c r="AZ26" i="20" a="1"/>
  <c r="AZ26" i="20" s="1"/>
  <c r="AY26" i="20" a="1"/>
  <c r="AY26" i="20" s="1"/>
  <c r="AX26" i="20" a="1"/>
  <c r="AX26" i="20" s="1"/>
  <c r="AW26" i="20" a="1"/>
  <c r="AW26" i="20" s="1"/>
  <c r="AV26" i="20" a="1"/>
  <c r="AV26" i="20" s="1"/>
  <c r="AU26" i="20" a="1"/>
  <c r="AU26" i="20" s="1"/>
  <c r="AT26" i="20" a="1"/>
  <c r="AT26" i="20" s="1"/>
  <c r="AS26" i="20" a="1"/>
  <c r="AS26" i="20" s="1"/>
  <c r="AR26" i="20" a="1"/>
  <c r="AR26" i="20" s="1"/>
  <c r="AQ26" i="20" a="1"/>
  <c r="AQ26" i="20" s="1"/>
  <c r="AP26" i="20" a="1"/>
  <c r="AP26" i="20" s="1"/>
  <c r="AO26" i="20" a="1"/>
  <c r="AO26" i="20" s="1"/>
  <c r="AN26" i="20" a="1"/>
  <c r="AN26" i="20" s="1"/>
  <c r="AM26" i="20" a="1"/>
  <c r="AM26" i="20" s="1"/>
  <c r="AL26" i="20" a="1"/>
  <c r="AL26" i="20" s="1"/>
  <c r="AK26" i="20" a="1"/>
  <c r="AK26" i="20" s="1"/>
  <c r="AJ26" i="20" a="1"/>
  <c r="AJ26" i="20" s="1"/>
  <c r="AI26" i="20" a="1"/>
  <c r="AI26" i="20" s="1"/>
  <c r="AH26" i="20" a="1"/>
  <c r="AH26" i="20" s="1"/>
  <c r="AG26" i="20" a="1"/>
  <c r="AG26" i="20" s="1"/>
  <c r="AF26" i="20" a="1"/>
  <c r="AF26" i="20" s="1"/>
  <c r="AE26" i="20" a="1"/>
  <c r="AE26" i="20" s="1"/>
  <c r="AD26" i="20" a="1"/>
  <c r="AD26" i="20" s="1"/>
  <c r="AC26" i="20" a="1"/>
  <c r="AC26" i="20" s="1"/>
  <c r="AB26" i="20" a="1"/>
  <c r="AB26" i="20" s="1"/>
  <c r="AA26" i="20" a="1"/>
  <c r="AA26" i="20" s="1"/>
  <c r="Z26" i="20" a="1"/>
  <c r="Z26" i="20" s="1"/>
  <c r="Y26" i="20" a="1"/>
  <c r="Y26" i="20" s="1"/>
  <c r="X26" i="20" a="1"/>
  <c r="X26" i="20" s="1"/>
  <c r="W26" i="20" a="1"/>
  <c r="W26" i="20" s="1"/>
  <c r="V26" i="20" a="1"/>
  <c r="V26" i="20" s="1"/>
  <c r="U26" i="20" a="1"/>
  <c r="U26" i="20" s="1"/>
  <c r="T26" i="20" a="1"/>
  <c r="T26" i="20" s="1"/>
  <c r="S26" i="20" a="1"/>
  <c r="S26" i="20" s="1"/>
  <c r="R26" i="20" a="1"/>
  <c r="R26" i="20" s="1"/>
  <c r="Q26" i="20" a="1"/>
  <c r="Q26" i="20" s="1"/>
  <c r="P26" i="20" a="1"/>
  <c r="P26" i="20" s="1"/>
  <c r="O26" i="20" a="1"/>
  <c r="O26" i="20" s="1"/>
  <c r="N26" i="20" a="1"/>
  <c r="N26" i="20" s="1"/>
  <c r="K26" i="20" a="1"/>
  <c r="K26" i="20" s="1"/>
  <c r="J26" i="20" a="1"/>
  <c r="J26" i="20" s="1"/>
  <c r="I26" i="20" a="1"/>
  <c r="I26" i="20" s="1"/>
  <c r="CJ25" i="20" a="1"/>
  <c r="CJ25" i="20" s="1"/>
  <c r="CI25" i="20" a="1"/>
  <c r="CI25" i="20" s="1"/>
  <c r="CH25" i="20" a="1"/>
  <c r="CH25" i="20" s="1"/>
  <c r="CG25" i="20" a="1"/>
  <c r="CG25" i="20" s="1"/>
  <c r="CF25" i="20" a="1"/>
  <c r="CF25" i="20" s="1"/>
  <c r="CE25" i="20" a="1"/>
  <c r="CE25" i="20" s="1"/>
  <c r="CD25" i="20" a="1"/>
  <c r="CD25" i="20" s="1"/>
  <c r="CC25" i="20" a="1"/>
  <c r="CC25" i="20" s="1"/>
  <c r="CB25" i="20" a="1"/>
  <c r="CB25" i="20" s="1"/>
  <c r="CA25" i="20" a="1"/>
  <c r="CA25" i="20" s="1"/>
  <c r="BZ25" i="20" a="1"/>
  <c r="BZ25" i="20" s="1"/>
  <c r="BY25" i="20" a="1"/>
  <c r="BY25" i="20" s="1"/>
  <c r="BX25" i="20" a="1"/>
  <c r="BX25" i="20" s="1"/>
  <c r="BW25" i="20" a="1"/>
  <c r="BW25" i="20" s="1"/>
  <c r="BV25" i="20" a="1"/>
  <c r="BV25" i="20" s="1"/>
  <c r="BU25" i="20" a="1"/>
  <c r="BU25" i="20" s="1"/>
  <c r="BT25" i="20" a="1"/>
  <c r="BT25" i="20" s="1"/>
  <c r="BS25" i="20" a="1"/>
  <c r="BS25" i="20" s="1"/>
  <c r="BR25" i="20" a="1"/>
  <c r="BR25" i="20" s="1"/>
  <c r="BQ25" i="20" a="1"/>
  <c r="BQ25" i="20" s="1"/>
  <c r="BP25" i="20" a="1"/>
  <c r="BP25" i="20" s="1"/>
  <c r="BO25" i="20" a="1"/>
  <c r="BO25" i="20" s="1"/>
  <c r="BN25" i="20" a="1"/>
  <c r="BN25" i="20" s="1"/>
  <c r="BM25" i="20" a="1"/>
  <c r="BM25" i="20" s="1"/>
  <c r="BL25" i="20" a="1"/>
  <c r="BL25" i="20" s="1"/>
  <c r="BK25" i="20" a="1"/>
  <c r="BK25" i="20" s="1"/>
  <c r="BJ25" i="20" a="1"/>
  <c r="BJ25" i="20" s="1"/>
  <c r="BI25" i="20" a="1"/>
  <c r="BI25" i="20" s="1"/>
  <c r="BH25" i="20" a="1"/>
  <c r="BH25" i="20" s="1"/>
  <c r="BG25" i="20" a="1"/>
  <c r="BG25" i="20" s="1"/>
  <c r="BF25" i="20" a="1"/>
  <c r="BF25" i="20" s="1"/>
  <c r="BE25" i="20" a="1"/>
  <c r="BE25" i="20" s="1"/>
  <c r="BD25" i="20" a="1"/>
  <c r="BD25" i="20" s="1"/>
  <c r="BC25" i="20" a="1"/>
  <c r="BC25" i="20" s="1"/>
  <c r="BB25" i="20" a="1"/>
  <c r="BB25" i="20" s="1"/>
  <c r="BA25" i="20" a="1"/>
  <c r="BA25" i="20" s="1"/>
  <c r="AZ25" i="20" a="1"/>
  <c r="AZ25" i="20" s="1"/>
  <c r="AY25" i="20" a="1"/>
  <c r="AY25" i="20" s="1"/>
  <c r="AX25" i="20" a="1"/>
  <c r="AX25" i="20" s="1"/>
  <c r="AW25" i="20" a="1"/>
  <c r="AW25" i="20" s="1"/>
  <c r="AV25" i="20" a="1"/>
  <c r="AV25" i="20" s="1"/>
  <c r="AU25" i="20" a="1"/>
  <c r="AU25" i="20" s="1"/>
  <c r="AT25" i="20" a="1"/>
  <c r="AT25" i="20" s="1"/>
  <c r="AS25" i="20" a="1"/>
  <c r="AS25" i="20" s="1"/>
  <c r="AR25" i="20" a="1"/>
  <c r="AR25" i="20" s="1"/>
  <c r="AQ25" i="20" a="1"/>
  <c r="AQ25" i="20" s="1"/>
  <c r="AP25" i="20" a="1"/>
  <c r="AP25" i="20" s="1"/>
  <c r="AO25" i="20" a="1"/>
  <c r="AO25" i="20" s="1"/>
  <c r="AN25" i="20" a="1"/>
  <c r="AN25" i="20" s="1"/>
  <c r="AM25" i="20" a="1"/>
  <c r="AM25" i="20" s="1"/>
  <c r="AL25" i="20" a="1"/>
  <c r="AL25" i="20" s="1"/>
  <c r="AK25" i="20" a="1"/>
  <c r="AK25" i="20" s="1"/>
  <c r="AJ25" i="20" a="1"/>
  <c r="AJ25" i="20" s="1"/>
  <c r="AI25" i="20" a="1"/>
  <c r="AI25" i="20" s="1"/>
  <c r="AH25" i="20" a="1"/>
  <c r="AH25" i="20" s="1"/>
  <c r="AG25" i="20" a="1"/>
  <c r="AG25" i="20" s="1"/>
  <c r="AF25" i="20" a="1"/>
  <c r="AF25" i="20" s="1"/>
  <c r="AE25" i="20" a="1"/>
  <c r="AE25" i="20" s="1"/>
  <c r="AD25" i="20" a="1"/>
  <c r="AD25" i="20" s="1"/>
  <c r="AC25" i="20" a="1"/>
  <c r="AC25" i="20" s="1"/>
  <c r="AB25" i="20" a="1"/>
  <c r="AB25" i="20" s="1"/>
  <c r="AA25" i="20" a="1"/>
  <c r="AA25" i="20" s="1"/>
  <c r="Z25" i="20" a="1"/>
  <c r="Z25" i="20" s="1"/>
  <c r="Y25" i="20" a="1"/>
  <c r="Y25" i="20" s="1"/>
  <c r="X25" i="20" a="1"/>
  <c r="X25" i="20" s="1"/>
  <c r="W25" i="20" a="1"/>
  <c r="W25" i="20" s="1"/>
  <c r="V25" i="20" a="1"/>
  <c r="V25" i="20" s="1"/>
  <c r="U25" i="20" a="1"/>
  <c r="U25" i="20" s="1"/>
  <c r="T25" i="20" a="1"/>
  <c r="T25" i="20" s="1"/>
  <c r="S25" i="20" a="1"/>
  <c r="S25" i="20" s="1"/>
  <c r="R25" i="20" a="1"/>
  <c r="R25" i="20" s="1"/>
  <c r="Q25" i="20" a="1"/>
  <c r="Q25" i="20" s="1"/>
  <c r="P25" i="20" a="1"/>
  <c r="P25" i="20" s="1"/>
  <c r="O25" i="20" a="1"/>
  <c r="O25" i="20" s="1"/>
  <c r="N25" i="20" a="1"/>
  <c r="N25" i="20" s="1"/>
  <c r="M25" i="20" a="1"/>
  <c r="M25" i="20" s="1"/>
  <c r="L25" i="20" a="1"/>
  <c r="L25" i="20" s="1"/>
  <c r="K25" i="20" a="1"/>
  <c r="K25" i="20" s="1"/>
  <c r="J25" i="20" a="1"/>
  <c r="J25" i="20" s="1"/>
  <c r="I25" i="20" a="1"/>
  <c r="I25" i="20" s="1"/>
  <c r="CJ24" i="20" a="1"/>
  <c r="CJ24" i="20" s="1"/>
  <c r="CI24" i="20" a="1"/>
  <c r="CI24" i="20" s="1"/>
  <c r="CH24" i="20" a="1"/>
  <c r="CH24" i="20" s="1"/>
  <c r="CG24" i="20" a="1"/>
  <c r="CG24" i="20" s="1"/>
  <c r="CF24" i="20" a="1"/>
  <c r="CF24" i="20" s="1"/>
  <c r="CE24" i="20" a="1"/>
  <c r="CE24" i="20" s="1"/>
  <c r="CD24" i="20" a="1"/>
  <c r="CD24" i="20" s="1"/>
  <c r="CC24" i="20" a="1"/>
  <c r="CC24" i="20" s="1"/>
  <c r="CB24" i="20" a="1"/>
  <c r="CB24" i="20" s="1"/>
  <c r="CA24" i="20" a="1"/>
  <c r="CA24" i="20" s="1"/>
  <c r="BZ24" i="20" a="1"/>
  <c r="BZ24" i="20" s="1"/>
  <c r="BY24" i="20" a="1"/>
  <c r="BY24" i="20" s="1"/>
  <c r="BX24" i="20" a="1"/>
  <c r="BX24" i="20" s="1"/>
  <c r="BW24" i="20" a="1"/>
  <c r="BW24" i="20" s="1"/>
  <c r="BV24" i="20" a="1"/>
  <c r="BV24" i="20" s="1"/>
  <c r="BU24" i="20" a="1"/>
  <c r="BU24" i="20" s="1"/>
  <c r="BT24" i="20" a="1"/>
  <c r="BT24" i="20" s="1"/>
  <c r="BS24" i="20" a="1"/>
  <c r="BS24" i="20" s="1"/>
  <c r="BR24" i="20" a="1"/>
  <c r="BR24" i="20" s="1"/>
  <c r="BQ24" i="20" a="1"/>
  <c r="BQ24" i="20" s="1"/>
  <c r="BP24" i="20" a="1"/>
  <c r="BP24" i="20" s="1"/>
  <c r="BO24" i="20" a="1"/>
  <c r="BO24" i="20" s="1"/>
  <c r="BN24" i="20" a="1"/>
  <c r="BN24" i="20" s="1"/>
  <c r="BM24" i="20" a="1"/>
  <c r="BM24" i="20" s="1"/>
  <c r="BL24" i="20" a="1"/>
  <c r="BL24" i="20" s="1"/>
  <c r="BK24" i="20" a="1"/>
  <c r="BK24" i="20" s="1"/>
  <c r="BJ24" i="20" a="1"/>
  <c r="BJ24" i="20" s="1"/>
  <c r="BI24" i="20" a="1"/>
  <c r="BI24" i="20" s="1"/>
  <c r="BH24" i="20" a="1"/>
  <c r="BH24" i="20" s="1"/>
  <c r="BG24" i="20" a="1"/>
  <c r="BG24" i="20" s="1"/>
  <c r="BF24" i="20" a="1"/>
  <c r="BF24" i="20" s="1"/>
  <c r="BE24" i="20" a="1"/>
  <c r="BE24" i="20" s="1"/>
  <c r="BD24" i="20" a="1"/>
  <c r="BD24" i="20" s="1"/>
  <c r="BC24" i="20" a="1"/>
  <c r="BC24" i="20" s="1"/>
  <c r="BB24" i="20" a="1"/>
  <c r="BB24" i="20" s="1"/>
  <c r="BA24" i="20" a="1"/>
  <c r="BA24" i="20" s="1"/>
  <c r="AZ24" i="20" a="1"/>
  <c r="AZ24" i="20" s="1"/>
  <c r="AY24" i="20" a="1"/>
  <c r="AY24" i="20" s="1"/>
  <c r="AX24" i="20" a="1"/>
  <c r="AX24" i="20" s="1"/>
  <c r="AW24" i="20" a="1"/>
  <c r="AW24" i="20" s="1"/>
  <c r="AV24" i="20" a="1"/>
  <c r="AV24" i="20" s="1"/>
  <c r="AU24" i="20" a="1"/>
  <c r="AU24" i="20" s="1"/>
  <c r="AT24" i="20" a="1"/>
  <c r="AT24" i="20" s="1"/>
  <c r="AS24" i="20" a="1"/>
  <c r="AS24" i="20" s="1"/>
  <c r="AR24" i="20" a="1"/>
  <c r="AR24" i="20" s="1"/>
  <c r="AQ24" i="20" a="1"/>
  <c r="AQ24" i="20" s="1"/>
  <c r="AP24" i="20" a="1"/>
  <c r="AP24" i="20" s="1"/>
  <c r="AO24" i="20" a="1"/>
  <c r="AO24" i="20" s="1"/>
  <c r="AN24" i="20" a="1"/>
  <c r="AN24" i="20" s="1"/>
  <c r="AM24" i="20" a="1"/>
  <c r="AM24" i="20" s="1"/>
  <c r="AL24" i="20" a="1"/>
  <c r="AL24" i="20" s="1"/>
  <c r="AK24" i="20" a="1"/>
  <c r="AK24" i="20" s="1"/>
  <c r="AJ24" i="20" a="1"/>
  <c r="AJ24" i="20" s="1"/>
  <c r="AI24" i="20" a="1"/>
  <c r="AI24" i="20" s="1"/>
  <c r="AH24" i="20" a="1"/>
  <c r="AH24" i="20" s="1"/>
  <c r="AG24" i="20" a="1"/>
  <c r="AG24" i="20" s="1"/>
  <c r="AF24" i="20" a="1"/>
  <c r="AF24" i="20" s="1"/>
  <c r="AE24" i="20" a="1"/>
  <c r="AE24" i="20" s="1"/>
  <c r="AD24" i="20" a="1"/>
  <c r="AD24" i="20" s="1"/>
  <c r="AC24" i="20" a="1"/>
  <c r="AC24" i="20" s="1"/>
  <c r="AB24" i="20" a="1"/>
  <c r="AB24" i="20" s="1"/>
  <c r="AA24" i="20" a="1"/>
  <c r="AA24" i="20" s="1"/>
  <c r="Z24" i="20" a="1"/>
  <c r="Z24" i="20" s="1"/>
  <c r="Y24" i="20" a="1"/>
  <c r="Y24" i="20" s="1"/>
  <c r="X24" i="20" a="1"/>
  <c r="X24" i="20" s="1"/>
  <c r="W24" i="20" a="1"/>
  <c r="W24" i="20" s="1"/>
  <c r="V24" i="20" a="1"/>
  <c r="V24" i="20" s="1"/>
  <c r="U24" i="20" a="1"/>
  <c r="U24" i="20" s="1"/>
  <c r="T24" i="20" a="1"/>
  <c r="T24" i="20" s="1"/>
  <c r="S24" i="20" a="1"/>
  <c r="S24" i="20" s="1"/>
  <c r="R24" i="20" a="1"/>
  <c r="R24" i="20" s="1"/>
  <c r="Q24" i="20" a="1"/>
  <c r="Q24" i="20" s="1"/>
  <c r="P24" i="20" a="1"/>
  <c r="P24" i="20" s="1"/>
  <c r="O24" i="20" a="1"/>
  <c r="O24" i="20" s="1"/>
  <c r="N24" i="20" a="1"/>
  <c r="N24" i="20" s="1"/>
  <c r="M24" i="20" a="1"/>
  <c r="M24" i="20" s="1"/>
  <c r="L24" i="20" a="1"/>
  <c r="L24" i="20" s="1"/>
  <c r="K24" i="20" a="1"/>
  <c r="K24" i="20" s="1"/>
  <c r="J24" i="20" a="1"/>
  <c r="J24" i="20" s="1"/>
  <c r="I24" i="20" a="1"/>
  <c r="I24" i="20" s="1"/>
  <c r="CJ23" i="20" a="1"/>
  <c r="CJ23" i="20" s="1"/>
  <c r="CI23" i="20" a="1"/>
  <c r="CI23" i="20" s="1"/>
  <c r="CH23" i="20" a="1"/>
  <c r="CH23" i="20" s="1"/>
  <c r="CG23" i="20" a="1"/>
  <c r="CG23" i="20" s="1"/>
  <c r="CF23" i="20" a="1"/>
  <c r="CF23" i="20" s="1"/>
  <c r="CE23" i="20" a="1"/>
  <c r="CE23" i="20" s="1"/>
  <c r="CD23" i="20" a="1"/>
  <c r="CD23" i="20" s="1"/>
  <c r="CC23" i="20" a="1"/>
  <c r="CC23" i="20" s="1"/>
  <c r="CB23" i="20" a="1"/>
  <c r="CB23" i="20" s="1"/>
  <c r="CA23" i="20" a="1"/>
  <c r="CA23" i="20" s="1"/>
  <c r="BZ23" i="20" a="1"/>
  <c r="BZ23" i="20" s="1"/>
  <c r="BY23" i="20" a="1"/>
  <c r="BY23" i="20" s="1"/>
  <c r="BX23" i="20" a="1"/>
  <c r="BX23" i="20" s="1"/>
  <c r="BW23" i="20" a="1"/>
  <c r="BW23" i="20" s="1"/>
  <c r="BV23" i="20" a="1"/>
  <c r="BV23" i="20" s="1"/>
  <c r="BU23" i="20" a="1"/>
  <c r="BU23" i="20" s="1"/>
  <c r="BT23" i="20" a="1"/>
  <c r="BT23" i="20" s="1"/>
  <c r="BS23" i="20" a="1"/>
  <c r="BS23" i="20" s="1"/>
  <c r="BR23" i="20" a="1"/>
  <c r="BR23" i="20" s="1"/>
  <c r="BQ23" i="20" a="1"/>
  <c r="BQ23" i="20" s="1"/>
  <c r="BP23" i="20" a="1"/>
  <c r="BP23" i="20" s="1"/>
  <c r="BO23" i="20" a="1"/>
  <c r="BO23" i="20" s="1"/>
  <c r="BN23" i="20" a="1"/>
  <c r="BN23" i="20" s="1"/>
  <c r="BM23" i="20" a="1"/>
  <c r="BM23" i="20" s="1"/>
  <c r="BL23" i="20" a="1"/>
  <c r="BL23" i="20" s="1"/>
  <c r="BK23" i="20" a="1"/>
  <c r="BK23" i="20" s="1"/>
  <c r="BJ23" i="20" a="1"/>
  <c r="BJ23" i="20" s="1"/>
  <c r="BI23" i="20" a="1"/>
  <c r="BI23" i="20" s="1"/>
  <c r="BH23" i="20" a="1"/>
  <c r="BH23" i="20" s="1"/>
  <c r="BG23" i="20" a="1"/>
  <c r="BG23" i="20" s="1"/>
  <c r="BF23" i="20" a="1"/>
  <c r="BF23" i="20" s="1"/>
  <c r="BE23" i="20" a="1"/>
  <c r="BE23" i="20" s="1"/>
  <c r="BD23" i="20" a="1"/>
  <c r="BD23" i="20" s="1"/>
  <c r="BC23" i="20" a="1"/>
  <c r="BC23" i="20" s="1"/>
  <c r="BB23" i="20" a="1"/>
  <c r="BB23" i="20" s="1"/>
  <c r="BA23" i="20" a="1"/>
  <c r="BA23" i="20" s="1"/>
  <c r="AZ23" i="20" a="1"/>
  <c r="AZ23" i="20" s="1"/>
  <c r="AY23" i="20" a="1"/>
  <c r="AY23" i="20" s="1"/>
  <c r="AX23" i="20" a="1"/>
  <c r="AX23" i="20" s="1"/>
  <c r="AW23" i="20" a="1"/>
  <c r="AW23" i="20" s="1"/>
  <c r="AV23" i="20" a="1"/>
  <c r="AV23" i="20" s="1"/>
  <c r="AU23" i="20" a="1"/>
  <c r="AU23" i="20" s="1"/>
  <c r="AT23" i="20" a="1"/>
  <c r="AT23" i="20" s="1"/>
  <c r="AS23" i="20" a="1"/>
  <c r="AS23" i="20" s="1"/>
  <c r="AR23" i="20" a="1"/>
  <c r="AR23" i="20" s="1"/>
  <c r="AQ23" i="20" a="1"/>
  <c r="AQ23" i="20" s="1"/>
  <c r="AP23" i="20" a="1"/>
  <c r="AP23" i="20" s="1"/>
  <c r="AO23" i="20" a="1"/>
  <c r="AO23" i="20" s="1"/>
  <c r="AN23" i="20" a="1"/>
  <c r="AN23" i="20" s="1"/>
  <c r="AM23" i="20" a="1"/>
  <c r="AM23" i="20" s="1"/>
  <c r="AL23" i="20" a="1"/>
  <c r="AL23" i="20" s="1"/>
  <c r="AK23" i="20" a="1"/>
  <c r="AK23" i="20" s="1"/>
  <c r="AJ23" i="20" a="1"/>
  <c r="AJ23" i="20" s="1"/>
  <c r="AI23" i="20" a="1"/>
  <c r="AI23" i="20" s="1"/>
  <c r="AH23" i="20" a="1"/>
  <c r="AH23" i="20" s="1"/>
  <c r="AG23" i="20" a="1"/>
  <c r="AG23" i="20" s="1"/>
  <c r="AF23" i="20" a="1"/>
  <c r="AF23" i="20" s="1"/>
  <c r="AE23" i="20" a="1"/>
  <c r="AE23" i="20" s="1"/>
  <c r="AD23" i="20" a="1"/>
  <c r="AD23" i="20" s="1"/>
  <c r="AC23" i="20" a="1"/>
  <c r="AC23" i="20" s="1"/>
  <c r="AB23" i="20" a="1"/>
  <c r="AB23" i="20" s="1"/>
  <c r="AA23" i="20" a="1"/>
  <c r="AA23" i="20" s="1"/>
  <c r="Z23" i="20" a="1"/>
  <c r="Z23" i="20" s="1"/>
  <c r="Y23" i="20" a="1"/>
  <c r="Y23" i="20" s="1"/>
  <c r="X23" i="20" a="1"/>
  <c r="X23" i="20" s="1"/>
  <c r="W23" i="20" a="1"/>
  <c r="W23" i="20" s="1"/>
  <c r="V23" i="20" a="1"/>
  <c r="V23" i="20" s="1"/>
  <c r="U23" i="20" a="1"/>
  <c r="U23" i="20" s="1"/>
  <c r="T23" i="20" a="1"/>
  <c r="T23" i="20" s="1"/>
  <c r="S23" i="20" a="1"/>
  <c r="S23" i="20" s="1"/>
  <c r="R23" i="20" a="1"/>
  <c r="R23" i="20" s="1"/>
  <c r="Q23" i="20" a="1"/>
  <c r="Q23" i="20" s="1"/>
  <c r="P23" i="20" a="1"/>
  <c r="P23" i="20" s="1"/>
  <c r="O23" i="20" a="1"/>
  <c r="O23" i="20" s="1"/>
  <c r="N23" i="20" a="1"/>
  <c r="N23" i="20" s="1"/>
  <c r="M23" i="20" a="1"/>
  <c r="M23" i="20" s="1"/>
  <c r="L23" i="20" a="1"/>
  <c r="L23" i="20" s="1"/>
  <c r="K23" i="20" a="1"/>
  <c r="K23" i="20" s="1"/>
  <c r="J23" i="20" a="1"/>
  <c r="J23" i="20" s="1"/>
  <c r="I23" i="20" a="1"/>
  <c r="I23" i="20" s="1"/>
  <c r="CJ22" i="20" a="1"/>
  <c r="CJ22" i="20" s="1"/>
  <c r="CI22" i="20" a="1"/>
  <c r="CI22" i="20" s="1"/>
  <c r="CH22" i="20" a="1"/>
  <c r="CH22" i="20" s="1"/>
  <c r="CG22" i="20" a="1"/>
  <c r="CG22" i="20" s="1"/>
  <c r="CF22" i="20" a="1"/>
  <c r="CF22" i="20" s="1"/>
  <c r="CE22" i="20" a="1"/>
  <c r="CE22" i="20" s="1"/>
  <c r="CD22" i="20" a="1"/>
  <c r="CD22" i="20" s="1"/>
  <c r="CC22" i="20" a="1"/>
  <c r="CC22" i="20" s="1"/>
  <c r="CB22" i="20" a="1"/>
  <c r="CB22" i="20" s="1"/>
  <c r="CA22" i="20" a="1"/>
  <c r="CA22" i="20" s="1"/>
  <c r="BZ22" i="20" a="1"/>
  <c r="BZ22" i="20" s="1"/>
  <c r="BY22" i="20" a="1"/>
  <c r="BY22" i="20" s="1"/>
  <c r="BX22" i="20" a="1"/>
  <c r="BX22" i="20" s="1"/>
  <c r="BW22" i="20" a="1"/>
  <c r="BW22" i="20" s="1"/>
  <c r="BV22" i="20" a="1"/>
  <c r="BV22" i="20" s="1"/>
  <c r="BU22" i="20" a="1"/>
  <c r="BU22" i="20" s="1"/>
  <c r="BT22" i="20" a="1"/>
  <c r="BT22" i="20" s="1"/>
  <c r="BS22" i="20" a="1"/>
  <c r="BS22" i="20" s="1"/>
  <c r="BR22" i="20" a="1"/>
  <c r="BR22" i="20" s="1"/>
  <c r="BQ22" i="20" a="1"/>
  <c r="BQ22" i="20" s="1"/>
  <c r="BP22" i="20" a="1"/>
  <c r="BP22" i="20" s="1"/>
  <c r="BO22" i="20" a="1"/>
  <c r="BO22" i="20" s="1"/>
  <c r="BN22" i="20" a="1"/>
  <c r="BN22" i="20" s="1"/>
  <c r="BM22" i="20" a="1"/>
  <c r="BM22" i="20" s="1"/>
  <c r="BL22" i="20" a="1"/>
  <c r="BL22" i="20" s="1"/>
  <c r="BK22" i="20" a="1"/>
  <c r="BK22" i="20" s="1"/>
  <c r="BJ22" i="20" a="1"/>
  <c r="BJ22" i="20" s="1"/>
  <c r="BI22" i="20" a="1"/>
  <c r="BI22" i="20" s="1"/>
  <c r="BH22" i="20" a="1"/>
  <c r="BH22" i="20" s="1"/>
  <c r="BG22" i="20" a="1"/>
  <c r="BG22" i="20" s="1"/>
  <c r="BF22" i="20" a="1"/>
  <c r="BF22" i="20" s="1"/>
  <c r="BE22" i="20" a="1"/>
  <c r="BE22" i="20" s="1"/>
  <c r="BD22" i="20" a="1"/>
  <c r="BD22" i="20" s="1"/>
  <c r="BC22" i="20" a="1"/>
  <c r="BC22" i="20" s="1"/>
  <c r="BB22" i="20" a="1"/>
  <c r="BB22" i="20" s="1"/>
  <c r="BA22" i="20" a="1"/>
  <c r="BA22" i="20" s="1"/>
  <c r="AZ22" i="20" a="1"/>
  <c r="AZ22" i="20" s="1"/>
  <c r="AY22" i="20" a="1"/>
  <c r="AY22" i="20" s="1"/>
  <c r="AX22" i="20" a="1"/>
  <c r="AX22" i="20" s="1"/>
  <c r="AW22" i="20" a="1"/>
  <c r="AW22" i="20" s="1"/>
  <c r="AV22" i="20" a="1"/>
  <c r="AV22" i="20" s="1"/>
  <c r="AU22" i="20" a="1"/>
  <c r="AU22" i="20" s="1"/>
  <c r="AT22" i="20" a="1"/>
  <c r="AT22" i="20" s="1"/>
  <c r="AS22" i="20" a="1"/>
  <c r="AS22" i="20" s="1"/>
  <c r="AR22" i="20" a="1"/>
  <c r="AR22" i="20" s="1"/>
  <c r="AQ22" i="20" a="1"/>
  <c r="AQ22" i="20" s="1"/>
  <c r="AP22" i="20" a="1"/>
  <c r="AP22" i="20" s="1"/>
  <c r="AO22" i="20" a="1"/>
  <c r="AO22" i="20" s="1"/>
  <c r="AN22" i="20" a="1"/>
  <c r="AN22" i="20" s="1"/>
  <c r="AM22" i="20" a="1"/>
  <c r="AM22" i="20" s="1"/>
  <c r="AL22" i="20" a="1"/>
  <c r="AL22" i="20" s="1"/>
  <c r="AK22" i="20" a="1"/>
  <c r="AK22" i="20" s="1"/>
  <c r="AJ22" i="20" a="1"/>
  <c r="AJ22" i="20" s="1"/>
  <c r="AI22" i="20" a="1"/>
  <c r="AI22" i="20" s="1"/>
  <c r="AH22" i="20" a="1"/>
  <c r="AH22" i="20" s="1"/>
  <c r="AG22" i="20" a="1"/>
  <c r="AG22" i="20" s="1"/>
  <c r="AF22" i="20" a="1"/>
  <c r="AF22" i="20" s="1"/>
  <c r="AE22" i="20" a="1"/>
  <c r="AE22" i="20" s="1"/>
  <c r="AD22" i="20" a="1"/>
  <c r="AD22" i="20" s="1"/>
  <c r="AC22" i="20" a="1"/>
  <c r="AC22" i="20" s="1"/>
  <c r="AB22" i="20" a="1"/>
  <c r="AB22" i="20" s="1"/>
  <c r="AA22" i="20" a="1"/>
  <c r="AA22" i="20" s="1"/>
  <c r="Z22" i="20" a="1"/>
  <c r="Z22" i="20" s="1"/>
  <c r="Y22" i="20" a="1"/>
  <c r="Y22" i="20" s="1"/>
  <c r="X22" i="20" a="1"/>
  <c r="X22" i="20" s="1"/>
  <c r="W22" i="20" a="1"/>
  <c r="W22" i="20" s="1"/>
  <c r="V22" i="20" a="1"/>
  <c r="V22" i="20" s="1"/>
  <c r="U22" i="20" a="1"/>
  <c r="U22" i="20" s="1"/>
  <c r="T22" i="20" a="1"/>
  <c r="T22" i="20" s="1"/>
  <c r="S22" i="20" a="1"/>
  <c r="S22" i="20" s="1"/>
  <c r="R22" i="20" a="1"/>
  <c r="R22" i="20" s="1"/>
  <c r="Q22" i="20" a="1"/>
  <c r="Q22" i="20" s="1"/>
  <c r="P22" i="20" a="1"/>
  <c r="P22" i="20" s="1"/>
  <c r="O22" i="20" a="1"/>
  <c r="O22" i="20" s="1"/>
  <c r="N22" i="20" a="1"/>
  <c r="N22" i="20" s="1"/>
  <c r="M22" i="20" a="1"/>
  <c r="M22" i="20" s="1"/>
  <c r="L22" i="20" a="1"/>
  <c r="L22" i="20" s="1"/>
  <c r="K22" i="20" a="1"/>
  <c r="K22" i="20" s="1"/>
  <c r="J22" i="20" a="1"/>
  <c r="J22" i="20" s="1"/>
  <c r="I22" i="20" a="1"/>
  <c r="I22" i="20" s="1"/>
  <c r="CJ21" i="20" a="1"/>
  <c r="CJ21" i="20" s="1"/>
  <c r="CI21" i="20" a="1"/>
  <c r="CI21" i="20" s="1"/>
  <c r="CH21" i="20" a="1"/>
  <c r="CH21" i="20" s="1"/>
  <c r="CG21" i="20" a="1"/>
  <c r="CG21" i="20" s="1"/>
  <c r="CF21" i="20" a="1"/>
  <c r="CF21" i="20" s="1"/>
  <c r="CE21" i="20" a="1"/>
  <c r="CE21" i="20" s="1"/>
  <c r="CD21" i="20" a="1"/>
  <c r="CD21" i="20" s="1"/>
  <c r="CC21" i="20" a="1"/>
  <c r="CC21" i="20" s="1"/>
  <c r="CB21" i="20" a="1"/>
  <c r="CB21" i="20" s="1"/>
  <c r="CA21" i="20" a="1"/>
  <c r="CA21" i="20" s="1"/>
  <c r="BZ21" i="20" a="1"/>
  <c r="BZ21" i="20" s="1"/>
  <c r="BY21" i="20" a="1"/>
  <c r="BY21" i="20" s="1"/>
  <c r="BX21" i="20" a="1"/>
  <c r="BX21" i="20" s="1"/>
  <c r="BW21" i="20" a="1"/>
  <c r="BW21" i="20" s="1"/>
  <c r="BV21" i="20" a="1"/>
  <c r="BV21" i="20" s="1"/>
  <c r="BU21" i="20" a="1"/>
  <c r="BU21" i="20" s="1"/>
  <c r="BT21" i="20" a="1"/>
  <c r="BT21" i="20" s="1"/>
  <c r="BS21" i="20" a="1"/>
  <c r="BS21" i="20" s="1"/>
  <c r="BR21" i="20" a="1"/>
  <c r="BR21" i="20" s="1"/>
  <c r="BQ21" i="20" a="1"/>
  <c r="BQ21" i="20" s="1"/>
  <c r="BP21" i="20" a="1"/>
  <c r="BP21" i="20" s="1"/>
  <c r="BO21" i="20" a="1"/>
  <c r="BO21" i="20" s="1"/>
  <c r="BN21" i="20" a="1"/>
  <c r="BN21" i="20" s="1"/>
  <c r="BM21" i="20" a="1"/>
  <c r="BM21" i="20" s="1"/>
  <c r="BL21" i="20" a="1"/>
  <c r="BL21" i="20" s="1"/>
  <c r="BK21" i="20" a="1"/>
  <c r="BK21" i="20" s="1"/>
  <c r="BJ21" i="20" a="1"/>
  <c r="BJ21" i="20" s="1"/>
  <c r="BI21" i="20" a="1"/>
  <c r="BI21" i="20" s="1"/>
  <c r="BH21" i="20" a="1"/>
  <c r="BH21" i="20" s="1"/>
  <c r="BG21" i="20" a="1"/>
  <c r="BG21" i="20" s="1"/>
  <c r="BF21" i="20" a="1"/>
  <c r="BF21" i="20" s="1"/>
  <c r="BE21" i="20" a="1"/>
  <c r="BE21" i="20" s="1"/>
  <c r="BD21" i="20" a="1"/>
  <c r="BD21" i="20" s="1"/>
  <c r="BC21" i="20" a="1"/>
  <c r="BC21" i="20" s="1"/>
  <c r="BB21" i="20" a="1"/>
  <c r="BB21" i="20" s="1"/>
  <c r="BA21" i="20" a="1"/>
  <c r="BA21" i="20" s="1"/>
  <c r="AZ21" i="20" a="1"/>
  <c r="AZ21" i="20" s="1"/>
  <c r="AY21" i="20" a="1"/>
  <c r="AY21" i="20" s="1"/>
  <c r="AX21" i="20" a="1"/>
  <c r="AX21" i="20" s="1"/>
  <c r="AW21" i="20" a="1"/>
  <c r="AW21" i="20" s="1"/>
  <c r="AV21" i="20" a="1"/>
  <c r="AV21" i="20" s="1"/>
  <c r="AU21" i="20" a="1"/>
  <c r="AU21" i="20" s="1"/>
  <c r="AT21" i="20" a="1"/>
  <c r="AT21" i="20" s="1"/>
  <c r="AS21" i="20" a="1"/>
  <c r="AS21" i="20" s="1"/>
  <c r="AR21" i="20" a="1"/>
  <c r="AR21" i="20" s="1"/>
  <c r="AQ21" i="20" a="1"/>
  <c r="AQ21" i="20" s="1"/>
  <c r="AP21" i="20" a="1"/>
  <c r="AP21" i="20" s="1"/>
  <c r="AO21" i="20" a="1"/>
  <c r="AO21" i="20" s="1"/>
  <c r="AN21" i="20" a="1"/>
  <c r="AN21" i="20" s="1"/>
  <c r="AM21" i="20" a="1"/>
  <c r="AM21" i="20" s="1"/>
  <c r="AL21" i="20" a="1"/>
  <c r="AL21" i="20" s="1"/>
  <c r="AK21" i="20" a="1"/>
  <c r="AK21" i="20" s="1"/>
  <c r="AJ21" i="20" a="1"/>
  <c r="AJ21" i="20" s="1"/>
  <c r="AI21" i="20" a="1"/>
  <c r="AI21" i="20" s="1"/>
  <c r="AH21" i="20" a="1"/>
  <c r="AH21" i="20" s="1"/>
  <c r="AG21" i="20" a="1"/>
  <c r="AG21" i="20" s="1"/>
  <c r="AF21" i="20" a="1"/>
  <c r="AF21" i="20" s="1"/>
  <c r="AE21" i="20" a="1"/>
  <c r="AE21" i="20" s="1"/>
  <c r="AD21" i="20" a="1"/>
  <c r="AD21" i="20" s="1"/>
  <c r="AC21" i="20" a="1"/>
  <c r="AC21" i="20" s="1"/>
  <c r="AB21" i="20" a="1"/>
  <c r="AB21" i="20" s="1"/>
  <c r="AA21" i="20" a="1"/>
  <c r="AA21" i="20" s="1"/>
  <c r="Z21" i="20" a="1"/>
  <c r="Z21" i="20" s="1"/>
  <c r="Y21" i="20" a="1"/>
  <c r="Y21" i="20" s="1"/>
  <c r="X21" i="20" a="1"/>
  <c r="X21" i="20" s="1"/>
  <c r="W21" i="20" a="1"/>
  <c r="W21" i="20" s="1"/>
  <c r="V21" i="20" a="1"/>
  <c r="V21" i="20" s="1"/>
  <c r="U21" i="20" a="1"/>
  <c r="U21" i="20" s="1"/>
  <c r="T21" i="20" a="1"/>
  <c r="T21" i="20" s="1"/>
  <c r="S21" i="20" a="1"/>
  <c r="S21" i="20" s="1"/>
  <c r="R21" i="20" a="1"/>
  <c r="R21" i="20" s="1"/>
  <c r="Q21" i="20" a="1"/>
  <c r="Q21" i="20" s="1"/>
  <c r="P21" i="20" a="1"/>
  <c r="P21" i="20" s="1"/>
  <c r="O21" i="20" a="1"/>
  <c r="O21" i="20" s="1"/>
  <c r="N21" i="20" a="1"/>
  <c r="N21" i="20" s="1"/>
  <c r="M21" i="20" a="1"/>
  <c r="M21" i="20" s="1"/>
  <c r="L21" i="20" a="1"/>
  <c r="L21" i="20" s="1"/>
  <c r="B22" i="7"/>
  <c r="B23" i="7"/>
  <c r="B24" i="7"/>
  <c r="B25" i="7"/>
  <c r="B26" i="7"/>
  <c r="B27" i="7"/>
  <c r="B29" i="7"/>
  <c r="B30" i="7"/>
  <c r="B31" i="7"/>
  <c r="B32" i="7"/>
  <c r="B33" i="7"/>
  <c r="Z20" i="20" a="1"/>
  <c r="Z20" i="20" s="1"/>
  <c r="AA20" i="20" a="1"/>
  <c r="AA20" i="20" s="1"/>
  <c r="AD20" i="20" a="1"/>
  <c r="AD20" i="20" s="1"/>
  <c r="AE20" i="20" a="1"/>
  <c r="AE20" i="20" s="1"/>
  <c r="AF20" i="20" a="1"/>
  <c r="AF20" i="20" s="1"/>
  <c r="AG20" i="20" a="1"/>
  <c r="AG20" i="20" s="1"/>
  <c r="AH20" i="20" a="1"/>
  <c r="AH20" i="20" s="1"/>
  <c r="AI20" i="20" a="1"/>
  <c r="AI20" i="20" s="1"/>
  <c r="AJ20" i="20" a="1"/>
  <c r="AJ20" i="20" s="1"/>
  <c r="AK20" i="20" a="1"/>
  <c r="AK20" i="20" s="1"/>
  <c r="AL20" i="20" a="1"/>
  <c r="AL20" i="20" s="1"/>
  <c r="AM20" i="20" a="1"/>
  <c r="AM20" i="20" s="1"/>
  <c r="AR20" i="20" a="1"/>
  <c r="AR20" i="20" s="1"/>
  <c r="AS20" i="20" a="1"/>
  <c r="AS20" i="20" s="1"/>
  <c r="AT20" i="20" a="1"/>
  <c r="AT20" i="20" s="1"/>
  <c r="AU20" i="20" a="1"/>
  <c r="AU20" i="20" s="1"/>
  <c r="AV20" i="20" a="1"/>
  <c r="AV20" i="20" s="1"/>
  <c r="AW20" i="20" a="1"/>
  <c r="AW20" i="20" s="1"/>
  <c r="AX20" i="20" a="1"/>
  <c r="AX20" i="20" s="1"/>
  <c r="AY20" i="20" a="1"/>
  <c r="AY20" i="20" s="1"/>
  <c r="AZ20" i="20" a="1"/>
  <c r="AZ20" i="20" s="1"/>
  <c r="BA20" i="20" a="1"/>
  <c r="BA20" i="20" s="1"/>
  <c r="BB20" i="20" a="1"/>
  <c r="BB20" i="20" s="1"/>
  <c r="BC20" i="20" a="1"/>
  <c r="BC20" i="20" s="1"/>
  <c r="BD20" i="20" a="1"/>
  <c r="BD20" i="20" s="1"/>
  <c r="BE20" i="20" a="1"/>
  <c r="BE20" i="20" s="1"/>
  <c r="BF20" i="20" a="1"/>
  <c r="BF20" i="20" s="1"/>
  <c r="BG20" i="20" a="1"/>
  <c r="BG20" i="20" s="1"/>
  <c r="BH20" i="20" a="1"/>
  <c r="BH20" i="20" s="1"/>
  <c r="BI20" i="20" a="1"/>
  <c r="BI20" i="20" s="1"/>
  <c r="BJ20" i="20" a="1"/>
  <c r="BJ20" i="20" s="1"/>
  <c r="BK20" i="20" a="1"/>
  <c r="BK20" i="20" s="1"/>
  <c r="BL20" i="20" a="1"/>
  <c r="BL20" i="20" s="1"/>
  <c r="BM20" i="20" a="1"/>
  <c r="BM20" i="20" s="1"/>
  <c r="BN20" i="20" a="1"/>
  <c r="BN20" i="20" s="1"/>
  <c r="BO20" i="20" a="1"/>
  <c r="BO20" i="20" s="1"/>
  <c r="BP20" i="20" a="1"/>
  <c r="BP20" i="20" s="1"/>
  <c r="BQ20" i="20" a="1"/>
  <c r="BQ20" i="20" s="1"/>
  <c r="BR20" i="20" a="1"/>
  <c r="BR20" i="20" s="1"/>
  <c r="BS20" i="20" a="1"/>
  <c r="BS20" i="20" s="1"/>
  <c r="BT20" i="20" a="1"/>
  <c r="BT20" i="20" s="1"/>
  <c r="BU20" i="20" a="1"/>
  <c r="BU20" i="20" s="1"/>
  <c r="BV20" i="20" a="1"/>
  <c r="BV20" i="20" s="1"/>
  <c r="BW20" i="20" a="1"/>
  <c r="BW20" i="20" s="1"/>
  <c r="BX20" i="20" a="1"/>
  <c r="BX20" i="20" s="1"/>
  <c r="BY20" i="20" a="1"/>
  <c r="BY20" i="20" s="1"/>
  <c r="BZ20" i="20" a="1"/>
  <c r="BZ20" i="20" s="1"/>
  <c r="CA20" i="20" a="1"/>
  <c r="CA20" i="20" s="1"/>
  <c r="CB20" i="20" a="1"/>
  <c r="CB20" i="20" s="1"/>
  <c r="CC20" i="20" a="1"/>
  <c r="CC20" i="20" s="1"/>
  <c r="CD20" i="20" a="1"/>
  <c r="CD20" i="20" s="1"/>
  <c r="CE20" i="20" a="1"/>
  <c r="CE20" i="20" s="1"/>
  <c r="CF20" i="20" a="1"/>
  <c r="CF20" i="20" s="1"/>
  <c r="CG20" i="20" a="1"/>
  <c r="CG20" i="20" s="1"/>
  <c r="CH20" i="20" a="1"/>
  <c r="CH20" i="20" s="1"/>
  <c r="CI20" i="20" a="1"/>
  <c r="CI20" i="20" s="1"/>
  <c r="CJ20" i="20" a="1"/>
  <c r="CJ20" i="20" s="1"/>
  <c r="AP20" i="20" a="1"/>
  <c r="AQ20" i="20" a="1"/>
  <c r="AN20" i="20" a="1"/>
  <c r="AO20" i="20" a="1"/>
  <c r="AB20" i="20" a="1"/>
  <c r="AC20" i="20" a="1"/>
  <c r="X20" i="20" a="1"/>
  <c r="Y20" i="20" a="1"/>
  <c r="V20" i="20" a="1"/>
  <c r="W20" i="20" a="1"/>
  <c r="T20" i="20" a="1"/>
  <c r="U20" i="20" a="1"/>
  <c r="R20" i="20" a="1"/>
  <c r="S20" i="20" a="1"/>
  <c r="P20" i="20" a="1"/>
  <c r="Q20" i="20" a="1"/>
  <c r="N20" i="20" a="1"/>
  <c r="O20" i="20" a="1"/>
  <c r="L20" i="20" a="1"/>
  <c r="M20" i="20" a="1"/>
  <c r="K20" i="20" a="1"/>
  <c r="J20" i="20" a="1"/>
  <c r="K21" i="20" a="1"/>
  <c r="J21" i="20" a="1"/>
  <c r="I20" i="20" a="1"/>
  <c r="I21" i="20" a="1"/>
  <c r="K29" i="20" a="1"/>
  <c r="L26" i="20" a="1"/>
  <c r="M26" i="20" a="1"/>
  <c r="J29" i="20" a="1"/>
  <c r="AQ20" i="20" l="1"/>
  <c r="AP20" i="20"/>
  <c r="AO20" i="20"/>
  <c r="AN20" i="20"/>
  <c r="AC20" i="20"/>
  <c r="AB20" i="20"/>
  <c r="Y20" i="20"/>
  <c r="X20" i="20"/>
  <c r="W20" i="20"/>
  <c r="V20" i="20"/>
  <c r="U20" i="20"/>
  <c r="T20" i="20"/>
  <c r="S20" i="20"/>
  <c r="R20" i="20"/>
  <c r="Q20" i="20"/>
  <c r="P20" i="20"/>
  <c r="O20" i="20"/>
  <c r="N20" i="20"/>
  <c r="M20" i="20"/>
  <c r="L20" i="20"/>
  <c r="J20" i="20"/>
  <c r="K20" i="20"/>
  <c r="J21" i="20"/>
  <c r="K21" i="20"/>
  <c r="I20" i="20"/>
  <c r="K29" i="20"/>
  <c r="J29" i="20"/>
  <c r="I21" i="20"/>
  <c r="M26" i="20"/>
  <c r="L26" i="20"/>
  <c r="B19" i="7"/>
  <c r="B5" i="7"/>
  <c r="B6" i="7"/>
  <c r="B7" i="7"/>
  <c r="B8" i="7"/>
  <c r="B9" i="7"/>
  <c r="B10" i="7"/>
  <c r="B11" i="7"/>
  <c r="B12" i="7"/>
  <c r="B13" i="7"/>
  <c r="B14" i="7"/>
  <c r="B15" i="7"/>
  <c r="B16" i="7"/>
  <c r="B17" i="7"/>
  <c r="B18" i="7"/>
  <c r="B20" i="7"/>
  <c r="B21" i="7"/>
  <c r="B4" i="7"/>
  <c r="CH14" i="20" a="1"/>
  <c r="AU17" i="20" a="1"/>
  <c r="BC6" i="20" a="1"/>
  <c r="R5" i="20" a="1"/>
  <c r="AR12" i="20" a="1"/>
  <c r="AX18" i="20" a="1"/>
  <c r="CC18" i="20" a="1"/>
  <c r="BQ5" i="20" a="1"/>
  <c r="J17" i="20" a="1"/>
  <c r="AZ14" i="20" a="1"/>
  <c r="U6" i="20" a="1"/>
  <c r="AO7" i="20" a="1"/>
  <c r="AN17" i="20" a="1"/>
  <c r="BZ12" i="20" a="1"/>
  <c r="BZ7" i="20" a="1"/>
  <c r="BK18" i="20" a="1"/>
  <c r="V8" i="20" a="1"/>
  <c r="P8" i="20" a="1"/>
  <c r="M5" i="20" a="1"/>
  <c r="BJ11" i="20" a="1"/>
  <c r="P5" i="20" a="1"/>
  <c r="CE7" i="20" a="1"/>
  <c r="J12" i="20" a="1"/>
  <c r="V15" i="20" a="1"/>
  <c r="AN11" i="20" a="1"/>
  <c r="CA3" i="20" a="1"/>
  <c r="Y7" i="20" a="1"/>
  <c r="BD12" i="20" a="1"/>
  <c r="BH14" i="20" a="1"/>
  <c r="CD18" i="20" a="1"/>
  <c r="BS5" i="20" a="1"/>
  <c r="AY4" i="20" a="1"/>
  <c r="AP19" i="20" a="1"/>
  <c r="AE15" i="20" a="1"/>
  <c r="BJ12" i="20" a="1"/>
  <c r="AE19" i="20" a="1"/>
  <c r="Q4" i="20" a="1"/>
  <c r="AU5" i="20" a="1"/>
  <c r="BU12" i="20" a="1"/>
  <c r="CD10" i="20" a="1"/>
  <c r="L8" i="20" a="1"/>
  <c r="BX16" i="20" a="1"/>
  <c r="BQ3" i="20" a="1"/>
  <c r="AK15" i="20" a="1"/>
  <c r="AV7" i="20" a="1"/>
  <c r="BJ15" i="20" a="1"/>
  <c r="T8" i="20" a="1"/>
  <c r="AE11" i="20" a="1"/>
  <c r="BF9" i="20" a="1"/>
  <c r="BR15" i="20" a="1"/>
  <c r="AZ8" i="20" a="1"/>
  <c r="M6" i="20" a="1"/>
  <c r="U4" i="20" a="1"/>
  <c r="AO17" i="20" a="1"/>
  <c r="BZ10" i="20" a="1"/>
  <c r="BZ17" i="20" a="1"/>
  <c r="BA14" i="20" a="1"/>
  <c r="AU15" i="20" a="1"/>
  <c r="AR11" i="20" a="1"/>
  <c r="BX5" i="20" a="1"/>
  <c r="BY7" i="20" a="1"/>
  <c r="AP8" i="20" a="1"/>
  <c r="AV9" i="20" a="1"/>
  <c r="CD3" i="20" a="1"/>
  <c r="AC16" i="20" a="1"/>
  <c r="BE13" i="20" a="1"/>
  <c r="AC14" i="20" a="1"/>
  <c r="BE8" i="20" a="1"/>
  <c r="BE18" i="20" a="1"/>
  <c r="AP15" i="20" a="1"/>
  <c r="BF12" i="20" a="1"/>
  <c r="J18" i="20" a="1"/>
  <c r="N16" i="20" a="1"/>
  <c r="AI7" i="20" a="1"/>
  <c r="AK11" i="20" a="1"/>
  <c r="AG8" i="20" a="1"/>
  <c r="AS14" i="20" a="1"/>
  <c r="W5" i="20" a="1"/>
  <c r="AC8" i="20" a="1"/>
  <c r="AQ7" i="20" a="1"/>
  <c r="BA9" i="20" a="1"/>
  <c r="AK7" i="20" a="1"/>
  <c r="BM3" i="20" a="1"/>
  <c r="BE14" i="20" a="1"/>
  <c r="BH10" i="20" a="1"/>
  <c r="S9" i="20" a="1"/>
  <c r="CG16" i="20" a="1"/>
  <c r="AU7" i="20" a="1"/>
  <c r="W16" i="20" a="1"/>
  <c r="X19" i="20" a="1"/>
  <c r="AZ17" i="20" a="1"/>
  <c r="BZ16" i="20" a="1"/>
  <c r="AG4" i="20" a="1"/>
  <c r="AS10" i="20" a="1"/>
  <c r="AG18" i="20" a="1"/>
  <c r="BP12" i="20" a="1"/>
  <c r="U16" i="20" a="1"/>
  <c r="X13" i="20" a="1"/>
  <c r="CB7" i="20" a="1"/>
  <c r="AP6" i="20" a="1"/>
  <c r="BI12" i="20" a="1"/>
  <c r="BT6" i="20" a="1"/>
  <c r="J6" i="20" a="1"/>
  <c r="AR3" i="20" a="1"/>
  <c r="AF3" i="20" a="1"/>
  <c r="W6" i="20" a="1"/>
  <c r="M10" i="20" a="1"/>
  <c r="Q15" i="20" a="1"/>
  <c r="BV14" i="20" a="1"/>
  <c r="BE12" i="20" a="1"/>
  <c r="AV5" i="20" a="1"/>
  <c r="AO18" i="20" a="1"/>
  <c r="BO17" i="20" a="1"/>
  <c r="BP15" i="20" a="1"/>
  <c r="N11" i="20" a="1"/>
  <c r="K16" i="20" a="1"/>
  <c r="CF12" i="20" a="1"/>
  <c r="AI10" i="20" a="1"/>
  <c r="CE10" i="20" a="1"/>
  <c r="BL18" i="20" a="1"/>
  <c r="AB14" i="20" a="1"/>
  <c r="BX4" i="20" a="1"/>
  <c r="CB17" i="20" a="1"/>
  <c r="BK13" i="20" a="1"/>
  <c r="L10" i="20" a="1"/>
  <c r="AQ16" i="20" a="1"/>
  <c r="AB16" i="20" a="1"/>
  <c r="CD14" i="20" a="1"/>
  <c r="AJ7" i="20" a="1"/>
  <c r="Z15" i="20" a="1"/>
  <c r="Y6" i="20" a="1"/>
  <c r="AM4" i="20" a="1"/>
  <c r="BW3" i="20" a="1"/>
  <c r="W4" i="20" a="1"/>
  <c r="X10" i="20" a="1"/>
  <c r="BQ10" i="20" a="1"/>
  <c r="AU11" i="20" a="1"/>
  <c r="CC17" i="20" a="1"/>
  <c r="BM11" i="20" a="1"/>
  <c r="AS6" i="20" a="1"/>
  <c r="AR16" i="20" a="1"/>
  <c r="BV7" i="20" a="1"/>
  <c r="BU19" i="20" a="1"/>
  <c r="CE11" i="20" a="1"/>
  <c r="Y3" i="20" a="1"/>
  <c r="AY5" i="20" a="1"/>
  <c r="BK19" i="20" a="1"/>
  <c r="J3" i="20" a="1"/>
  <c r="BK15" i="20" a="1"/>
  <c r="BN15" i="20" a="1"/>
  <c r="AE12" i="20" a="1"/>
  <c r="AR19" i="20" a="1"/>
  <c r="Y11" i="20" a="1"/>
  <c r="AP4" i="20" a="1"/>
  <c r="BN3" i="20" a="1"/>
  <c r="BM4" i="20" a="1"/>
  <c r="CH12" i="20" a="1"/>
  <c r="BS3" i="20" a="1"/>
  <c r="AJ4" i="20" a="1"/>
  <c r="AR10" i="20" a="1"/>
  <c r="BA6" i="20" a="1"/>
  <c r="CJ15" i="20" a="1"/>
  <c r="AE18" i="20" a="1"/>
  <c r="BG16" i="20" a="1"/>
  <c r="AB8" i="20" a="1"/>
  <c r="R12" i="20" a="1"/>
  <c r="AS18" i="20" a="1"/>
  <c r="AP12" i="20" a="1"/>
  <c r="CB5" i="20" a="1"/>
  <c r="Q14" i="20" a="1"/>
  <c r="BV11" i="20" a="1"/>
  <c r="BT19" i="20" a="1"/>
  <c r="BW13" i="20" a="1"/>
  <c r="CH8" i="20" a="1"/>
  <c r="BH18" i="20" a="1"/>
  <c r="CF19" i="20" a="1"/>
  <c r="K3" i="20" a="1"/>
  <c r="AT14" i="20" a="1"/>
  <c r="AC6" i="20" a="1"/>
  <c r="CF3" i="20" a="1"/>
  <c r="CD12" i="20" a="1"/>
  <c r="CJ17" i="20" a="1"/>
  <c r="BQ14" i="20" a="1"/>
  <c r="AI4" i="20" a="1"/>
  <c r="CG8" i="20" a="1"/>
  <c r="M3" i="20" a="1"/>
  <c r="CB6" i="20" a="1"/>
  <c r="AR6" i="20" a="1"/>
  <c r="W14" i="20" a="1"/>
  <c r="AD16" i="20" a="1"/>
  <c r="BV15" i="20" a="1"/>
  <c r="BQ19" i="20" a="1"/>
  <c r="AG19" i="20" a="1"/>
  <c r="BI13" i="20" a="1"/>
  <c r="W17" i="20" a="1"/>
  <c r="CB8" i="20" a="1"/>
  <c r="AB6" i="20" a="1"/>
  <c r="X18" i="20" a="1"/>
  <c r="CE5" i="20" a="1"/>
  <c r="CJ12" i="20" a="1"/>
  <c r="V16" i="20" a="1"/>
  <c r="AT7" i="20" a="1"/>
  <c r="BW11" i="20" a="1"/>
  <c r="AD13" i="20" a="1"/>
  <c r="CG6" i="20" a="1"/>
  <c r="AM17" i="20" a="1"/>
  <c r="P6" i="20" a="1"/>
  <c r="BG4" i="20" a="1"/>
  <c r="K11" i="20" a="1"/>
  <c r="J9" i="20" a="1"/>
  <c r="S8" i="20" a="1"/>
  <c r="AY16" i="20" a="1"/>
  <c r="P17" i="20" a="1"/>
  <c r="BJ9" i="20" a="1"/>
  <c r="CE4" i="20" a="1"/>
  <c r="AS13" i="20" a="1"/>
  <c r="Z16" i="20" a="1"/>
  <c r="AL9" i="20" a="1"/>
  <c r="AH11" i="20" a="1"/>
  <c r="L11" i="20" a="1"/>
  <c r="CA7" i="20" a="1"/>
  <c r="AW15" i="20" a="1"/>
  <c r="AE3" i="20" a="1"/>
  <c r="U11" i="20" a="1"/>
  <c r="AC15" i="20" a="1"/>
  <c r="BC11" i="20" a="1"/>
  <c r="CA4" i="20" a="1"/>
  <c r="AM18" i="20" a="1"/>
  <c r="CI19" i="20" a="1"/>
  <c r="W18" i="20" a="1"/>
  <c r="AC4" i="20" a="1"/>
  <c r="BR17" i="20" a="1"/>
  <c r="BB5" i="20" a="1"/>
  <c r="AO6" i="20" a="1"/>
  <c r="BS8" i="20" a="1"/>
  <c r="AY9" i="20" a="1"/>
  <c r="BB9" i="20" a="1"/>
  <c r="BY4" i="20" a="1"/>
  <c r="CD5" i="20" a="1"/>
  <c r="BC18" i="20" a="1"/>
  <c r="AA5" i="20" a="1"/>
  <c r="S18" i="20" a="1"/>
  <c r="AQ15" i="20" a="1"/>
  <c r="AZ3" i="20" a="1"/>
  <c r="CF5" i="20" a="1"/>
  <c r="BQ9" i="20" a="1"/>
  <c r="Q9" i="20" a="1"/>
  <c r="CH4" i="20" a="1"/>
  <c r="BA10" i="20" a="1"/>
  <c r="CF10" i="20" a="1"/>
  <c r="CB19" i="20" a="1"/>
  <c r="CA11" i="20" a="1"/>
  <c r="AO8" i="20" a="1"/>
  <c r="AL8" i="20" a="1"/>
  <c r="CI18" i="20" a="1"/>
  <c r="BZ9" i="20" a="1"/>
  <c r="AX16" i="20" a="1"/>
  <c r="R3" i="20" a="1"/>
  <c r="J8" i="20" a="1"/>
  <c r="S11" i="20" a="1"/>
  <c r="BH17" i="20" a="1"/>
  <c r="Z13" i="20" a="1"/>
  <c r="AM19" i="20" a="1"/>
  <c r="J10" i="20" a="1"/>
  <c r="CG14" i="20" a="1"/>
  <c r="CH13" i="20" a="1"/>
  <c r="AG13" i="20" a="1"/>
  <c r="AR7" i="20" a="1"/>
  <c r="AT11" i="20" a="1"/>
  <c r="CC16" i="20" a="1"/>
  <c r="K8" i="20" a="1"/>
  <c r="AS16" i="20" a="1"/>
  <c r="AM8" i="20" a="1"/>
  <c r="AM6" i="20" a="1"/>
  <c r="M4" i="20" a="1"/>
  <c r="N12" i="20" a="1"/>
  <c r="AI6" i="20" a="1"/>
  <c r="T14" i="20" a="1"/>
  <c r="AK10" i="20" a="1"/>
  <c r="CG19" i="20" a="1"/>
  <c r="P19" i="20" a="1"/>
  <c r="CA18" i="20" a="1"/>
  <c r="AJ19" i="20" a="1"/>
  <c r="AK3" i="20" a="1"/>
  <c r="AJ13" i="20" a="1"/>
  <c r="AW9" i="20" a="1"/>
  <c r="BB16" i="20" a="1"/>
  <c r="O18" i="20" a="1"/>
  <c r="CJ5" i="20" a="1"/>
  <c r="BU18" i="20" a="1"/>
  <c r="AB10" i="20" a="1"/>
  <c r="AO12" i="20" a="1"/>
  <c r="CE3" i="20" a="1"/>
  <c r="BD9" i="20" a="1"/>
  <c r="BT13" i="20" a="1"/>
  <c r="AI12" i="20" a="1"/>
  <c r="CF16" i="20" a="1"/>
  <c r="BV18" i="20" a="1"/>
  <c r="BH19" i="20" a="1"/>
  <c r="BJ4" i="20" a="1"/>
  <c r="O14" i="20" a="1"/>
  <c r="BI5" i="20" a="1"/>
  <c r="AE10" i="20" a="1"/>
  <c r="R9" i="20" a="1"/>
  <c r="BS7" i="20" a="1"/>
  <c r="BE3" i="20" a="1"/>
  <c r="AA16" i="20" a="1"/>
  <c r="T13" i="20" a="1"/>
  <c r="BY11" i="20" a="1"/>
  <c r="CI17" i="20" a="1"/>
  <c r="AU6" i="20" a="1"/>
  <c r="BE10" i="20" a="1"/>
  <c r="AC18" i="20" a="1"/>
  <c r="AU16" i="20" a="1"/>
  <c r="Q7" i="20" a="1"/>
  <c r="CG12" i="20" a="1"/>
  <c r="R15" i="20" a="1"/>
  <c r="BK10" i="20" a="1"/>
  <c r="AX3" i="20" a="1"/>
  <c r="BT4" i="20" a="1"/>
  <c r="AI8" i="20" a="1"/>
  <c r="BR9" i="20" a="1"/>
  <c r="I8" i="20" a="1"/>
  <c r="CI4" i="20" a="1"/>
  <c r="R13" i="20" a="1"/>
  <c r="AL10" i="20" a="1"/>
  <c r="CD19" i="20" a="1"/>
  <c r="X3" i="20" a="1"/>
  <c r="I3" i="20" a="1"/>
  <c r="X4" i="20" a="1"/>
  <c r="BD10" i="20" a="1"/>
  <c r="BT18" i="20" a="1"/>
  <c r="AZ15" i="20" a="1"/>
  <c r="J14" i="20" a="1"/>
  <c r="AF16" i="20" a="1"/>
  <c r="CI14" i="20" a="1"/>
  <c r="BX12" i="20" a="1"/>
  <c r="CC10" i="20" a="1"/>
  <c r="AT16" i="20" a="1"/>
  <c r="BL7" i="20" a="1"/>
  <c r="BB15" i="20" a="1"/>
  <c r="AU9" i="20" a="1"/>
  <c r="AZ19" i="20" a="1"/>
  <c r="CJ18" i="20" a="1"/>
  <c r="CC14" i="20" a="1"/>
  <c r="AL14" i="20" a="1"/>
  <c r="S10" i="20" a="1"/>
  <c r="N5" i="20" a="1"/>
  <c r="CJ7" i="20" a="1"/>
  <c r="BS9" i="20" a="1"/>
  <c r="M8" i="20" a="1"/>
  <c r="N4" i="20" a="1"/>
  <c r="BX19" i="20" a="1"/>
  <c r="AC13" i="20" a="1"/>
  <c r="CI8" i="20" a="1"/>
  <c r="BR19" i="20" a="1"/>
  <c r="BY19" i="20" a="1"/>
  <c r="U3" i="20" a="1"/>
  <c r="BA3" i="20" a="1"/>
  <c r="X17" i="20" a="1"/>
  <c r="I9" i="20" a="1"/>
  <c r="BL13" i="20" a="1"/>
  <c r="BP17" i="20" a="1"/>
  <c r="BC7" i="20" a="1"/>
  <c r="AZ7" i="20" a="1"/>
  <c r="BW15" i="20" a="1"/>
  <c r="CD16" i="20" a="1"/>
  <c r="BH8" i="20" a="1"/>
  <c r="BF6" i="20" a="1"/>
  <c r="BP16" i="20" a="1"/>
  <c r="J7" i="20" a="1"/>
  <c r="CH6" i="20" a="1"/>
  <c r="BS19" i="20" a="1"/>
  <c r="S19" i="20" a="1"/>
  <c r="AD15" i="20" a="1"/>
  <c r="AT18" i="20" a="1"/>
  <c r="BJ10" i="20" a="1"/>
  <c r="AT6" i="20" a="1"/>
  <c r="BT5" i="20" a="1"/>
  <c r="BS15" i="20" a="1"/>
  <c r="BP6" i="20" a="1"/>
  <c r="AT5" i="20" a="1"/>
  <c r="AK4" i="20" a="1"/>
  <c r="CH17" i="20" a="1"/>
  <c r="BD3" i="20" a="1"/>
  <c r="AS4" i="20" a="1"/>
  <c r="AJ10" i="20" a="1"/>
  <c r="BS4" i="20" a="1"/>
  <c r="BA17" i="20" a="1"/>
  <c r="T5" i="20" a="1"/>
  <c r="AY3" i="20" a="1"/>
  <c r="BT11" i="20" a="1"/>
  <c r="BG5" i="20" a="1"/>
  <c r="T4" i="20" a="1"/>
  <c r="AK9" i="20" a="1"/>
  <c r="CA12" i="20" a="1"/>
  <c r="AF13" i="20" a="1"/>
  <c r="X12" i="20" a="1"/>
  <c r="M9" i="20" a="1"/>
  <c r="BM15" i="20" a="1"/>
  <c r="BF13" i="20" a="1"/>
  <c r="BO15" i="20" a="1"/>
  <c r="BD8" i="20" a="1"/>
  <c r="AY10" i="20" a="1"/>
  <c r="BK6" i="20" a="1"/>
  <c r="BX8" i="20" a="1"/>
  <c r="K17" i="20" a="1"/>
  <c r="BJ13" i="20" a="1"/>
  <c r="AS12" i="20" a="1"/>
  <c r="AB19" i="20" a="1"/>
  <c r="BW19" i="20" a="1"/>
  <c r="BK5" i="20" a="1"/>
  <c r="BH9" i="20" a="1"/>
  <c r="Y9" i="20" a="1"/>
  <c r="AZ13" i="20" a="1"/>
  <c r="CB10" i="20" a="1"/>
  <c r="AA12" i="20" a="1"/>
  <c r="CA13" i="20" a="1"/>
  <c r="CC4" i="20" a="1"/>
  <c r="AR4" i="20" a="1"/>
  <c r="J4" i="20" a="1"/>
  <c r="BX9" i="20" a="1"/>
  <c r="AI13" i="20" a="1"/>
  <c r="AB18" i="20" a="1"/>
  <c r="CB14" i="20" a="1"/>
  <c r="CA8" i="20" a="1"/>
  <c r="CH19" i="20" a="1"/>
  <c r="AJ5" i="20" a="1"/>
  <c r="AT10" i="20" a="1"/>
  <c r="BG7" i="20" a="1"/>
  <c r="AW19" i="20" a="1"/>
  <c r="BU8" i="20" a="1"/>
  <c r="AB4" i="20" a="1"/>
  <c r="Z9" i="20" a="1"/>
  <c r="BM9" i="20" a="1"/>
  <c r="AX17" i="20" a="1"/>
  <c r="V11" i="20" a="1"/>
  <c r="BO9" i="20" a="1"/>
  <c r="Z11" i="20" a="1"/>
  <c r="BQ7" i="20" a="1"/>
  <c r="BK16" i="20" a="1"/>
  <c r="AD4" i="20" a="1"/>
  <c r="O13" i="20" a="1"/>
  <c r="U9" i="20" a="1"/>
  <c r="BX13" i="20" a="1"/>
  <c r="AV8" i="20" a="1"/>
  <c r="BE16" i="20" a="1"/>
  <c r="I11" i="20" a="1"/>
  <c r="BG14" i="20" a="1"/>
  <c r="AJ14" i="20" a="1"/>
  <c r="I16" i="20" a="1"/>
  <c r="BV9" i="20" a="1"/>
  <c r="J11" i="20" a="1"/>
  <c r="BR11" i="20" a="1"/>
  <c r="AG9" i="20" a="1"/>
  <c r="Q18" i="20" a="1"/>
  <c r="BW16" i="20" a="1"/>
  <c r="L6" i="20" a="1"/>
  <c r="AT19" i="20" a="1"/>
  <c r="BV3" i="20" a="1"/>
  <c r="W3" i="20" a="1"/>
  <c r="N17" i="20" a="1"/>
  <c r="Y8" i="20" a="1"/>
  <c r="AF15" i="20" a="1"/>
  <c r="T7" i="20" a="1"/>
  <c r="BL11" i="20" a="1"/>
  <c r="BY10" i="20" a="1"/>
  <c r="N7" i="20" a="1"/>
  <c r="AV6" i="20" a="1"/>
  <c r="BU9" i="20" a="1"/>
  <c r="J13" i="20" a="1"/>
  <c r="CA17" i="20" a="1"/>
  <c r="CG17" i="20" a="1"/>
  <c r="J16" i="20" a="1"/>
  <c r="K9" i="20" a="1"/>
  <c r="AJ15" i="20" a="1"/>
  <c r="BF3" i="20" a="1"/>
  <c r="BQ17" i="20" a="1"/>
  <c r="M15" i="20" a="1"/>
  <c r="AU13" i="20" a="1"/>
  <c r="AK19" i="20" a="1"/>
  <c r="BG8" i="20" a="1"/>
  <c r="BK8" i="20" a="1"/>
  <c r="BO14" i="20" a="1"/>
  <c r="AZ16" i="20" a="1"/>
  <c r="AV19" i="20" a="1"/>
  <c r="AU19" i="20" a="1"/>
  <c r="AL13" i="20" a="1"/>
  <c r="AF7" i="20" a="1"/>
  <c r="CH16" i="20" a="1"/>
  <c r="CI16" i="20" a="1"/>
  <c r="BJ6" i="20" a="1"/>
  <c r="AC17" i="20" a="1"/>
  <c r="BV17" i="20" a="1"/>
  <c r="CA16" i="20" a="1"/>
  <c r="CH9" i="20" a="1"/>
  <c r="V3" i="20" a="1"/>
  <c r="BR4" i="20" a="1"/>
  <c r="BH13" i="20" a="1"/>
  <c r="AJ12" i="20" a="1"/>
  <c r="U8" i="20" a="1"/>
  <c r="AQ8" i="20" a="1"/>
  <c r="BP5" i="20" a="1"/>
  <c r="U7" i="20" a="1"/>
  <c r="AV13" i="20" a="1"/>
  <c r="AA6" i="20" a="1"/>
  <c r="BC13" i="20" a="1"/>
  <c r="AX12" i="20" a="1"/>
  <c r="AL3" i="20" a="1"/>
  <c r="AS5" i="20" a="1"/>
  <c r="CC13" i="20" a="1"/>
  <c r="AA15" i="20" a="1"/>
  <c r="AT17" i="20" a="1"/>
  <c r="CB3" i="20" a="1"/>
  <c r="Z18" i="20" a="1"/>
  <c r="P9" i="20" a="1"/>
  <c r="AX6" i="20" a="1"/>
  <c r="AA8" i="20" a="1"/>
  <c r="CB15" i="20" a="1"/>
  <c r="AF17" i="20" a="1"/>
  <c r="AP7" i="20" a="1"/>
  <c r="BK12" i="20" a="1"/>
  <c r="AF11" i="20" a="1"/>
  <c r="BA19" i="20" a="1"/>
  <c r="P12" i="20" a="1"/>
  <c r="BY12" i="20" a="1"/>
  <c r="AW18" i="20" a="1"/>
  <c r="BX18" i="20" a="1"/>
  <c r="M7" i="20" a="1"/>
  <c r="K15" i="20" a="1"/>
  <c r="K12" i="20" a="1"/>
  <c r="BO3" i="20" a="1"/>
  <c r="AD18" i="20" a="1"/>
  <c r="BM5" i="20" a="1"/>
  <c r="AZ10" i="20" a="1"/>
  <c r="AG6" i="20" a="1"/>
  <c r="CI3" i="20" a="1"/>
  <c r="Y5" i="20" a="1"/>
  <c r="AJ9" i="20" a="1"/>
  <c r="N19" i="20" a="1"/>
  <c r="BH6" i="20" a="1"/>
  <c r="AW10" i="20" a="1"/>
  <c r="AF14" i="20" a="1"/>
  <c r="R14" i="20" a="1"/>
  <c r="BH7" i="20" a="1"/>
  <c r="BD5" i="20" a="1"/>
  <c r="AD7" i="20" a="1"/>
  <c r="BZ11" i="20" a="1"/>
  <c r="AH14" i="20" a="1"/>
  <c r="M12" i="20" a="1"/>
  <c r="AY7" i="20" a="1"/>
  <c r="AM14" i="20" a="1"/>
  <c r="BW10" i="20" a="1"/>
  <c r="BZ5" i="20" a="1"/>
  <c r="V12" i="20" a="1"/>
  <c r="AN4" i="20" a="1"/>
  <c r="BD18" i="20" a="1"/>
  <c r="BA4" i="20" a="1"/>
  <c r="BT7" i="20" a="1"/>
  <c r="AM16" i="20" a="1"/>
  <c r="AG7" i="20" a="1"/>
  <c r="BI7" i="20" a="1"/>
  <c r="O8" i="20" a="1"/>
  <c r="AR15" i="20" a="1"/>
  <c r="BR12" i="20" a="1"/>
  <c r="CB9" i="20" a="1"/>
  <c r="AL16" i="20" a="1"/>
  <c r="K4" i="20" a="1"/>
  <c r="V4" i="20" a="1"/>
  <c r="BM16" i="20" a="1"/>
  <c r="AJ6" i="20" a="1"/>
  <c r="BS13" i="20" a="1"/>
  <c r="BP3" i="20" a="1"/>
  <c r="BU17" i="20" a="1"/>
  <c r="CF18" i="20" a="1"/>
  <c r="L4" i="20" a="1"/>
  <c r="BM7" i="20" a="1"/>
  <c r="AX19" i="20" a="1"/>
  <c r="AT9" i="20" a="1"/>
  <c r="CG15" i="20" a="1"/>
  <c r="S3" i="20" a="1"/>
  <c r="AF18" i="20" a="1"/>
  <c r="BA5" i="20" a="1"/>
  <c r="AY12" i="20" a="1"/>
  <c r="AS8" i="20" a="1"/>
  <c r="BQ18" i="20" a="1"/>
  <c r="BL16" i="20" a="1"/>
  <c r="AZ12" i="20" a="1"/>
  <c r="AS19" i="20" a="1"/>
  <c r="BM14" i="20" a="1"/>
  <c r="CA15" i="20" a="1"/>
  <c r="L12" i="20" a="1"/>
  <c r="BC16" i="20" a="1"/>
  <c r="BO18" i="20" a="1"/>
  <c r="AT4" i="20" a="1"/>
  <c r="AB13" i="20" a="1"/>
  <c r="BH12" i="20" a="1"/>
  <c r="CC9" i="20" a="1"/>
  <c r="AX15" i="20" a="1"/>
  <c r="CF8" i="20" a="1"/>
  <c r="AR5" i="20" a="1"/>
  <c r="AJ16" i="20" a="1"/>
  <c r="CJ13" i="20" a="1"/>
  <c r="AH9" i="20" a="1"/>
  <c r="BR5" i="20" a="1"/>
  <c r="AL18" i="20" a="1"/>
  <c r="Z6" i="20" a="1"/>
  <c r="AO5" i="20" a="1"/>
  <c r="AA3" i="20" a="1"/>
  <c r="CG13" i="20" a="1"/>
  <c r="AZ4" i="20" a="1"/>
  <c r="O6" i="20" a="1"/>
  <c r="BZ4" i="20" a="1"/>
  <c r="AV12" i="20" a="1"/>
  <c r="BX3" i="20" a="1"/>
  <c r="BH3" i="20" a="1"/>
  <c r="AZ18" i="20" a="1"/>
  <c r="CB4" i="20" a="1"/>
  <c r="BF14" i="20" a="1"/>
  <c r="BP9" i="20" a="1"/>
  <c r="AM10" i="20" a="1"/>
  <c r="Y17" i="20" a="1"/>
  <c r="N10" i="20" a="1"/>
  <c r="BR16" i="20" a="1"/>
  <c r="Z14" i="20" a="1"/>
  <c r="AM12" i="20" a="1"/>
  <c r="BP10" i="20" a="1"/>
  <c r="CE16" i="20" a="1"/>
  <c r="O11" i="20" a="1"/>
  <c r="M13" i="20" a="1"/>
  <c r="BZ14" i="20" a="1"/>
  <c r="K13" i="20" a="1"/>
  <c r="AA9" i="20" a="1"/>
  <c r="CI15" i="20" a="1"/>
  <c r="O12" i="20" a="1"/>
  <c r="AW7" i="20" a="1"/>
  <c r="R17" i="20" a="1"/>
  <c r="AV17" i="20" a="1"/>
  <c r="CA9" i="20" a="1"/>
  <c r="BM6" i="20" a="1"/>
  <c r="AW4" i="20" a="1"/>
  <c r="AF19" i="20" a="1"/>
  <c r="AO11" i="20" a="1"/>
  <c r="AE16" i="20" a="1"/>
  <c r="AI11" i="20" a="1"/>
  <c r="BR8" i="20" a="1"/>
  <c r="BN17" i="20" a="1"/>
  <c r="BQ15" i="20" a="1"/>
  <c r="K5" i="20" a="1"/>
  <c r="AL15" i="20" a="1"/>
  <c r="BF17" i="20" a="1"/>
  <c r="BR7" i="20" a="1"/>
  <c r="AB17" i="20" a="1"/>
  <c r="BV5" i="20" a="1"/>
  <c r="M16" i="20" a="1"/>
  <c r="BF8" i="20" a="1"/>
  <c r="BJ18" i="20" a="1"/>
  <c r="BD16" i="20" a="1"/>
  <c r="BV16" i="20" a="1"/>
  <c r="AY18" i="20" a="1"/>
  <c r="AE4" i="20" a="1"/>
  <c r="AV18" i="20" a="1"/>
  <c r="CJ8" i="20" a="1"/>
  <c r="BI19" i="20" a="1"/>
  <c r="BM18" i="20" a="1"/>
  <c r="AK14" i="20" a="1"/>
  <c r="CH5" i="20" a="1"/>
  <c r="V19" i="20" a="1"/>
  <c r="BU15" i="20" a="1"/>
  <c r="AP17" i="20" a="1"/>
  <c r="W12" i="20" a="1"/>
  <c r="P10" i="20" a="1"/>
  <c r="BG3" i="20" a="1"/>
  <c r="BJ17" i="20" a="1"/>
  <c r="L3" i="20" a="1"/>
  <c r="CH11" i="20" a="1"/>
  <c r="AD8" i="20" a="1"/>
  <c r="BN13" i="20" a="1"/>
  <c r="BC15" i="20" a="1"/>
  <c r="BE5" i="20" a="1"/>
  <c r="R11" i="20" a="1"/>
  <c r="BC14" i="20" a="1"/>
  <c r="N14" i="20" a="1"/>
  <c r="AF8" i="20" a="1"/>
  <c r="AG3" i="20" a="1"/>
  <c r="BB11" i="20" a="1"/>
  <c r="AK5" i="20" a="1"/>
  <c r="I6" i="20" a="1"/>
  <c r="T12" i="20" a="1"/>
  <c r="BR10" i="20" a="1"/>
  <c r="AO10" i="20" a="1"/>
  <c r="AF6" i="20" a="1"/>
  <c r="BD14" i="20" a="1"/>
  <c r="I4" i="20" a="1"/>
  <c r="BG6" i="20" a="1"/>
  <c r="AQ3" i="20" a="1"/>
  <c r="BW4" i="20" a="1"/>
  <c r="CH3" i="20" a="1"/>
  <c r="AN13" i="20" a="1"/>
  <c r="BU10" i="20" a="1"/>
  <c r="R18" i="20" a="1"/>
  <c r="V13" i="20" a="1"/>
  <c r="AD12" i="20" a="1"/>
  <c r="AJ17" i="20" a="1"/>
  <c r="BU3" i="20" a="1"/>
  <c r="AO14" i="20" a="1"/>
  <c r="AI5" i="20" a="1"/>
  <c r="M18" i="20" a="1"/>
  <c r="BO13" i="20" a="1"/>
  <c r="BO19" i="20" a="1"/>
  <c r="V18" i="20" a="1"/>
  <c r="AW17" i="20" a="1"/>
  <c r="BQ12" i="20" a="1"/>
  <c r="BR18" i="20" a="1"/>
  <c r="BZ8" i="20" a="1"/>
  <c r="CC15" i="20" a="1"/>
  <c r="BE15" i="20" a="1"/>
  <c r="T18" i="20" a="1"/>
  <c r="BR13" i="20" a="1"/>
  <c r="AH6" i="20" a="1"/>
  <c r="P18" i="20" a="1"/>
  <c r="AI18" i="20" a="1"/>
  <c r="Q6" i="20" a="1"/>
  <c r="V14" i="20" a="1"/>
  <c r="AN15" i="20" a="1"/>
  <c r="BP4" i="20" a="1"/>
  <c r="AX9" i="20" a="1"/>
  <c r="Z12" i="20" a="1"/>
  <c r="AA17" i="20" a="1"/>
  <c r="AR14" i="20" a="1"/>
  <c r="AM13" i="20" a="1"/>
  <c r="L16" i="20" a="1"/>
  <c r="T16" i="20" a="1"/>
  <c r="AI17" i="20" a="1"/>
  <c r="AM9" i="20" a="1"/>
  <c r="AQ5" i="20" a="1"/>
  <c r="CG7" i="20" a="1"/>
  <c r="T10" i="20" a="1"/>
  <c r="CF13" i="20" a="1"/>
  <c r="N13" i="20" a="1"/>
  <c r="BK4" i="20" a="1"/>
  <c r="BW14" i="20" a="1"/>
  <c r="BR6" i="20" a="1"/>
  <c r="BC19" i="20" a="1"/>
  <c r="AH17" i="20" a="1"/>
  <c r="CA5" i="20" a="1"/>
  <c r="U12" i="20" a="1"/>
  <c r="AI3" i="20" a="1"/>
  <c r="AY19" i="20" a="1"/>
  <c r="AN10" i="20" a="1"/>
  <c r="AN16" i="20" a="1"/>
  <c r="AG15" i="20" a="1"/>
  <c r="AG12" i="20" a="1"/>
  <c r="AN7" i="20" a="1"/>
  <c r="Q11" i="20" a="1"/>
  <c r="CJ11" i="20" a="1"/>
  <c r="BE4" i="20" a="1"/>
  <c r="AE8" i="20" a="1"/>
  <c r="AN12" i="20" a="1"/>
  <c r="BY9" i="20" a="1"/>
  <c r="BO10" i="20" a="1"/>
  <c r="BX7" i="20" a="1"/>
  <c r="BB6" i="20" a="1"/>
  <c r="AI19" i="20" a="1"/>
  <c r="I17" i="20" a="1"/>
  <c r="BL3" i="20" a="1"/>
  <c r="BY6" i="20" a="1"/>
  <c r="BM12" i="20" a="1"/>
  <c r="AT13" i="20" a="1"/>
  <c r="AK12" i="20" a="1"/>
  <c r="CJ19" i="20" a="1"/>
  <c r="BM10" i="20" a="1"/>
  <c r="BA11" i="20" a="1"/>
  <c r="AQ10" i="20" a="1"/>
  <c r="BI15" i="20" a="1"/>
  <c r="CG9" i="20" a="1"/>
  <c r="BO5" i="20" a="1"/>
  <c r="BR3" i="20" a="1"/>
  <c r="BY18" i="20" a="1"/>
  <c r="AS15" i="20" a="1"/>
  <c r="AI15" i="20" a="1"/>
  <c r="BQ11" i="20" a="1"/>
  <c r="S13" i="20" a="1"/>
  <c r="CG5" i="20" a="1"/>
  <c r="AL11" i="20" a="1"/>
  <c r="AK8" i="20" a="1"/>
  <c r="AO3" i="20" a="1"/>
  <c r="Z3" i="20" a="1"/>
  <c r="CD7" i="20" a="1"/>
  <c r="AO19" i="20" a="1"/>
  <c r="CJ9" i="20" a="1"/>
  <c r="BX6" i="20" a="1"/>
  <c r="BM19" i="20" a="1"/>
  <c r="AC19" i="20" a="1"/>
  <c r="BP7" i="20" a="1"/>
  <c r="CG11" i="20" a="1"/>
  <c r="W13" i="20" a="1"/>
  <c r="BK3" i="20" a="1"/>
  <c r="BB13" i="20" a="1"/>
  <c r="Y12" i="20" a="1"/>
  <c r="AX13" i="20" a="1"/>
  <c r="AQ17" i="20" a="1"/>
  <c r="U17" i="20" a="1"/>
  <c r="Z17" i="20" a="1"/>
  <c r="O9" i="20" a="1"/>
  <c r="AI14" i="20" a="1"/>
  <c r="AW14" i="20" a="1"/>
  <c r="AW13" i="20" a="1"/>
  <c r="AJ18" i="20" a="1"/>
  <c r="CB13" i="20" a="1"/>
  <c r="AD10" i="20" a="1"/>
  <c r="L5" i="20" a="1"/>
  <c r="AV16" i="20" a="1"/>
  <c r="AS3" i="20" a="1"/>
  <c r="BE6" i="20" a="1"/>
  <c r="BA8" i="20" a="1"/>
  <c r="CI6" i="20" a="1"/>
  <c r="BW5" i="20" a="1"/>
  <c r="AT3" i="20" a="1"/>
  <c r="V9" i="20" a="1"/>
  <c r="AM15" i="20" a="1"/>
  <c r="Q19" i="20" a="1"/>
  <c r="BY5" i="20" a="1"/>
  <c r="BI11" i="20" a="1"/>
  <c r="CA19" i="20" a="1"/>
  <c r="O3" i="20" a="1"/>
  <c r="BP18" i="20" a="1"/>
  <c r="CJ16" i="20" a="1"/>
  <c r="AK18" i="20" a="1"/>
  <c r="BN8" i="20" a="1"/>
  <c r="AH7" i="20" a="1"/>
  <c r="CE12" i="20" a="1"/>
  <c r="AY8" i="20" a="1"/>
  <c r="AW3" i="20" a="1"/>
  <c r="R16" i="20" a="1"/>
  <c r="BJ16" i="20" a="1"/>
  <c r="BN4" i="20" a="1"/>
  <c r="T15" i="20" a="1"/>
  <c r="V7" i="20" a="1"/>
  <c r="CE17" i="20" a="1"/>
  <c r="BI3" i="20" a="1"/>
  <c r="CE9" i="20" a="1"/>
  <c r="V10" i="20" a="1"/>
  <c r="BO16" i="20" a="1"/>
  <c r="R8" i="20" a="1"/>
  <c r="O19" i="20" a="1"/>
  <c r="BU11" i="20" a="1"/>
  <c r="AS9" i="20" a="1"/>
  <c r="S7" i="20" a="1"/>
  <c r="AA10" i="20" a="1"/>
  <c r="P14" i="20" a="1"/>
  <c r="AG11" i="20" a="1"/>
  <c r="AS11" i="20" a="1"/>
  <c r="BC17" i="20" a="1"/>
  <c r="BC4" i="20" a="1"/>
  <c r="BT15" i="20" a="1"/>
  <c r="BA13" i="20" a="1"/>
  <c r="CD15" i="20" a="1"/>
  <c r="AC9" i="20" a="1"/>
  <c r="BZ15" i="20" a="1"/>
  <c r="BL17" i="20" a="1"/>
  <c r="S5" i="20" a="1"/>
  <c r="BT9" i="20" a="1"/>
  <c r="BW8" i="20" a="1"/>
  <c r="BH11" i="20" a="1"/>
  <c r="K14" i="20" a="1"/>
  <c r="R7" i="20" a="1"/>
  <c r="AU10" i="20" a="1"/>
  <c r="CB16" i="20" a="1"/>
  <c r="AE13" i="20" a="1"/>
  <c r="X7" i="20" a="1"/>
  <c r="BL14" i="20" a="1"/>
  <c r="BP11" i="20" a="1"/>
  <c r="CC6" i="20" a="1"/>
  <c r="BS17" i="20" a="1"/>
  <c r="AO9" i="20" a="1"/>
  <c r="AP14" i="20" a="1"/>
  <c r="P3" i="20" a="1"/>
  <c r="AE7" i="20" a="1"/>
  <c r="AW5" i="20" a="1"/>
  <c r="AK17" i="20" a="1"/>
  <c r="AL6" i="20" a="1"/>
  <c r="BN9" i="20" a="1"/>
  <c r="AA14" i="20" a="1"/>
  <c r="O16" i="20" a="1"/>
  <c r="U5" i="20" a="1"/>
  <c r="U14" i="20" a="1"/>
  <c r="BT10" i="20" a="1"/>
  <c r="BU6" i="20" a="1"/>
  <c r="BG15" i="20" a="1"/>
  <c r="W10" i="20" a="1"/>
  <c r="AL17" i="20" a="1"/>
  <c r="AP10" i="20" a="1"/>
  <c r="AX5" i="20" a="1"/>
  <c r="AG16" i="20" a="1"/>
  <c r="S6" i="20" a="1"/>
  <c r="BG9" i="20" a="1"/>
  <c r="CC5" i="20" a="1"/>
  <c r="AE5" i="20" a="1"/>
  <c r="AV10" i="20" a="1"/>
  <c r="BU4" i="20" a="1"/>
  <c r="Z4" i="20" a="1"/>
  <c r="CI12" i="20" a="1"/>
  <c r="AD19" i="20" a="1"/>
  <c r="T17" i="20" a="1"/>
  <c r="BF11" i="20" a="1"/>
  <c r="BQ6" i="20" a="1"/>
  <c r="Y18" i="20" a="1"/>
  <c r="CA6" i="20" a="1"/>
  <c r="BI14" i="20" a="1"/>
  <c r="CG4" i="20" a="1"/>
  <c r="BD15" i="20" a="1"/>
  <c r="AH12" i="20" a="1"/>
  <c r="BR14" i="20" a="1"/>
  <c r="CF4" i="20" a="1"/>
  <c r="BM13" i="20" a="1"/>
  <c r="K10" i="20" a="1"/>
  <c r="BF15" i="20" a="1"/>
  <c r="AD14" i="20" a="1"/>
  <c r="M17" i="20" a="1"/>
  <c r="CH15" i="20" a="1"/>
  <c r="BU14" i="20" a="1"/>
  <c r="AG14" i="20" a="1"/>
  <c r="Q8" i="20" a="1"/>
  <c r="P15" i="20" a="1"/>
  <c r="AY11" i="20" a="1"/>
  <c r="CC8" i="20" a="1"/>
  <c r="AQ13" i="20" a="1"/>
  <c r="CE14" i="20" a="1"/>
  <c r="Q17" i="20" a="1"/>
  <c r="N8" i="20" a="1"/>
  <c r="AX4" i="20" a="1"/>
  <c r="AL7" i="20" a="1"/>
  <c r="BN12" i="20" a="1"/>
  <c r="AA7" i="20" a="1"/>
  <c r="O15" i="20" a="1"/>
  <c r="BY14" i="20" a="1"/>
  <c r="O7" i="20" a="1"/>
  <c r="CG18" i="20" a="1"/>
  <c r="AP11" i="20" a="1"/>
  <c r="BV12" i="20" a="1"/>
  <c r="AM7" i="20" a="1"/>
  <c r="BZ6" i="20" a="1"/>
  <c r="CC12" i="20" a="1"/>
  <c r="CJ3" i="20" a="1"/>
  <c r="CB11" i="20" a="1"/>
  <c r="BE19" i="20" a="1"/>
  <c r="Y13" i="20" a="1"/>
  <c r="AD11" i="20" a="1"/>
  <c r="X8" i="20" a="1"/>
  <c r="AB15" i="20" a="1"/>
  <c r="CJ6" i="20" a="1"/>
  <c r="BF19" i="20" a="1"/>
  <c r="V5" i="20" a="1"/>
  <c r="BY13" i="20" a="1"/>
  <c r="AP5" i="20" a="1"/>
  <c r="P7" i="20" a="1"/>
  <c r="CJ14" i="20" a="1"/>
  <c r="AX8" i="20" a="1"/>
  <c r="I5" i="20" a="1"/>
  <c r="AN19" i="20" a="1"/>
  <c r="CJ10" i="20" a="1"/>
  <c r="AR9" i="20" a="1"/>
  <c r="L19" i="20" a="1"/>
  <c r="AZ6" i="20" a="1"/>
  <c r="R19" i="20" a="1"/>
  <c r="BE11" i="20" a="1"/>
  <c r="S4" i="20" a="1"/>
  <c r="AO15" i="20" a="1"/>
  <c r="CD9" i="20" a="1"/>
  <c r="BX15" i="20" a="1"/>
  <c r="BU16" i="20" a="1"/>
  <c r="AH16" i="20" a="1"/>
  <c r="AX10" i="20" a="1"/>
  <c r="U15" i="20" a="1"/>
  <c r="AS7" i="20" a="1"/>
  <c r="BC3" i="20" a="1"/>
  <c r="T9" i="20" a="1"/>
  <c r="AP3" i="20" a="1"/>
  <c r="BN10" i="20" a="1"/>
  <c r="AQ18" i="20" a="1"/>
  <c r="BE7" i="20" a="1"/>
  <c r="BN16" i="20" a="1"/>
  <c r="AH15" i="20" a="1"/>
  <c r="CF15" i="20" a="1"/>
  <c r="AP13" i="20" a="1"/>
  <c r="AY15" i="20" a="1"/>
  <c r="BO4" i="20" a="1"/>
  <c r="AV3" i="20" a="1"/>
  <c r="T11" i="20" a="1"/>
  <c r="BJ8" i="20" a="1"/>
  <c r="AH4" i="20" a="1"/>
  <c r="AN18" i="20" a="1"/>
  <c r="CD17" i="20" a="1"/>
  <c r="AN3" i="20" a="1"/>
  <c r="BE9" i="20" a="1"/>
  <c r="O4" i="20" a="1"/>
  <c r="AV15" i="20" a="1"/>
  <c r="N3" i="20" a="1"/>
  <c r="BN18" i="20" a="1"/>
  <c r="AW16" i="20" a="1"/>
  <c r="CI7" i="20" a="1"/>
  <c r="AF12" i="20" a="1"/>
  <c r="CJ4" i="20" a="1"/>
  <c r="AX7" i="20" a="1"/>
  <c r="K6" i="20" a="1"/>
  <c r="AE9" i="20" a="1"/>
  <c r="AR8" i="20" a="1"/>
  <c r="BY3" i="20" a="1"/>
  <c r="O17" i="20" a="1"/>
  <c r="BG11" i="20" a="1"/>
  <c r="CI10" i="20" a="1"/>
  <c r="BD11" i="20" a="1"/>
  <c r="L14" i="20" a="1"/>
  <c r="T6" i="20" a="1"/>
  <c r="BW17" i="20" a="1"/>
  <c r="AW8" i="20" a="1"/>
  <c r="AC3" i="20" a="1"/>
  <c r="N6" i="20" a="1"/>
  <c r="BI18" i="20" a="1"/>
  <c r="AU4" i="20" a="1"/>
  <c r="CI9" i="20" a="1"/>
  <c r="P11" i="20" a="1"/>
  <c r="BD7" i="20" a="1"/>
  <c r="AK16" i="20" a="1"/>
  <c r="K19" i="20" a="1"/>
  <c r="AW12" i="20" a="1"/>
  <c r="AY6" i="20" a="1"/>
  <c r="BL8" i="20" a="1"/>
  <c r="BD19" i="20" a="1"/>
  <c r="CA14" i="20" a="1"/>
  <c r="I12" i="20" a="1"/>
  <c r="Y4" i="20" a="1"/>
  <c r="AB12" i="20" a="1"/>
  <c r="AH10" i="20" a="1"/>
  <c r="BE17" i="20" a="1"/>
  <c r="BP19" i="20" a="1"/>
  <c r="BV19" i="20" a="1"/>
  <c r="AA18" i="20" a="1"/>
  <c r="CF14" i="20" a="1"/>
  <c r="BK11" i="20" a="1"/>
  <c r="AG10" i="20" a="1"/>
  <c r="I15" i="20" a="1"/>
  <c r="BH5" i="20" a="1"/>
  <c r="BU13" i="20" a="1"/>
  <c r="BL10" i="20" a="1"/>
  <c r="AD6" i="20" a="1"/>
  <c r="BX17" i="20" a="1"/>
  <c r="BZ13" i="20" a="1"/>
  <c r="AX14" i="20" a="1"/>
  <c r="BV10" i="20" a="1"/>
  <c r="AE17" i="20" a="1"/>
  <c r="BU7" i="20" a="1"/>
  <c r="BB4" i="20" a="1"/>
  <c r="AY14" i="20" a="1"/>
  <c r="CE15" i="20" a="1"/>
  <c r="U19" i="20" a="1"/>
  <c r="BS16" i="20" a="1"/>
  <c r="CH10" i="20" a="1"/>
  <c r="V17" i="20" a="1"/>
  <c r="AN14" i="20" a="1"/>
  <c r="BL9" i="20" a="1"/>
  <c r="X6" i="20" a="1"/>
  <c r="BW7" i="20" a="1"/>
  <c r="AR13" i="20" a="1"/>
  <c r="BO12" i="20" a="1"/>
  <c r="U18" i="20" a="1"/>
  <c r="BO6" i="20" a="1"/>
  <c r="AV11" i="20" a="1"/>
  <c r="AH18" i="20" a="1"/>
  <c r="BQ4" i="20" a="1"/>
  <c r="AQ4" i="20" a="1"/>
  <c r="CC7" i="20" a="1"/>
  <c r="AJ8" i="20" a="1"/>
  <c r="BH15" i="20" a="1"/>
  <c r="Q10" i="20" a="1"/>
  <c r="BB7" i="20" a="1"/>
  <c r="AZ9" i="20" a="1"/>
  <c r="I18" i="20" a="1"/>
  <c r="Z10" i="20" a="1"/>
  <c r="L15" i="20" a="1"/>
  <c r="BL15" i="20" a="1"/>
  <c r="BO11" i="20" a="1"/>
  <c r="BN19" i="20" a="1"/>
  <c r="AZ5" i="20" a="1"/>
  <c r="V6" i="20" a="1"/>
  <c r="AV14" i="20" a="1"/>
  <c r="CD13" i="20" a="1"/>
  <c r="BG19" i="20" a="1"/>
  <c r="CD8" i="20" a="1"/>
  <c r="BQ8" i="20" a="1"/>
  <c r="BB14" i="20" a="1"/>
  <c r="BS10" i="20" a="1"/>
  <c r="AS17" i="20" a="1"/>
  <c r="BL4" i="20" a="1"/>
  <c r="AM5" i="20" a="1"/>
  <c r="BK17" i="20" a="1"/>
  <c r="CD6" i="20" a="1"/>
  <c r="AD3" i="20" a="1"/>
  <c r="BL19" i="20" a="1"/>
  <c r="AT8" i="20" a="1"/>
  <c r="BI10" i="20" a="1"/>
  <c r="AP18" i="20" a="1"/>
  <c r="I7" i="20" a="1"/>
  <c r="AW6" i="20" a="1"/>
  <c r="BC10" i="20" a="1"/>
  <c r="BD6" i="20" a="1"/>
  <c r="Z5" i="20" a="1"/>
  <c r="U13" i="20" a="1"/>
  <c r="BG18" i="20" a="1"/>
  <c r="AF9" i="20" a="1"/>
  <c r="BF5" i="20" a="1"/>
  <c r="BK14" i="20" a="1"/>
  <c r="CI5" i="20" a="1"/>
  <c r="AH5" i="20" a="1"/>
  <c r="BI4" i="20" a="1"/>
  <c r="BY8" i="20" a="1"/>
  <c r="AH8" i="20" a="1"/>
  <c r="L17" i="20" a="1"/>
  <c r="BA12" i="20" a="1"/>
  <c r="AD5" i="20" a="1"/>
  <c r="CF9" i="20" a="1"/>
  <c r="X14" i="20" a="1"/>
  <c r="BT8" i="20" a="1"/>
  <c r="J15" i="20" a="1"/>
  <c r="AN8" i="20" a="1"/>
  <c r="AO4" i="20" a="1"/>
  <c r="BV6" i="20" a="1"/>
  <c r="BW9" i="20" a="1"/>
  <c r="BF7" i="20" a="1"/>
  <c r="AD17" i="20" a="1"/>
  <c r="BY16" i="20" a="1"/>
  <c r="BH16" i="20" a="1"/>
  <c r="AR17" i="20" a="1"/>
  <c r="W11" i="20" a="1"/>
  <c r="BL6" i="20" a="1"/>
  <c r="S16" i="20" a="1"/>
  <c r="BM17" i="20" a="1"/>
  <c r="BB10" i="20" a="1"/>
  <c r="I10" i="20" a="1"/>
  <c r="BG12" i="20" a="1"/>
  <c r="BS11" i="20" a="1"/>
  <c r="AL5" i="20" a="1"/>
  <c r="J19" i="20" a="1"/>
  <c r="BY17" i="20" a="1"/>
  <c r="R6" i="20" a="1"/>
  <c r="CE18" i="20" a="1"/>
  <c r="CC3" i="20" a="1"/>
  <c r="BP13" i="20" a="1"/>
  <c r="AT12" i="20" a="1"/>
  <c r="T3" i="20" a="1"/>
  <c r="BU5" i="20" a="1"/>
  <c r="AH19" i="20" a="1"/>
  <c r="AH3" i="20" a="1"/>
  <c r="BA18" i="20" a="1"/>
  <c r="BD4" i="20" a="1"/>
  <c r="BI17" i="20" a="1"/>
  <c r="AW11" i="20" a="1"/>
  <c r="AQ9" i="20" a="1"/>
  <c r="CD11" i="20" a="1"/>
  <c r="BS14" i="20" a="1"/>
  <c r="CI11" i="20" a="1"/>
  <c r="CC19" i="20" a="1"/>
  <c r="AB11" i="20" a="1"/>
  <c r="AJ3" i="20" a="1"/>
  <c r="AA11" i="20" a="1"/>
  <c r="R4" i="20" a="1"/>
  <c r="L13" i="20" a="1"/>
  <c r="CH18" i="20" a="1"/>
  <c r="AF5" i="20" a="1"/>
  <c r="AC10" i="20" a="1"/>
  <c r="W9" i="20" a="1"/>
  <c r="AB9" i="20" a="1"/>
  <c r="BZ18" i="20" a="1"/>
  <c r="BS6" i="20" a="1"/>
  <c r="BI16" i="20" a="1"/>
  <c r="K18" i="20" a="1"/>
  <c r="X5" i="20" a="1"/>
  <c r="AY13" i="20" a="1"/>
  <c r="AO16" i="20" a="1"/>
  <c r="BV4" i="20" a="1"/>
  <c r="BF16" i="20" a="1"/>
  <c r="CA10" i="20" a="1"/>
  <c r="CI13" i="20" a="1"/>
  <c r="BA7" i="20" a="1"/>
  <c r="BX10" i="20" a="1"/>
  <c r="BC5" i="20" a="1"/>
  <c r="U10" i="20" a="1"/>
  <c r="AU18" i="20" a="1"/>
  <c r="O10" i="20" a="1"/>
  <c r="Y19" i="20" a="1"/>
  <c r="BM8" i="20" a="1"/>
  <c r="I13" i="20" a="1"/>
  <c r="X9" i="20" a="1"/>
  <c r="CE8" i="20" a="1"/>
  <c r="CD4" i="20" a="1"/>
  <c r="W7" i="20" a="1"/>
  <c r="CE19" i="20" a="1"/>
  <c r="CF7" i="20" a="1"/>
  <c r="BW6" i="20" a="1"/>
  <c r="AD9" i="20" a="1"/>
  <c r="BB18" i="20" a="1"/>
  <c r="CE6" i="20" a="1"/>
  <c r="BV13" i="20" a="1"/>
  <c r="BN7" i="20" a="1"/>
  <c r="AV4" i="20" a="1"/>
  <c r="BL5" i="20" a="1"/>
  <c r="N9" i="20" a="1"/>
  <c r="BH4" i="20" a="1"/>
  <c r="BD13" i="20" a="1"/>
  <c r="BJ19" i="20" a="1"/>
  <c r="L7" i="20" a="1"/>
  <c r="M11" i="20" a="1"/>
  <c r="AX11" i="20" a="1"/>
  <c r="BT17" i="20" a="1"/>
  <c r="BT3" i="20" a="1"/>
  <c r="T19" i="20" a="1"/>
  <c r="BQ13" i="20" a="1"/>
  <c r="BX11" i="20" a="1"/>
  <c r="AZ11" i="20" a="1"/>
  <c r="BA16" i="20" a="1"/>
  <c r="CG10" i="20" a="1"/>
  <c r="BF10" i="20" a="1"/>
  <c r="Y15" i="20" a="1"/>
  <c r="AC7" i="20" a="1"/>
  <c r="I19" i="20" a="1"/>
  <c r="BG17" i="20" a="1"/>
  <c r="AE14" i="20" a="1"/>
  <c r="CF17" i="20" a="1"/>
  <c r="AP9" i="20" a="1"/>
  <c r="BX14" i="20" a="1"/>
  <c r="BJ5" i="20" a="1"/>
  <c r="BK9" i="20" a="1"/>
  <c r="AB7" i="20" a="1"/>
  <c r="BV8" i="20" a="1"/>
  <c r="BI6" i="20" a="1"/>
  <c r="BL12" i="20" a="1"/>
  <c r="AF10" i="20" a="1"/>
  <c r="BB8" i="20" a="1"/>
  <c r="J5" i="20" a="1"/>
  <c r="W8" i="20" a="1"/>
  <c r="BT14" i="20" a="1"/>
  <c r="S14" i="20" a="1"/>
  <c r="W15" i="20" a="1"/>
  <c r="AG5" i="20" a="1"/>
  <c r="BF4" i="20" a="1"/>
  <c r="Z19" i="20" a="1"/>
  <c r="L9" i="20" a="1"/>
  <c r="BG13" i="20" a="1"/>
  <c r="P16" i="20" a="1"/>
  <c r="BO7" i="20" a="1"/>
  <c r="Q3" i="20" a="1"/>
  <c r="L18" i="20" a="1"/>
  <c r="BA15" i="20" a="1"/>
  <c r="BD17" i="20" a="1"/>
  <c r="AY17" i="20" a="1"/>
  <c r="Q5" i="20" a="1"/>
  <c r="AC11" i="20" a="1"/>
  <c r="AU12" i="20" a="1"/>
  <c r="R10" i="20" a="1"/>
  <c r="BZ3" i="20" a="1"/>
  <c r="Y14" i="20" a="1"/>
  <c r="AC5" i="20" a="1"/>
  <c r="CF6" i="20" a="1"/>
  <c r="AM3" i="20" a="1"/>
  <c r="AO13" i="20" a="1"/>
  <c r="BF18" i="20" a="1"/>
  <c r="AK13" i="20" a="1"/>
  <c r="AI16" i="20" a="1"/>
  <c r="X11" i="20" a="1"/>
  <c r="BT16" i="20" a="1"/>
  <c r="AH13" i="20" a="1"/>
  <c r="AU14" i="20" a="1"/>
  <c r="I14" i="20" a="1"/>
  <c r="AC12" i="20" a="1"/>
  <c r="S17" i="20" a="1"/>
  <c r="BG10" i="20" a="1"/>
  <c r="AN6" i="20" a="1"/>
  <c r="BB19" i="20" a="1"/>
  <c r="S15" i="20" a="1"/>
  <c r="AB5" i="20" a="1"/>
  <c r="CB18" i="20" a="1"/>
  <c r="AR18" i="20" a="1"/>
  <c r="AQ12" i="20" a="1"/>
  <c r="BB12" i="20" a="1"/>
  <c r="AI9" i="20" a="1"/>
  <c r="AA4" i="20" a="1"/>
  <c r="AA13" i="20" a="1"/>
  <c r="Q16" i="20" a="1"/>
  <c r="BN6" i="20" a="1"/>
  <c r="Q12" i="20" a="1"/>
  <c r="CH7" i="20" a="1"/>
  <c r="X16" i="20" a="1"/>
  <c r="M19" i="20" a="1"/>
  <c r="BO8" i="20" a="1"/>
  <c r="K7" i="20" a="1"/>
  <c r="AB3" i="20" a="1"/>
  <c r="O5" i="20" a="1"/>
  <c r="AU3" i="20" a="1"/>
  <c r="CC11" i="20" a="1"/>
  <c r="S12" i="20" a="1"/>
  <c r="BZ19" i="20" a="1"/>
  <c r="AF4" i="20" a="1"/>
  <c r="CG3" i="20" a="1"/>
  <c r="BP14" i="20" a="1"/>
  <c r="BY15" i="20" a="1"/>
  <c r="AP16" i="20" a="1"/>
  <c r="BI8" i="20" a="1"/>
  <c r="BS18" i="20" a="1"/>
  <c r="AM11" i="20" a="1"/>
  <c r="X15" i="20" a="1"/>
  <c r="AQ6" i="20" a="1"/>
  <c r="BQ16" i="20" a="1"/>
  <c r="Y16" i="20" a="1"/>
  <c r="CE13" i="20" a="1"/>
  <c r="BJ7" i="20" a="1"/>
  <c r="BT12" i="20" a="1"/>
  <c r="N15" i="20" a="1"/>
  <c r="BS12" i="20" a="1"/>
  <c r="BB17" i="20" a="1"/>
  <c r="BW18" i="20" a="1"/>
  <c r="AT15" i="20" a="1"/>
  <c r="BC9" i="20" a="1"/>
  <c r="AN9" i="20" a="1"/>
  <c r="BJ14" i="20" a="1"/>
  <c r="BW12" i="20" a="1"/>
  <c r="BJ3" i="20" a="1"/>
  <c r="BC12" i="20" a="1"/>
  <c r="N18" i="20" a="1"/>
  <c r="CB12" i="20" a="1"/>
  <c r="AL19" i="20" a="1"/>
  <c r="Z8" i="20" a="1"/>
  <c r="Q13" i="20" a="1"/>
  <c r="AN5" i="20" a="1"/>
  <c r="Z7" i="20" a="1"/>
  <c r="AL4" i="20" a="1"/>
  <c r="AL12" i="20" a="1"/>
  <c r="BN11" i="20" a="1"/>
  <c r="BP8" i="20" a="1"/>
  <c r="AK6" i="20" a="1"/>
  <c r="BC8" i="20" a="1"/>
  <c r="AU8" i="20" a="1"/>
  <c r="AQ11" i="20" a="1"/>
  <c r="BK7" i="20" a="1"/>
  <c r="M14" i="20" a="1"/>
  <c r="BI9" i="20" a="1"/>
  <c r="AE6" i="20" a="1"/>
  <c r="W19" i="20" a="1"/>
  <c r="AQ19" i="20" a="1"/>
  <c r="P4" i="20" a="1"/>
  <c r="Y10" i="20" a="1"/>
  <c r="BN14" i="20" a="1"/>
  <c r="BB3" i="20" a="1"/>
  <c r="AG17" i="20" a="1"/>
  <c r="AJ11" i="20" a="1"/>
  <c r="AA19" i="20" a="1"/>
  <c r="P13" i="20" a="1"/>
  <c r="CF11" i="20" a="1"/>
  <c r="AQ14" i="20" a="1"/>
  <c r="BN5" i="20" a="1"/>
  <c r="BL6" i="20" l="1"/>
  <c r="CE6" i="20"/>
  <c r="AR17" i="20"/>
  <c r="AK12" i="20"/>
  <c r="AP13" i="20"/>
  <c r="BL3" i="20"/>
  <c r="Q11" i="20"/>
  <c r="AF5" i="20"/>
  <c r="CH7" i="20"/>
  <c r="AH19" i="20"/>
  <c r="AB5" i="20"/>
  <c r="BS17" i="20"/>
  <c r="CF15" i="20"/>
  <c r="X7" i="20"/>
  <c r="AN7" i="20"/>
  <c r="AC12" i="20"/>
  <c r="BN7" i="20"/>
  <c r="BB18" i="20"/>
  <c r="BH16" i="20"/>
  <c r="BQ8" i="20"/>
  <c r="AH15" i="20"/>
  <c r="I17" i="20"/>
  <c r="AG12" i="20"/>
  <c r="AF10" i="20"/>
  <c r="BS14" i="20"/>
  <c r="X15" i="20"/>
  <c r="N18" i="20"/>
  <c r="CD17" i="20"/>
  <c r="BN16" i="20"/>
  <c r="AE13" i="20"/>
  <c r="AG15" i="20"/>
  <c r="J19" i="20"/>
  <c r="BF18" i="20"/>
  <c r="AD9" i="20"/>
  <c r="BY16" i="20"/>
  <c r="AT13" i="20"/>
  <c r="BE7" i="20"/>
  <c r="AI19" i="20"/>
  <c r="AN16" i="20"/>
  <c r="CC11" i="20"/>
  <c r="Q13" i="20"/>
  <c r="AR18" i="20"/>
  <c r="AM11" i="20"/>
  <c r="CC6" i="20"/>
  <c r="AQ18" i="20"/>
  <c r="BB6" i="20"/>
  <c r="AN10" i="20"/>
  <c r="M11" i="20"/>
  <c r="W11" i="20"/>
  <c r="BW6" i="20"/>
  <c r="AD17" i="20"/>
  <c r="CD8" i="20"/>
  <c r="BN10" i="20"/>
  <c r="CB16" i="20"/>
  <c r="AY19" i="20"/>
  <c r="CH18" i="20"/>
  <c r="CF17" i="20"/>
  <c r="BA16" i="20"/>
  <c r="BX11" i="20"/>
  <c r="AN18" i="20"/>
  <c r="AP3" i="20"/>
  <c r="BX7" i="20"/>
  <c r="AI3" i="20"/>
  <c r="I14" i="20"/>
  <c r="BV13" i="20"/>
  <c r="CF7" i="20"/>
  <c r="BF7" i="20"/>
  <c r="BM12" i="20"/>
  <c r="T9" i="20"/>
  <c r="AU10" i="20"/>
  <c r="U12" i="20"/>
  <c r="BL12" i="20"/>
  <c r="Y16" i="20"/>
  <c r="BU5" i="20"/>
  <c r="AT12" i="20"/>
  <c r="BP11" i="20"/>
  <c r="BC3" i="20"/>
  <c r="BO10" i="20"/>
  <c r="CA5" i="20"/>
  <c r="AL5" i="20"/>
  <c r="AO13" i="20"/>
  <c r="CE19" i="20"/>
  <c r="BW9" i="20"/>
  <c r="BG19" i="20"/>
  <c r="AS7" i="20"/>
  <c r="R7" i="20"/>
  <c r="AH17" i="20"/>
  <c r="AU3" i="20"/>
  <c r="Q12" i="20"/>
  <c r="CB18" i="20"/>
  <c r="S15" i="20"/>
  <c r="AH4" i="20"/>
  <c r="U15" i="20"/>
  <c r="BY9" i="20"/>
  <c r="BC19" i="20"/>
  <c r="L7" i="20"/>
  <c r="AM3" i="20"/>
  <c r="W7" i="20"/>
  <c r="BV6" i="20"/>
  <c r="BY6" i="20"/>
  <c r="AX10" i="20"/>
  <c r="K14" i="20"/>
  <c r="BR6" i="20"/>
  <c r="BT12" i="20"/>
  <c r="CD11" i="20"/>
  <c r="AZ11" i="20"/>
  <c r="BQ13" i="20"/>
  <c r="CD13" i="20"/>
  <c r="AH16" i="20"/>
  <c r="AN12" i="20"/>
  <c r="BW14" i="20"/>
  <c r="AU14" i="20"/>
  <c r="CF6" i="20"/>
  <c r="CD4" i="20"/>
  <c r="AO4" i="20"/>
  <c r="BL14" i="20"/>
  <c r="BU16" i="20"/>
  <c r="BH11" i="20"/>
  <c r="BK4" i="20"/>
  <c r="AL4" i="20"/>
  <c r="AE14" i="20"/>
  <c r="T3" i="20"/>
  <c r="BP13" i="20"/>
  <c r="BJ8" i="20"/>
  <c r="BX15" i="20"/>
  <c r="AE8" i="20"/>
  <c r="N13" i="20"/>
  <c r="BI8" i="20"/>
  <c r="AC5" i="20"/>
  <c r="CE8" i="20"/>
  <c r="AN8" i="20"/>
  <c r="AV14" i="20"/>
  <c r="CD9" i="20"/>
  <c r="BW8" i="20"/>
  <c r="CF13" i="20"/>
  <c r="L13" i="20"/>
  <c r="BN6" i="20"/>
  <c r="BN5" i="20"/>
  <c r="BB19" i="20"/>
  <c r="T11" i="20"/>
  <c r="AO15" i="20"/>
  <c r="BE4" i="20"/>
  <c r="T10" i="20"/>
  <c r="BS11" i="20"/>
  <c r="Y14" i="20"/>
  <c r="X9" i="20"/>
  <c r="J15" i="20"/>
  <c r="V6" i="20"/>
  <c r="S4" i="20"/>
  <c r="BT9" i="20"/>
  <c r="CG7" i="20"/>
  <c r="BI6" i="20"/>
  <c r="AQ9" i="20"/>
  <c r="AQ14" i="20"/>
  <c r="CC3" i="20"/>
  <c r="AV3" i="20"/>
  <c r="BE11" i="20"/>
  <c r="CJ11" i="20"/>
  <c r="AQ5" i="20"/>
  <c r="BJ19" i="20"/>
  <c r="BZ3" i="20"/>
  <c r="I13" i="20"/>
  <c r="BT8" i="20"/>
  <c r="AZ5" i="20"/>
  <c r="R19" i="20"/>
  <c r="S5" i="20"/>
  <c r="AM9" i="20"/>
  <c r="O5" i="20"/>
  <c r="BG17" i="20"/>
  <c r="CF11" i="20"/>
  <c r="T19" i="20"/>
  <c r="BO4" i="20"/>
  <c r="AZ6" i="20"/>
  <c r="BL17" i="20"/>
  <c r="AI17" i="20"/>
  <c r="AH13" i="20"/>
  <c r="R10" i="20"/>
  <c r="BM8" i="20"/>
  <c r="X14" i="20"/>
  <c r="BN19" i="20"/>
  <c r="L19" i="20"/>
  <c r="BZ15" i="20"/>
  <c r="T16" i="20"/>
  <c r="R4" i="20"/>
  <c r="Z8" i="20"/>
  <c r="P13" i="20"/>
  <c r="BC12" i="20"/>
  <c r="AY15" i="20"/>
  <c r="AR9" i="20"/>
  <c r="AC9" i="20"/>
  <c r="L16" i="20"/>
  <c r="BG12" i="20"/>
  <c r="AU12" i="20"/>
  <c r="Y19" i="20"/>
  <c r="CF9" i="20"/>
  <c r="BO11" i="20"/>
  <c r="CJ10" i="20"/>
  <c r="CD15" i="20"/>
  <c r="AM13" i="20"/>
  <c r="BV8" i="20"/>
  <c r="Q16" i="20"/>
  <c r="AA19" i="20"/>
  <c r="BS18" i="20"/>
  <c r="BL15" i="20"/>
  <c r="AN19" i="20"/>
  <c r="BA13" i="20"/>
  <c r="AR14" i="20"/>
  <c r="BD13" i="20"/>
  <c r="AC11" i="20"/>
  <c r="O10" i="20"/>
  <c r="AD5" i="20"/>
  <c r="L15" i="20"/>
  <c r="I5" i="20"/>
  <c r="BT15" i="20"/>
  <c r="AA17" i="20"/>
  <c r="AB3" i="20"/>
  <c r="AW11" i="20"/>
  <c r="AJ11" i="20"/>
  <c r="AN6" i="20"/>
  <c r="Z10" i="20"/>
  <c r="AX8" i="20"/>
  <c r="BC4" i="20"/>
  <c r="Z12" i="20"/>
  <c r="BT16" i="20"/>
  <c r="Q5" i="20"/>
  <c r="AU18" i="20"/>
  <c r="BA12" i="20"/>
  <c r="I18" i="20"/>
  <c r="CJ14" i="20"/>
  <c r="BC17" i="20"/>
  <c r="AX9" i="20"/>
  <c r="AA11" i="20"/>
  <c r="BQ16" i="20"/>
  <c r="AG17" i="20"/>
  <c r="CE18" i="20"/>
  <c r="AZ9" i="20"/>
  <c r="P7" i="20"/>
  <c r="AS11" i="20"/>
  <c r="BP4" i="20"/>
  <c r="I10" i="20"/>
  <c r="AY17" i="20"/>
  <c r="U10" i="20"/>
  <c r="L17" i="20"/>
  <c r="BB7" i="20"/>
  <c r="AP5" i="20"/>
  <c r="AG11" i="20"/>
  <c r="AN15" i="20"/>
  <c r="BJ7" i="20"/>
  <c r="I19" i="20"/>
  <c r="BB3" i="20"/>
  <c r="BT3" i="20"/>
  <c r="Q10" i="20"/>
  <c r="BY13" i="20"/>
  <c r="P14" i="20"/>
  <c r="V14" i="20"/>
  <c r="BH4" i="20"/>
  <c r="BD17" i="20"/>
  <c r="BC5" i="20"/>
  <c r="AH8" i="20"/>
  <c r="BH15" i="20"/>
  <c r="V5" i="20"/>
  <c r="AA10" i="20"/>
  <c r="Q6" i="20"/>
  <c r="AB7" i="20"/>
  <c r="AA13" i="20"/>
  <c r="BN14" i="20"/>
  <c r="BG10" i="20"/>
  <c r="AJ8" i="20"/>
  <c r="BF19" i="20"/>
  <c r="S7" i="20"/>
  <c r="AI18" i="20"/>
  <c r="BB10" i="20"/>
  <c r="BA15" i="20"/>
  <c r="BX10" i="20"/>
  <c r="BY8" i="20"/>
  <c r="CC7" i="20"/>
  <c r="CJ6" i="20"/>
  <c r="AS9" i="20"/>
  <c r="P18" i="20"/>
  <c r="Z7" i="20"/>
  <c r="BI17" i="20"/>
  <c r="Y10" i="20"/>
  <c r="R6" i="20"/>
  <c r="AQ4" i="20"/>
  <c r="AB15" i="20"/>
  <c r="BU11" i="20"/>
  <c r="AH6" i="20"/>
  <c r="X11" i="20"/>
  <c r="L18" i="20"/>
  <c r="BA7" i="20"/>
  <c r="BI4" i="20"/>
  <c r="BQ4" i="20"/>
  <c r="X8" i="20"/>
  <c r="O19" i="20"/>
  <c r="BR13" i="20"/>
  <c r="K7" i="20"/>
  <c r="AA4" i="20"/>
  <c r="P4" i="20"/>
  <c r="BT17" i="20"/>
  <c r="AH18" i="20"/>
  <c r="AD11" i="20"/>
  <c r="R8" i="20"/>
  <c r="T18" i="20"/>
  <c r="N9" i="20"/>
  <c r="Q3" i="20"/>
  <c r="CI13" i="20"/>
  <c r="AH5" i="20"/>
  <c r="AV11" i="20"/>
  <c r="Y13" i="20"/>
  <c r="BO16" i="20"/>
  <c r="BE15" i="20"/>
  <c r="AJ3" i="20"/>
  <c r="AC7" i="20"/>
  <c r="AQ19" i="20"/>
  <c r="BJ3" i="20"/>
  <c r="BO6" i="20"/>
  <c r="BE19" i="20"/>
  <c r="V10" i="20"/>
  <c r="CC15" i="20"/>
  <c r="AP16" i="20"/>
  <c r="BO7" i="20"/>
  <c r="CA10" i="20"/>
  <c r="CI5" i="20"/>
  <c r="U18" i="20"/>
  <c r="CB11" i="20"/>
  <c r="CE9" i="20"/>
  <c r="BZ8" i="20"/>
  <c r="BK9" i="20"/>
  <c r="BD4" i="20"/>
  <c r="W19" i="20"/>
  <c r="S17" i="20"/>
  <c r="BO12" i="20"/>
  <c r="CJ3" i="20"/>
  <c r="BI3" i="20"/>
  <c r="BR18" i="20"/>
  <c r="BM17" i="20"/>
  <c r="P16" i="20"/>
  <c r="BF16" i="20"/>
  <c r="BK14" i="20"/>
  <c r="AR13" i="20"/>
  <c r="CC12" i="20"/>
  <c r="CE17" i="20"/>
  <c r="BQ12" i="20"/>
  <c r="BO8" i="20"/>
  <c r="AL19" i="20"/>
  <c r="AE6" i="20"/>
  <c r="BY17" i="20"/>
  <c r="BT5" i="20"/>
  <c r="BW7" i="20"/>
  <c r="BZ6" i="20"/>
  <c r="V7" i="20"/>
  <c r="AW17" i="20"/>
  <c r="AI16" i="20"/>
  <c r="BG13" i="20"/>
  <c r="BV4" i="20"/>
  <c r="AT6" i="20"/>
  <c r="BF5" i="20"/>
  <c r="X6" i="20"/>
  <c r="AM7" i="20"/>
  <c r="T15" i="20"/>
  <c r="V18" i="20"/>
  <c r="AB11" i="20"/>
  <c r="AI9" i="20"/>
  <c r="BJ10" i="20"/>
  <c r="BI9" i="20"/>
  <c r="AX11" i="20"/>
  <c r="BL9" i="20"/>
  <c r="BV12" i="20"/>
  <c r="BN4" i="20"/>
  <c r="BO19" i="20"/>
  <c r="BL5" i="20"/>
  <c r="AT18" i="20"/>
  <c r="L9" i="20"/>
  <c r="AO16" i="20"/>
  <c r="AF9" i="20"/>
  <c r="AN14" i="20"/>
  <c r="AP11" i="20"/>
  <c r="BJ16" i="20"/>
  <c r="BO13" i="20"/>
  <c r="AD15" i="20"/>
  <c r="BJ5" i="20"/>
  <c r="Y15" i="20"/>
  <c r="M14" i="20"/>
  <c r="BW12" i="20"/>
  <c r="V17" i="20"/>
  <c r="CG18" i="20"/>
  <c r="R16" i="20"/>
  <c r="S19" i="20"/>
  <c r="M18" i="20"/>
  <c r="AB17" i="20"/>
  <c r="CC9" i="20"/>
  <c r="S16" i="20"/>
  <c r="Z19" i="20"/>
  <c r="CH10" i="20"/>
  <c r="O7" i="20"/>
  <c r="BS19" i="20"/>
  <c r="AW3" i="20"/>
  <c r="AI5" i="20"/>
  <c r="BR7" i="20"/>
  <c r="BH12" i="20"/>
  <c r="AY13" i="20"/>
  <c r="BG18" i="20"/>
  <c r="BS16" i="20"/>
  <c r="CH6" i="20"/>
  <c r="BY14" i="20"/>
  <c r="AY8" i="20"/>
  <c r="AO14" i="20"/>
  <c r="BF17" i="20"/>
  <c r="AB13" i="20"/>
  <c r="M19" i="20"/>
  <c r="AQ6" i="20"/>
  <c r="J7" i="20"/>
  <c r="U19" i="20"/>
  <c r="O15" i="20"/>
  <c r="CE12" i="20"/>
  <c r="BU3" i="20"/>
  <c r="AL15" i="20"/>
  <c r="AT4" i="20"/>
  <c r="BK7" i="20"/>
  <c r="BP16" i="20"/>
  <c r="BJ14" i="20"/>
  <c r="CE15" i="20"/>
  <c r="AA7" i="20"/>
  <c r="AH7" i="20"/>
  <c r="AJ17" i="20"/>
  <c r="K5" i="20"/>
  <c r="BO18" i="20"/>
  <c r="BF6" i="20"/>
  <c r="AV4" i="20"/>
  <c r="BF4" i="20"/>
  <c r="AY14" i="20"/>
  <c r="BN12" i="20"/>
  <c r="BN8" i="20"/>
  <c r="AD12" i="20"/>
  <c r="BQ15" i="20"/>
  <c r="BH8" i="20"/>
  <c r="BC16" i="20"/>
  <c r="X5" i="20"/>
  <c r="U13" i="20"/>
  <c r="BB4" i="20"/>
  <c r="AL7" i="20"/>
  <c r="AK18" i="20"/>
  <c r="V13" i="20"/>
  <c r="CD16" i="20"/>
  <c r="BN17" i="20"/>
  <c r="L12" i="20"/>
  <c r="AN5" i="20"/>
  <c r="BA18" i="20"/>
  <c r="BU7" i="20"/>
  <c r="AX4" i="20"/>
  <c r="CJ16" i="20"/>
  <c r="BW15" i="20"/>
  <c r="R18" i="20"/>
  <c r="BR8" i="20"/>
  <c r="CA15" i="20"/>
  <c r="AQ11" i="20"/>
  <c r="AN9" i="20"/>
  <c r="AE17" i="20"/>
  <c r="N8" i="20"/>
  <c r="AZ7" i="20"/>
  <c r="BP18" i="20"/>
  <c r="BU10" i="20"/>
  <c r="AI11" i="20"/>
  <c r="BM14" i="20"/>
  <c r="AK13" i="20"/>
  <c r="AG5" i="20"/>
  <c r="BV10" i="20"/>
  <c r="BC7" i="20"/>
  <c r="Q17" i="20"/>
  <c r="O3" i="20"/>
  <c r="AN13" i="20"/>
  <c r="AE16" i="20"/>
  <c r="AS19" i="20"/>
  <c r="K18" i="20"/>
  <c r="Z5" i="20"/>
  <c r="BP17" i="20"/>
  <c r="AX14" i="20"/>
  <c r="CE14" i="20"/>
  <c r="CA19" i="20"/>
  <c r="CH3" i="20"/>
  <c r="AO11" i="20"/>
  <c r="AZ12" i="20"/>
  <c r="CE13" i="20"/>
  <c r="BL13" i="20"/>
  <c r="BB12" i="20"/>
  <c r="BZ13" i="20"/>
  <c r="AQ13" i="20"/>
  <c r="BI11" i="20"/>
  <c r="BW4" i="20"/>
  <c r="AF19" i="20"/>
  <c r="BL16" i="20"/>
  <c r="I9" i="20"/>
  <c r="AU8" i="20"/>
  <c r="BC9" i="20"/>
  <c r="BX17" i="20"/>
  <c r="CC8" i="20"/>
  <c r="BY5" i="20"/>
  <c r="AQ3" i="20"/>
  <c r="AW4" i="20"/>
  <c r="X17" i="20"/>
  <c r="BQ18" i="20"/>
  <c r="BY15" i="20"/>
  <c r="W15" i="20"/>
  <c r="AD6" i="20"/>
  <c r="AY11" i="20"/>
  <c r="Q19" i="20"/>
  <c r="BG6" i="20"/>
  <c r="BA3" i="20"/>
  <c r="BM6" i="20"/>
  <c r="AS8" i="20"/>
  <c r="BI16" i="20"/>
  <c r="BI10" i="20"/>
  <c r="BL10" i="20"/>
  <c r="P15" i="20"/>
  <c r="AM15" i="20"/>
  <c r="U3" i="20"/>
  <c r="I4" i="20"/>
  <c r="CA9" i="20"/>
  <c r="AY12" i="20"/>
  <c r="BD6" i="20"/>
  <c r="AX7" i="20"/>
  <c r="BU13" i="20"/>
  <c r="Q8" i="20"/>
  <c r="BY19" i="20"/>
  <c r="V9" i="20"/>
  <c r="BD14" i="20"/>
  <c r="AV17" i="20"/>
  <c r="BA5" i="20"/>
  <c r="CC19" i="20"/>
  <c r="AA14" i="20"/>
  <c r="BH5" i="20"/>
  <c r="BR19" i="20"/>
  <c r="AG14" i="20"/>
  <c r="AT3" i="20"/>
  <c r="AF6" i="20"/>
  <c r="R17" i="20"/>
  <c r="AF18" i="20"/>
  <c r="BF10" i="20"/>
  <c r="AS15" i="20"/>
  <c r="CI8" i="20"/>
  <c r="I15" i="20"/>
  <c r="BU14" i="20"/>
  <c r="BW5" i="20"/>
  <c r="AO10" i="20"/>
  <c r="AW7" i="20"/>
  <c r="S3" i="20"/>
  <c r="BC8" i="20"/>
  <c r="AC13" i="20"/>
  <c r="AT8" i="20"/>
  <c r="AG10" i="20"/>
  <c r="CH15" i="20"/>
  <c r="CI6" i="20"/>
  <c r="BR10" i="20"/>
  <c r="O12" i="20"/>
  <c r="CG15" i="20"/>
  <c r="BX19" i="20"/>
  <c r="AT15" i="20"/>
  <c r="CJ4" i="20"/>
  <c r="BK11" i="20"/>
  <c r="M17" i="20"/>
  <c r="BA8" i="20"/>
  <c r="T12" i="20"/>
  <c r="CI15" i="20"/>
  <c r="N4" i="20"/>
  <c r="AT9" i="20"/>
  <c r="BP14" i="20"/>
  <c r="BN9" i="20"/>
  <c r="CF14" i="20"/>
  <c r="AD14" i="20"/>
  <c r="BE6" i="20"/>
  <c r="I6" i="20"/>
  <c r="M8" i="20"/>
  <c r="AA9" i="20"/>
  <c r="AX19" i="20"/>
  <c r="S14" i="20"/>
  <c r="BY18" i="20"/>
  <c r="AA18" i="20"/>
  <c r="BF15" i="20"/>
  <c r="AS3" i="20"/>
  <c r="BS9" i="20"/>
  <c r="AK5" i="20"/>
  <c r="K13" i="20"/>
  <c r="BM7" i="20"/>
  <c r="BS6" i="20"/>
  <c r="AF12" i="20"/>
  <c r="BV19" i="20"/>
  <c r="K10" i="20"/>
  <c r="CJ7" i="20"/>
  <c r="AV16" i="20"/>
  <c r="BB11" i="20"/>
  <c r="BZ14" i="20"/>
  <c r="L4" i="20"/>
  <c r="BC10" i="20"/>
  <c r="BL19" i="20"/>
  <c r="BP19" i="20"/>
  <c r="N5" i="20"/>
  <c r="BM13" i="20"/>
  <c r="L5" i="20"/>
  <c r="AG3" i="20"/>
  <c r="M13" i="20"/>
  <c r="CF18" i="20"/>
  <c r="BX14" i="20"/>
  <c r="AL6" i="20"/>
  <c r="S10" i="20"/>
  <c r="BE17" i="20"/>
  <c r="CF4" i="20"/>
  <c r="AD10" i="20"/>
  <c r="AF8" i="20"/>
  <c r="O11" i="20"/>
  <c r="BU17" i="20"/>
  <c r="AH3" i="20"/>
  <c r="AL14" i="20"/>
  <c r="BR3" i="20"/>
  <c r="AH10" i="20"/>
  <c r="BR14" i="20"/>
  <c r="CB13" i="20"/>
  <c r="N14" i="20"/>
  <c r="CE16" i="20"/>
  <c r="BP3" i="20"/>
  <c r="CC14" i="20"/>
  <c r="AK6" i="20"/>
  <c r="CI7" i="20"/>
  <c r="AB12" i="20"/>
  <c r="AH12" i="20"/>
  <c r="AJ18" i="20"/>
  <c r="BC14" i="20"/>
  <c r="BP10" i="20"/>
  <c r="CJ18" i="20"/>
  <c r="BS13" i="20"/>
  <c r="BW18" i="20"/>
  <c r="AD3" i="20"/>
  <c r="Y4" i="20"/>
  <c r="BD15" i="20"/>
  <c r="AW13" i="20"/>
  <c r="R11" i="20"/>
  <c r="AZ19" i="20"/>
  <c r="AM12" i="20"/>
  <c r="BW13" i="20"/>
  <c r="AJ6" i="20"/>
  <c r="CG3" i="20"/>
  <c r="AK17" i="20"/>
  <c r="I12" i="20"/>
  <c r="CG4" i="20"/>
  <c r="AU9" i="20"/>
  <c r="AW14" i="20"/>
  <c r="BT19" i="20"/>
  <c r="BE5" i="20"/>
  <c r="Z14" i="20"/>
  <c r="BM16" i="20"/>
  <c r="BT14" i="20"/>
  <c r="BO5" i="20"/>
  <c r="BB15" i="20"/>
  <c r="CA14" i="20"/>
  <c r="BV11" i="20"/>
  <c r="BI14" i="20"/>
  <c r="AI14" i="20"/>
  <c r="BC15" i="20"/>
  <c r="BR16" i="20"/>
  <c r="V4" i="20"/>
  <c r="BL7" i="20"/>
  <c r="BZ18" i="20"/>
  <c r="Q14" i="20"/>
  <c r="CD6" i="20"/>
  <c r="BD19" i="20"/>
  <c r="CA6" i="20"/>
  <c r="O9" i="20"/>
  <c r="BN13" i="20"/>
  <c r="AT16" i="20"/>
  <c r="N10" i="20"/>
  <c r="CB5" i="20"/>
  <c r="K4" i="20"/>
  <c r="AW6" i="20"/>
  <c r="AW16" i="20"/>
  <c r="BL8" i="20"/>
  <c r="Y18" i="20"/>
  <c r="CC10" i="20"/>
  <c r="Z17" i="20"/>
  <c r="AP12" i="20"/>
  <c r="AD8" i="20"/>
  <c r="Y17" i="20"/>
  <c r="AL16" i="20"/>
  <c r="X16" i="20"/>
  <c r="AW5" i="20"/>
  <c r="BX12" i="20"/>
  <c r="AY6" i="20"/>
  <c r="AS18" i="20"/>
  <c r="BQ6" i="20"/>
  <c r="U17" i="20"/>
  <c r="CH11" i="20"/>
  <c r="AM10" i="20"/>
  <c r="CB9" i="20"/>
  <c r="CI14" i="20"/>
  <c r="AQ12" i="20"/>
  <c r="R12" i="20"/>
  <c r="CG9" i="20"/>
  <c r="AW12" i="20"/>
  <c r="BF11" i="20"/>
  <c r="AQ17" i="20"/>
  <c r="L3" i="20"/>
  <c r="AF16" i="20"/>
  <c r="BP9" i="20"/>
  <c r="AB8" i="20"/>
  <c r="BR12" i="20"/>
  <c r="BP8" i="20"/>
  <c r="BK17" i="20"/>
  <c r="K19" i="20"/>
  <c r="T17" i="20"/>
  <c r="J14" i="20"/>
  <c r="AX13" i="20"/>
  <c r="BG16" i="20"/>
  <c r="AK7" i="20"/>
  <c r="BJ17" i="20"/>
  <c r="BF14" i="20"/>
  <c r="AR15" i="20"/>
  <c r="BB17" i="20"/>
  <c r="AZ15" i="20"/>
  <c r="BN18" i="20"/>
  <c r="AE18" i="20"/>
  <c r="BA9" i="20"/>
  <c r="AK16" i="20"/>
  <c r="AD19" i="20"/>
  <c r="Y12" i="20"/>
  <c r="BG3" i="20"/>
  <c r="BT18" i="20"/>
  <c r="CB4" i="20"/>
  <c r="CJ15" i="20"/>
  <c r="AQ7" i="20"/>
  <c r="O8" i="20"/>
  <c r="AF4" i="20"/>
  <c r="AE7" i="20"/>
  <c r="BD7" i="20"/>
  <c r="BD10" i="20"/>
  <c r="CA11" i="20"/>
  <c r="BA6" i="20"/>
  <c r="AC8" i="20"/>
  <c r="CI12" i="20"/>
  <c r="BB13" i="20"/>
  <c r="P10" i="20"/>
  <c r="AZ18" i="20"/>
  <c r="X4" i="20"/>
  <c r="CB19" i="20"/>
  <c r="AR10" i="20"/>
  <c r="W5" i="20"/>
  <c r="BI7" i="20"/>
  <c r="W8" i="20"/>
  <c r="BI15" i="20"/>
  <c r="P11" i="20"/>
  <c r="I3" i="20"/>
  <c r="CF10" i="20"/>
  <c r="AJ4" i="20"/>
  <c r="AS14" i="20"/>
  <c r="Z4" i="20"/>
  <c r="BK3" i="20"/>
  <c r="W12" i="20"/>
  <c r="BH3" i="20"/>
  <c r="X3" i="20"/>
  <c r="BA10" i="20"/>
  <c r="BS3" i="20"/>
  <c r="AG8" i="20"/>
  <c r="AG7" i="20"/>
  <c r="AB9" i="20"/>
  <c r="AM5" i="20"/>
  <c r="CI9" i="20"/>
  <c r="CD19" i="20"/>
  <c r="CH4" i="20"/>
  <c r="CH12" i="20"/>
  <c r="AK11" i="20"/>
  <c r="BU4" i="20"/>
  <c r="W13" i="20"/>
  <c r="AP17" i="20"/>
  <c r="BX3" i="20"/>
  <c r="AL10" i="20"/>
  <c r="Q9" i="20"/>
  <c r="BM4" i="20"/>
  <c r="AI7" i="20"/>
  <c r="AM16" i="20"/>
  <c r="AF14" i="20"/>
  <c r="I7" i="20"/>
  <c r="N3" i="20"/>
  <c r="R13" i="20"/>
  <c r="BQ9" i="20"/>
  <c r="BN3" i="20"/>
  <c r="N16" i="20"/>
  <c r="AU4" i="20"/>
  <c r="AW10" i="20"/>
  <c r="AV10" i="20"/>
  <c r="CG11" i="20"/>
  <c r="CI4" i="20"/>
  <c r="CF5" i="20"/>
  <c r="AP4" i="20"/>
  <c r="J18" i="20"/>
  <c r="BU15" i="20"/>
  <c r="BH6" i="20"/>
  <c r="AV12" i="20"/>
  <c r="BT7" i="20"/>
  <c r="I8" i="20"/>
  <c r="AZ3" i="20"/>
  <c r="Y11" i="20"/>
  <c r="BF12" i="20"/>
  <c r="CI11" i="20"/>
  <c r="N19" i="20"/>
  <c r="P3" i="20"/>
  <c r="BI18" i="20"/>
  <c r="BR9" i="20"/>
  <c r="AQ15" i="20"/>
  <c r="AR19" i="20"/>
  <c r="AP15" i="20"/>
  <c r="AE5" i="20"/>
  <c r="AJ9" i="20"/>
  <c r="BP7" i="20"/>
  <c r="V19" i="20"/>
  <c r="AI8" i="20"/>
  <c r="S18" i="20"/>
  <c r="AE12" i="20"/>
  <c r="BE18" i="20"/>
  <c r="BZ4" i="20"/>
  <c r="Y5" i="20"/>
  <c r="BA4" i="20"/>
  <c r="CB12" i="20"/>
  <c r="BT4" i="20"/>
  <c r="AA5" i="20"/>
  <c r="BN15" i="20"/>
  <c r="BE8" i="20"/>
  <c r="AQ10" i="20"/>
  <c r="CI3" i="20"/>
  <c r="N6" i="20"/>
  <c r="CC5" i="20"/>
  <c r="AX3" i="20"/>
  <c r="BC18" i="20"/>
  <c r="BK15" i="20"/>
  <c r="AC14" i="20"/>
  <c r="AC19" i="20"/>
  <c r="AG6" i="20"/>
  <c r="CH5" i="20"/>
  <c r="O6" i="20"/>
  <c r="BK10" i="20"/>
  <c r="CD5" i="20"/>
  <c r="J3" i="20"/>
  <c r="BE13" i="20"/>
  <c r="BD18" i="20"/>
  <c r="AZ10" i="20"/>
  <c r="BN11" i="20"/>
  <c r="BL4" i="20"/>
  <c r="R15" i="20"/>
  <c r="BY4" i="20"/>
  <c r="BK19" i="20"/>
  <c r="AC16" i="20"/>
  <c r="AC3" i="20"/>
  <c r="BM5" i="20"/>
  <c r="BG9" i="20"/>
  <c r="BM19" i="20"/>
  <c r="CG12" i="20"/>
  <c r="BB9" i="20"/>
  <c r="AY5" i="20"/>
  <c r="CD3" i="20"/>
  <c r="AK14" i="20"/>
  <c r="AD18" i="20"/>
  <c r="AZ4" i="20"/>
  <c r="AN4" i="20"/>
  <c r="Q7" i="20"/>
  <c r="AY9" i="20"/>
  <c r="Y3" i="20"/>
  <c r="AV9" i="20"/>
  <c r="BS12" i="20"/>
  <c r="BO3" i="20"/>
  <c r="AV15" i="20"/>
  <c r="AW8" i="20"/>
  <c r="AU16" i="20"/>
  <c r="BS8" i="20"/>
  <c r="CE11" i="20"/>
  <c r="AP8" i="20"/>
  <c r="S6" i="20"/>
  <c r="K12" i="20"/>
  <c r="BX6" i="20"/>
  <c r="BM18" i="20"/>
  <c r="AC18" i="20"/>
  <c r="AO6" i="20"/>
  <c r="BU19" i="20"/>
  <c r="BY7" i="20"/>
  <c r="CG13" i="20"/>
  <c r="K15" i="20"/>
  <c r="V12" i="20"/>
  <c r="BZ19" i="20"/>
  <c r="BE10" i="20"/>
  <c r="BB5" i="20"/>
  <c r="BV7" i="20"/>
  <c r="BX5" i="20"/>
  <c r="BA11" i="20"/>
  <c r="M7" i="20"/>
  <c r="BW17" i="20"/>
  <c r="AG16" i="20"/>
  <c r="AU6" i="20"/>
  <c r="BR17" i="20"/>
  <c r="AR16" i="20"/>
  <c r="AR11" i="20"/>
  <c r="CJ9" i="20"/>
  <c r="BX18" i="20"/>
  <c r="BI19" i="20"/>
  <c r="AA3" i="20"/>
  <c r="CI17" i="20"/>
  <c r="AC4" i="20"/>
  <c r="AS6" i="20"/>
  <c r="AU15" i="20"/>
  <c r="BZ5" i="20"/>
  <c r="AW18" i="20"/>
  <c r="J5" i="20"/>
  <c r="AP14" i="20"/>
  <c r="BY11" i="20"/>
  <c r="W18" i="20"/>
  <c r="BM11" i="20"/>
  <c r="BA14" i="20"/>
  <c r="T6" i="20"/>
  <c r="BY12" i="20"/>
  <c r="AX5" i="20"/>
  <c r="AO19" i="20"/>
  <c r="T13" i="20"/>
  <c r="CI19" i="20"/>
  <c r="CC17" i="20"/>
  <c r="BZ17" i="20"/>
  <c r="CJ8" i="20"/>
  <c r="P12" i="20"/>
  <c r="AO5" i="20"/>
  <c r="BW10" i="20"/>
  <c r="AA16" i="20"/>
  <c r="AM18" i="20"/>
  <c r="AU11" i="20"/>
  <c r="BZ10" i="20"/>
  <c r="W9" i="20"/>
  <c r="BA19" i="20"/>
  <c r="AS17" i="20"/>
  <c r="L14" i="20"/>
  <c r="BE3" i="20"/>
  <c r="CA4" i="20"/>
  <c r="BQ10" i="20"/>
  <c r="AO17" i="20"/>
  <c r="AP10" i="20"/>
  <c r="AF11" i="20"/>
  <c r="CD7" i="20"/>
  <c r="AV18" i="20"/>
  <c r="BS7" i="20"/>
  <c r="BC11" i="20"/>
  <c r="X10" i="20"/>
  <c r="U4" i="20"/>
  <c r="Z6" i="20"/>
  <c r="BK12" i="20"/>
  <c r="AM14" i="20"/>
  <c r="AP18" i="20"/>
  <c r="R9" i="20"/>
  <c r="AC15" i="20"/>
  <c r="W4" i="20"/>
  <c r="M6" i="20"/>
  <c r="O4" i="20"/>
  <c r="AP7" i="20"/>
  <c r="BD11" i="20"/>
  <c r="AL17" i="20"/>
  <c r="AE10" i="20"/>
  <c r="U11" i="20"/>
  <c r="BW3" i="20"/>
  <c r="AZ8" i="20"/>
  <c r="Z3" i="20"/>
  <c r="AF17" i="20"/>
  <c r="AE4" i="20"/>
  <c r="AL18" i="20"/>
  <c r="BI5" i="20"/>
  <c r="AE3" i="20"/>
  <c r="AM4" i="20"/>
  <c r="BR15" i="20"/>
  <c r="AY7" i="20"/>
  <c r="CB15" i="20"/>
  <c r="AP9" i="20"/>
  <c r="BM10" i="20"/>
  <c r="O14" i="20"/>
  <c r="AW15" i="20"/>
  <c r="Y6" i="20"/>
  <c r="BF9" i="20"/>
  <c r="CI10" i="20"/>
  <c r="AA8" i="20"/>
  <c r="W10" i="20"/>
  <c r="AO3" i="20"/>
  <c r="BJ4" i="20"/>
  <c r="CA7" i="20"/>
  <c r="Z15" i="20"/>
  <c r="AE11" i="20"/>
  <c r="AY18" i="20"/>
  <c r="AX6" i="20"/>
  <c r="BR5" i="20"/>
  <c r="M12" i="20"/>
  <c r="BH19" i="20"/>
  <c r="L11" i="20"/>
  <c r="AJ7" i="20"/>
  <c r="T8" i="20"/>
  <c r="CG10" i="20"/>
  <c r="P9" i="20"/>
  <c r="BU9" i="20"/>
  <c r="BS10" i="20"/>
  <c r="BV18" i="20"/>
  <c r="AH11" i="20"/>
  <c r="CD14" i="20"/>
  <c r="BJ15" i="20"/>
  <c r="BG11" i="20"/>
  <c r="Z18" i="20"/>
  <c r="AV6" i="20"/>
  <c r="AB18" i="20"/>
  <c r="CF16" i="20"/>
  <c r="AL9" i="20"/>
  <c r="AB16" i="20"/>
  <c r="AV7" i="20"/>
  <c r="BG15" i="20"/>
  <c r="CB3" i="20"/>
  <c r="N7" i="20"/>
  <c r="AI13" i="20"/>
  <c r="AI12" i="20"/>
  <c r="Z16" i="20"/>
  <c r="AQ16" i="20"/>
  <c r="AK15" i="20"/>
  <c r="AK8" i="20"/>
  <c r="AT17" i="20"/>
  <c r="BY10" i="20"/>
  <c r="BX9" i="20"/>
  <c r="BT13" i="20"/>
  <c r="AS13" i="20"/>
  <c r="L10" i="20"/>
  <c r="BQ3" i="20"/>
  <c r="BV16" i="20"/>
  <c r="AA15" i="20"/>
  <c r="BL11" i="20"/>
  <c r="J4" i="20"/>
  <c r="BD9" i="20"/>
  <c r="CE4" i="20"/>
  <c r="BK13" i="20"/>
  <c r="BX16" i="20"/>
  <c r="AH9" i="20"/>
  <c r="CC13" i="20"/>
  <c r="T7" i="20"/>
  <c r="AR4" i="20"/>
  <c r="CE3" i="20"/>
  <c r="BJ9" i="20"/>
  <c r="CB17" i="20"/>
  <c r="L8" i="20"/>
  <c r="AH14" i="20"/>
  <c r="AS5" i="20"/>
  <c r="AF15" i="20"/>
  <c r="CC4" i="20"/>
  <c r="AO12" i="20"/>
  <c r="P17" i="20"/>
  <c r="BX4" i="20"/>
  <c r="CD10" i="20"/>
  <c r="AL12" i="20"/>
  <c r="AL3" i="20"/>
  <c r="Y8" i="20"/>
  <c r="CA13" i="20"/>
  <c r="AB10" i="20"/>
  <c r="AY16" i="20"/>
  <c r="AB14" i="20"/>
  <c r="BU12" i="20"/>
  <c r="BE9" i="20"/>
  <c r="AX12" i="20"/>
  <c r="N17" i="20"/>
  <c r="AA12" i="20"/>
  <c r="BU18" i="20"/>
  <c r="S8" i="20"/>
  <c r="BL18" i="20"/>
  <c r="AU5" i="20"/>
  <c r="O17" i="20"/>
  <c r="BC13" i="20"/>
  <c r="W3" i="20"/>
  <c r="CB10" i="20"/>
  <c r="CJ5" i="20"/>
  <c r="J9" i="20"/>
  <c r="CE10" i="20"/>
  <c r="Q4" i="20"/>
  <c r="BU6" i="20"/>
  <c r="AA6" i="20"/>
  <c r="BV3" i="20"/>
  <c r="AZ13" i="20"/>
  <c r="O18" i="20"/>
  <c r="K11" i="20"/>
  <c r="AI10" i="20"/>
  <c r="AE19" i="20"/>
  <c r="AL11" i="20"/>
  <c r="AV13" i="20"/>
  <c r="AT19" i="20"/>
  <c r="Y9" i="20"/>
  <c r="BB16" i="20"/>
  <c r="BG4" i="20"/>
  <c r="CF12" i="20"/>
  <c r="BJ12" i="20"/>
  <c r="BD16" i="20"/>
  <c r="U7" i="20"/>
  <c r="L6" i="20"/>
  <c r="BH9" i="20"/>
  <c r="AW9" i="20"/>
  <c r="P6" i="20"/>
  <c r="K16" i="20"/>
  <c r="AE15" i="20"/>
  <c r="CJ13" i="20"/>
  <c r="BP5" i="20"/>
  <c r="BW16" i="20"/>
  <c r="BK5" i="20"/>
  <c r="AJ13" i="20"/>
  <c r="AM17" i="20"/>
  <c r="N11" i="20"/>
  <c r="AP19" i="20"/>
  <c r="BZ11" i="20"/>
  <c r="AQ8" i="20"/>
  <c r="Q18" i="20"/>
  <c r="BW19" i="20"/>
  <c r="AK3" i="20"/>
  <c r="CG6" i="20"/>
  <c r="BP15" i="20"/>
  <c r="AY4" i="20"/>
  <c r="N15" i="20"/>
  <c r="U8" i="20"/>
  <c r="AG9" i="20"/>
  <c r="AB19" i="20"/>
  <c r="AJ19" i="20"/>
  <c r="AD13" i="20"/>
  <c r="BO17" i="20"/>
  <c r="BS5" i="20"/>
  <c r="AN3" i="20"/>
  <c r="AJ12" i="20"/>
  <c r="BR11" i="20"/>
  <c r="AS12" i="20"/>
  <c r="CA18" i="20"/>
  <c r="BW11" i="20"/>
  <c r="AO18" i="20"/>
  <c r="CD18" i="20"/>
  <c r="BY3" i="20"/>
  <c r="BH13" i="20"/>
  <c r="J11" i="20"/>
  <c r="BJ13" i="20"/>
  <c r="P19" i="20"/>
  <c r="AT7" i="20"/>
  <c r="AV5" i="20"/>
  <c r="BH14" i="20"/>
  <c r="BT10" i="20"/>
  <c r="BR4" i="20"/>
  <c r="BV9" i="20"/>
  <c r="K17" i="20"/>
  <c r="CG19" i="20"/>
  <c r="V16" i="20"/>
  <c r="BE12" i="20"/>
  <c r="BD12" i="20"/>
  <c r="CG5" i="20"/>
  <c r="V3" i="20"/>
  <c r="I16" i="20"/>
  <c r="BX8" i="20"/>
  <c r="AK10" i="20"/>
  <c r="CJ12" i="20"/>
  <c r="BV14" i="20"/>
  <c r="Y7" i="20"/>
  <c r="BJ18" i="20"/>
  <c r="CH9" i="20"/>
  <c r="AJ14" i="20"/>
  <c r="BK6" i="20"/>
  <c r="T14" i="20"/>
  <c r="CE5" i="20"/>
  <c r="Q15" i="20"/>
  <c r="CA3" i="20"/>
  <c r="AJ16" i="20"/>
  <c r="CA16" i="20"/>
  <c r="BG14" i="20"/>
  <c r="AY10" i="20"/>
  <c r="AI6" i="20"/>
  <c r="X18" i="20"/>
  <c r="M10" i="20"/>
  <c r="AN11" i="20"/>
  <c r="AD7" i="20"/>
  <c r="BV17" i="20"/>
  <c r="I11" i="20"/>
  <c r="BD8" i="20"/>
  <c r="N12" i="20"/>
  <c r="AB6" i="20"/>
  <c r="W6" i="20"/>
  <c r="V15" i="20"/>
  <c r="S12" i="20"/>
  <c r="AC17" i="20"/>
  <c r="BE16" i="20"/>
  <c r="BO15" i="20"/>
  <c r="M4" i="20"/>
  <c r="CB8" i="20"/>
  <c r="AF3" i="20"/>
  <c r="J12" i="20"/>
  <c r="BB14" i="20"/>
  <c r="BJ6" i="20"/>
  <c r="AV8" i="20"/>
  <c r="BF13" i="20"/>
  <c r="AM6" i="20"/>
  <c r="W17" i="20"/>
  <c r="AR3" i="20"/>
  <c r="CE7" i="20"/>
  <c r="AR8" i="20"/>
  <c r="CI16" i="20"/>
  <c r="BX13" i="20"/>
  <c r="BM15" i="20"/>
  <c r="AM8" i="20"/>
  <c r="BI13" i="20"/>
  <c r="J6" i="20"/>
  <c r="P5" i="20"/>
  <c r="U14" i="20"/>
  <c r="CH16" i="20"/>
  <c r="U9" i="20"/>
  <c r="M9" i="20"/>
  <c r="AS16" i="20"/>
  <c r="AG19" i="20"/>
  <c r="BT6" i="20"/>
  <c r="BJ11" i="20"/>
  <c r="S13" i="20"/>
  <c r="AF7" i="20"/>
  <c r="O13" i="20"/>
  <c r="X12" i="20"/>
  <c r="K8" i="20"/>
  <c r="BQ19" i="20"/>
  <c r="BI12" i="20"/>
  <c r="M5" i="20"/>
  <c r="BF8" i="20"/>
  <c r="AL13" i="20"/>
  <c r="AD4" i="20"/>
  <c r="AF13" i="20"/>
  <c r="CC16" i="20"/>
  <c r="BV15" i="20"/>
  <c r="AP6" i="20"/>
  <c r="P8" i="20"/>
  <c r="AR5" i="20"/>
  <c r="AU19" i="20"/>
  <c r="BK16" i="20"/>
  <c r="CA12" i="20"/>
  <c r="AT11" i="20"/>
  <c r="AD16" i="20"/>
  <c r="CB7" i="20"/>
  <c r="V8" i="20"/>
  <c r="BD5" i="20"/>
  <c r="AV19" i="20"/>
  <c r="BQ7" i="20"/>
  <c r="AK9" i="20"/>
  <c r="AR7" i="20"/>
  <c r="W14" i="20"/>
  <c r="X13" i="20"/>
  <c r="BK18" i="20"/>
  <c r="BB8" i="20"/>
  <c r="AZ16" i="20"/>
  <c r="Z11" i="20"/>
  <c r="T4" i="20"/>
  <c r="AG13" i="20"/>
  <c r="AR6" i="20"/>
  <c r="U16" i="20"/>
  <c r="BZ7" i="20"/>
  <c r="CJ19" i="20"/>
  <c r="BO14" i="20"/>
  <c r="BO9" i="20"/>
  <c r="BG5" i="20"/>
  <c r="CH13" i="20"/>
  <c r="CB6" i="20"/>
  <c r="BP12" i="20"/>
  <c r="BZ12" i="20"/>
  <c r="AE9" i="20"/>
  <c r="BK8" i="20"/>
  <c r="V11" i="20"/>
  <c r="BT11" i="20"/>
  <c r="CG14" i="20"/>
  <c r="M3" i="20"/>
  <c r="AG18" i="20"/>
  <c r="AN17" i="20"/>
  <c r="U5" i="20"/>
  <c r="BG8" i="20"/>
  <c r="AX17" i="20"/>
  <c r="AY3" i="20"/>
  <c r="J10" i="20"/>
  <c r="CG8" i="20"/>
  <c r="AS10" i="20"/>
  <c r="AO7" i="20"/>
  <c r="BQ11" i="20"/>
  <c r="AK19" i="20"/>
  <c r="BM9" i="20"/>
  <c r="T5" i="20"/>
  <c r="AM19" i="20"/>
  <c r="AI4" i="20"/>
  <c r="AG4" i="20"/>
  <c r="U6" i="20"/>
  <c r="M16" i="20"/>
  <c r="AU13" i="20"/>
  <c r="Z9" i="20"/>
  <c r="BA17" i="20"/>
  <c r="Z13" i="20"/>
  <c r="BQ14" i="20"/>
  <c r="BZ16" i="20"/>
  <c r="AZ14" i="20"/>
  <c r="CF8" i="20"/>
  <c r="M15" i="20"/>
  <c r="AB4" i="20"/>
  <c r="BS4" i="20"/>
  <c r="BH17" i="20"/>
  <c r="CJ17" i="20"/>
  <c r="AZ17" i="20"/>
  <c r="J17" i="20"/>
  <c r="BH7" i="20"/>
  <c r="BQ17" i="20"/>
  <c r="BU8" i="20"/>
  <c r="AJ10" i="20"/>
  <c r="S11" i="20"/>
  <c r="CD12" i="20"/>
  <c r="X19" i="20"/>
  <c r="BQ5" i="20"/>
  <c r="AC10" i="20"/>
  <c r="BF3" i="20"/>
  <c r="AW19" i="20"/>
  <c r="AS4" i="20"/>
  <c r="J8" i="20"/>
  <c r="CF3" i="20"/>
  <c r="W16" i="20"/>
  <c r="CC18" i="20"/>
  <c r="AO9" i="20"/>
  <c r="AJ15" i="20"/>
  <c r="BG7" i="20"/>
  <c r="BD3" i="20"/>
  <c r="R3" i="20"/>
  <c r="AC6" i="20"/>
  <c r="AU7" i="20"/>
  <c r="AX18" i="20"/>
  <c r="K6" i="20"/>
  <c r="K9" i="20"/>
  <c r="AT10" i="20"/>
  <c r="CH17" i="20"/>
  <c r="AX16" i="20"/>
  <c r="AT14" i="20"/>
  <c r="CG16" i="20"/>
  <c r="AR12" i="20"/>
  <c r="O16" i="20"/>
  <c r="J16" i="20"/>
  <c r="AJ5" i="20"/>
  <c r="AK4" i="20"/>
  <c r="BZ9" i="20"/>
  <c r="K3" i="20"/>
  <c r="S9" i="20"/>
  <c r="R5" i="20"/>
  <c r="AI15" i="20"/>
  <c r="CG17" i="20"/>
  <c r="CH19" i="20"/>
  <c r="AT5" i="20"/>
  <c r="CI18" i="20"/>
  <c r="CF19" i="20"/>
  <c r="BH10" i="20"/>
  <c r="BC6" i="20"/>
  <c r="BV5" i="20"/>
  <c r="CA17" i="20"/>
  <c r="CA8" i="20"/>
  <c r="BP6" i="20"/>
  <c r="AL8" i="20"/>
  <c r="BH18" i="20"/>
  <c r="BE14" i="20"/>
  <c r="AU17" i="20"/>
  <c r="AX15" i="20"/>
  <c r="J13" i="20"/>
  <c r="CB14" i="20"/>
  <c r="BS15" i="20"/>
  <c r="AO8" i="20"/>
  <c r="CH8" i="20"/>
  <c r="BM3" i="20"/>
  <c r="CH14" i="20"/>
  <c r="R1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tc={3E57EDF0-1B8C-9B46-A0A0-5F6134D8D073}</author>
    <author>tc={20625056-65A0-314C-B336-F0C671FCAC60}</author>
    <author>tc={CCB8CFE3-874A-A549-8B30-9B5AC59CA736}</author>
    <author>tc={5A80C831-1B71-5443-B28A-159213221743}</author>
    <author>tc={615E6ED9-5AAE-D942-9560-251F5DB9FDAA}</author>
  </authors>
  <commentList>
    <comment ref="BH8" authorId="0" shapeId="0" xr:uid="{3E57EDF0-1B8C-9B46-A0A0-5F6134D8D073}">
      <text>
        <t xml:space="preserve">[Threaded comment]
Your version of Excel allows you to read this threaded comment; however, any edits to it will get removed if the file is opened in a newer version of Excel. Learn more: https://go.microsoft.com/fwlink/?linkid=870924
Comment:
    @Luis Miguel Garcia please update competencies G6-G10 for all people not assigned to me </t>
      </text>
    </comment>
    <comment ref="BM8" authorId="1" shapeId="0" xr:uid="{20625056-65A0-314C-B336-F0C671FCAC60}">
      <text>
        <t>[Threaded comment]
Your version of Excel allows you to read this threaded comment; however, any edits to it will get removed if the file is opened in a newer version of Excel. Learn more: https://go.microsoft.com/fwlink/?linkid=870924
Comment:
    @Carole please update competencies G11-G15 for all people not assigned to me</t>
      </text>
    </comment>
    <comment ref="BR8" authorId="2" shapeId="0" xr:uid="{CCB8CFE3-874A-A549-8B30-9B5AC59CA736}">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@Elisabet Rovira please update competencies G16-G20 for all people not assigned to me</t>
      </text>
    </comment>
    <comment ref="BW8" authorId="3" shapeId="0" xr:uid="{5A80C831-1B71-5443-B28A-159213221743}">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@Alejandroplease update competencies G21-G25 for all people not assigned to me</t>
      </text>
    </comment>
    <comment ref="CB8" authorId="4" shapeId="0" xr:uid="{615E6ED9-5AAE-D942-9560-251F5DB9FDAA}">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@Gaurav Kalwani - please update competencies G26-G30 for all people not assigned to me</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B932355-AC4B-4972-9BB7-D853318502EB}" keepAlive="1" name="Query - Apended" description="Connection to the 'Apended' query in the workbook." type="5" refreshedVersion="8" background="1" saveData="1">
    <dbPr connection="Provider=Microsoft.Mashup.OleDb.1;Data Source=$Workbook$;Location=Apended;Extended Properties=&quot;&quot;" command="SELECT * FROM [Apended]"/>
  </connection>
  <connection id="2" xr16:uid="{8BB2F2BB-F42C-4627-B18E-4D4C7BD7B1B2}" keepAlive="1" name="Query - Expectations" description="Connection to the 'Expectations' query in the workbook." type="5" refreshedVersion="0" background="1" saveData="1">
    <dbPr connection="Provider=Microsoft.Mashup.OleDb.1;Data Source=$Workbook$;Location=Expectations;Extended Properties=&quot;&quot;" command="SELECT * FROM [Expectations]"/>
  </connection>
  <connection id="3" xr16:uid="{BAF0AC6C-B354-4602-BE4B-EE7E70158BDD}" keepAlive="1" name="Query - Model" description="Connection to the 'Model' query in the workbook." type="5" refreshedVersion="8" background="1" saveData="1">
    <dbPr connection="Provider=Microsoft.Mashup.OleDb.1;Data Source=$Workbook$;Location=Model;Extended Properties=&quot;&quot;" command="SELECT * FROM [Model]"/>
  </connection>
  <connection id="4" xr16:uid="{47433432-0A41-422E-81D6-8AD24EBEE3E7}" keepAlive="1" name="Query - Real" description="Connection to the 'Real' query in the workbook." type="5" refreshedVersion="0" background="1" saveData="1">
    <dbPr connection="Provider=Microsoft.Mashup.OleDb.1;Data Source=$Workbook$;Location=Real;Extended Properties=&quot;&quot;" command="SELECT * FROM [Real]"/>
  </connection>
  <connection id="5" xr16:uid="{8EBCE77B-8C18-4C11-905E-C81F61A86A04}" keepAlive="1" name="Query - Weighted" description="Connection to the 'Weighted' query in the workbook." type="5" refreshedVersion="0" background="1" saveData="1">
    <dbPr connection="Provider=Microsoft.Mashup.OleDb.1;Data Source=$Workbook$;Location=Weighted;Extended Properties=&quot;&quot;" command="SELECT * FROM [Weighted]"/>
  </connection>
  <connection id="6" xr16:uid="{117E2E82-690B-45AF-9D0C-2FE3895480D1}" keepAlive="1" name="Query - Weighted (2)" description="Connection to the 'Weighted (2)' query in the workbook." type="5" refreshedVersion="0" background="1">
    <dbPr connection="Provider=Microsoft.Mashup.OleDb.1;Data Source=$Workbook$;Location=&quot;Weighted (2)&quot;;Extended Properties=&quot;&quot;" command="SELECT * FROM [Weighted (2)]"/>
  </connection>
  <connection id="7" xr16:uid="{4051A200-251B-478A-8DCD-324B53CCD1B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8" xr16:uid="{43D08AE9-9182-4887-9664-2B442702CEF1}" name="WorksheetConnection_WIP - Competency Matrix- jose.xlsm!Model" type="102" refreshedVersion="8" minRefreshableVersion="5">
    <extLst>
      <ext xmlns:x15="http://schemas.microsoft.com/office/spreadsheetml/2010/11/main" uri="{DE250136-89BD-433C-8126-D09CA5730AF9}">
        <x15:connection id="Model" autoDelete="1">
          <x15:rangePr sourceName="_xlcn.WorksheetConnection_WIPCompetencyMatrixjose.xlsmModel"/>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<sst xmlns="http://schemas.openxmlformats.org/spreadsheetml/2006/main" count="9677" uniqueCount="511">
  <si>
    <t>Title:</t>
  </si>
  <si>
    <t>Purpose:</t>
  </si>
  <si>
    <t>Version Control</t>
  </si>
  <si>
    <t>Author</t>
  </si>
  <si>
    <t>Date
(Mon DD, YYYY)</t>
  </si>
  <si>
    <t>Update/Notes</t>
  </si>
  <si>
    <t>T.Gordon</t>
  </si>
  <si>
    <t>Dec 31, 2025</t>
  </si>
  <si>
    <t>Initial Version</t>
  </si>
  <si>
    <t>Jan 6, 2026</t>
  </si>
  <si>
    <t>Refinement and first Review with Arthur, Squad Leads, Jordi</t>
  </si>
  <si>
    <t>T.Gordon, A. Wirthensohn</t>
  </si>
  <si>
    <t>Dec 9, 2025</t>
  </si>
  <si>
    <t>Detailed Review and Changes with Arthur</t>
  </si>
  <si>
    <t>How this Workbook functions:</t>
  </si>
  <si>
    <t>Hyperlinks</t>
  </si>
  <si>
    <t>Pain Points</t>
  </si>
  <si>
    <t>Tone</t>
  </si>
  <si>
    <t>Distribution</t>
  </si>
  <si>
    <t>Top 10</t>
  </si>
  <si>
    <t>Audit Table</t>
  </si>
  <si>
    <t>Average of AbsDelta</t>
  </si>
  <si>
    <t>Column Labels</t>
  </si>
  <si>
    <t>Average of Delta</t>
  </si>
  <si>
    <t>Count of REF</t>
  </si>
  <si>
    <t>Row Labels</t>
  </si>
  <si>
    <t>C6-S</t>
  </si>
  <si>
    <t>C6-M</t>
  </si>
  <si>
    <t>C5-S</t>
  </si>
  <si>
    <t>C4-S</t>
  </si>
  <si>
    <t>C3</t>
  </si>
  <si>
    <t>C2</t>
  </si>
  <si>
    <t>Grand Total</t>
  </si>
  <si>
    <t>-1</t>
  </si>
  <si>
    <t>0</t>
  </si>
  <si>
    <t>&gt;=+2</t>
  </si>
  <si>
    <t>&lt;=-2</t>
  </si>
  <si>
    <t>+1</t>
  </si>
  <si>
    <t>Delivery &amp; Consulting</t>
  </si>
  <si>
    <t>DQ-Specific Functional</t>
  </si>
  <si>
    <t>DQ-Specific Technical</t>
  </si>
  <si>
    <t>SAP Data Functional</t>
  </si>
  <si>
    <t>Squad-Cloud Data Quality</t>
  </si>
  <si>
    <t>Squad-Dashboarding &amp; Analytics</t>
  </si>
  <si>
    <t>Squad-Delivery Excellence</t>
  </si>
  <si>
    <t>Squad-dqOps</t>
  </si>
  <si>
    <t>Squad-Harmonization</t>
  </si>
  <si>
    <t>Squad-Source Cleansing</t>
  </si>
  <si>
    <t>Squad-Specialized and AI Driven</t>
  </si>
  <si>
    <t>Syniti Platform: Technical (ADM)</t>
  </si>
  <si>
    <t>Syniti Platform: Technical (ADM-M)</t>
  </si>
  <si>
    <t>Total Average of AbsDelta</t>
  </si>
  <si>
    <t>Total Average of MaterialFlag</t>
  </si>
  <si>
    <t>Total Average of Delta</t>
  </si>
  <si>
    <t>Average of MaterialFlag</t>
  </si>
  <si>
    <t>Total Average of Regular</t>
  </si>
  <si>
    <t>Total Average of Weighted</t>
  </si>
  <si>
    <t>Total Average of OverFlag</t>
  </si>
  <si>
    <t>Total Average of UnderFlag</t>
  </si>
  <si>
    <t>Average of Regular</t>
  </si>
  <si>
    <t>Average of Weighted</t>
  </si>
  <si>
    <t>Average of OverFlag</t>
  </si>
  <si>
    <t>Average of UnderFlag</t>
  </si>
  <si>
    <t>ADM</t>
  </si>
  <si>
    <t>ADM-M</t>
  </si>
  <si>
    <t>Delivery Excellence</t>
  </si>
  <si>
    <t>dqOps</t>
  </si>
  <si>
    <t>Harmonization</t>
  </si>
  <si>
    <t>Source Cleansing</t>
  </si>
  <si>
    <t>Cloud Data Quality</t>
  </si>
  <si>
    <t>Dashboarding &amp; Analytics</t>
  </si>
  <si>
    <t>Specialized and AI Driven</t>
  </si>
  <si>
    <t>Area</t>
  </si>
  <si>
    <t>Syniti Platform: Technical</t>
  </si>
  <si>
    <t>Squad-Specific</t>
  </si>
  <si>
    <t>REF</t>
  </si>
  <si>
    <t>A1</t>
  </si>
  <si>
    <t>A2</t>
  </si>
  <si>
    <t>A3</t>
  </si>
  <si>
    <t>A4</t>
  </si>
  <si>
    <t>A5</t>
  </si>
  <si>
    <t>A6</t>
  </si>
  <si>
    <t>A7</t>
  </si>
  <si>
    <t>A8</t>
  </si>
  <si>
    <t>A9</t>
  </si>
  <si>
    <t>A10</t>
  </si>
  <si>
    <t>B1</t>
  </si>
  <si>
    <t>B2</t>
  </si>
  <si>
    <t>B3</t>
  </si>
  <si>
    <t>B4</t>
  </si>
  <si>
    <t>B5</t>
  </si>
  <si>
    <t>B6</t>
  </si>
  <si>
    <t>B7</t>
  </si>
  <si>
    <t>B8</t>
  </si>
  <si>
    <t>B9</t>
  </si>
  <si>
    <t>B10</t>
  </si>
  <si>
    <t>C1</t>
  </si>
  <si>
    <t>C4</t>
  </si>
  <si>
    <t>C5</t>
  </si>
  <si>
    <t>D1</t>
  </si>
  <si>
    <t>D2</t>
  </si>
  <si>
    <t>D3</t>
  </si>
  <si>
    <t>D4</t>
  </si>
  <si>
    <t>D5</t>
  </si>
  <si>
    <t>E1</t>
  </si>
  <si>
    <t>E2</t>
  </si>
  <si>
    <t>E3</t>
  </si>
  <si>
    <t>E4</t>
  </si>
  <si>
    <t>E5</t>
  </si>
  <si>
    <t>F1</t>
  </si>
  <si>
    <t>F2</t>
  </si>
  <si>
    <t>F3</t>
  </si>
  <si>
    <t>F4</t>
  </si>
  <si>
    <t>F5</t>
  </si>
  <si>
    <t>F6</t>
  </si>
  <si>
    <t>F7</t>
  </si>
  <si>
    <t>F8</t>
  </si>
  <si>
    <t>F9</t>
  </si>
  <si>
    <t>F10</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</si>
  <si>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</si>
  <si>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</si>
  <si>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</si>
  <si>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</si>
  <si>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</si>
  <si>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</si>
  <si>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</si>
  <si>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</si>
  <si>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</si>
  <si>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</si>
  <si>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</si>
  <si>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</si>
  <si>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</si>
  <si>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</si>
  <si>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</si>
  <si>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</si>
  <si>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</si>
  <si>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</si>
  <si>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</si>
  <si>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</si>
  <si>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</si>
  <si>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</si>
  <si>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</si>
  <si>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</si>
  <si>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</si>
  <si>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</si>
  <si>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</si>
  <si>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</si>
  <si>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</si>
  <si>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</si>
  <si>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</si>
  <si>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</si>
  <si>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</si>
  <si>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</si>
  <si>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</si>
  <si>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Competency Titile</t>
  </si>
  <si>
    <t>Competency Description</t>
  </si>
  <si>
    <t>First Name</t>
  </si>
  <si>
    <t>Last Name</t>
  </si>
  <si>
    <t>C-Level</t>
  </si>
  <si>
    <t>Rating Type</t>
  </si>
  <si>
    <t>Rating Date</t>
  </si>
  <si>
    <t>Rated By</t>
  </si>
  <si>
    <t>Comptetency</t>
  </si>
  <si>
    <t>Data Prep: Collect</t>
  </si>
  <si>
    <t>Data Prep: Transform/Relevancy</t>
  </si>
  <si>
    <t>DQ Dev: SQL View</t>
  </si>
  <si>
    <t>DQ Dev: DQ Components</t>
  </si>
  <si>
    <t>DQ Dashboard: Scorecards</t>
  </si>
  <si>
    <t>DQ Admin: ADM</t>
  </si>
  <si>
    <t>ADM Architecture</t>
  </si>
  <si>
    <t>DQ Match: Syniti Match (Cortex)</t>
  </si>
  <si>
    <t>DQ Operate: Automate/Serv. page</t>
  </si>
  <si>
    <t>Construct - webApps</t>
  </si>
  <si>
    <t>Data Prep: Replicate/Snapshot</t>
  </si>
  <si>
    <t>Data Prep: Migrate/Relevancy</t>
  </si>
  <si>
    <t>DQ Dev: SQL View2</t>
  </si>
  <si>
    <t>DQ Dev: DQ Components3</t>
  </si>
  <si>
    <t>DQ Dashboard: Standard (Dataset)</t>
  </si>
  <si>
    <t>DQ Admin: ADM-M</t>
  </si>
  <si>
    <t>ADM-M Architecture</t>
  </si>
  <si>
    <t>DQ Match: Cloud Match</t>
  </si>
  <si>
    <t>DQ Operate: Orchestrate</t>
  </si>
  <si>
    <t>Construct - webApps4</t>
  </si>
  <si>
    <t>Data Profiling &amp; Analysis</t>
  </si>
  <si>
    <t>Exception Handling Mechanisms</t>
  </si>
  <si>
    <t>Duplicate Detection Techniques</t>
  </si>
  <si>
    <t>Root Cause Analysis of DQ Issues</t>
  </si>
  <si>
    <t>Data Models and Entity Relation</t>
  </si>
  <si>
    <t>Business Rules Gathering</t>
  </si>
  <si>
    <t>Data Standards Governance</t>
  </si>
  <si>
    <t>KPI Definition with Business</t>
  </si>
  <si>
    <t>DQ Policy Interpretation</t>
  </si>
  <si>
    <t>Common Data Tools (Excel)</t>
  </si>
  <si>
    <t>Major SAP MD: Cus, Ven, Mat, Fin</t>
  </si>
  <si>
    <t>Major SAP BP:  OTC, P2P, MM, R2R</t>
  </si>
  <si>
    <t>SAP Data Structures</t>
  </si>
  <si>
    <t>Source-to-Target Mapping for SAP</t>
  </si>
  <si>
    <t>SAP Business Process Awareness</t>
  </si>
  <si>
    <t>Stakeholder/Expectation Mgmt.</t>
  </si>
  <si>
    <t>Requirements Gathering/Clarif.</t>
  </si>
  <si>
    <t>Facilitating Workshops/Meetings</t>
  </si>
  <si>
    <t>Collaborative Work Management</t>
  </si>
  <si>
    <t>Conflict Resolution</t>
  </si>
  <si>
    <t>Solution Design Thinking</t>
  </si>
  <si>
    <t>Project Risk Awareness</t>
  </si>
  <si>
    <t>Cross-functional Collaboration</t>
  </si>
  <si>
    <t>Mentoring &amp; Coaching</t>
  </si>
  <si>
    <t>Ongoing Improvement/Innovation</t>
  </si>
  <si>
    <t>Requirements to Proposal</t>
  </si>
  <si>
    <t>SoW and Resource Plan</t>
  </si>
  <si>
    <t>Implementation Plan &amp; WBS</t>
  </si>
  <si>
    <t>RAID-Risk/Issue Management</t>
  </si>
  <si>
    <t>Methodology Enforcement/Adher.</t>
  </si>
  <si>
    <t>Overall DQOps Methodology</t>
  </si>
  <si>
    <t>Enforcement of DQOps Methodology</t>
  </si>
  <si>
    <t>Specify rule</t>
  </si>
  <si>
    <t>Build and execute QA</t>
  </si>
  <si>
    <t>Iterate Validate &amp; Improve</t>
  </si>
  <si>
    <t>Harmonization Methodology</t>
  </si>
  <si>
    <t>Harmonization Solutioning</t>
  </si>
  <si>
    <t>Harmonization Architecture</t>
  </si>
  <si>
    <t>Implement BP Consolidation</t>
  </si>
  <si>
    <t>Implement MRO Spare Parts</t>
  </si>
  <si>
    <t xml:space="preserve">Src. Cleanse Methodology </t>
  </si>
  <si>
    <t>Src. Cleanse Approach</t>
  </si>
  <si>
    <t>Src. Cleanse arch. (DQ, Migrate)</t>
  </si>
  <si>
    <t>Implement Src. Cleanse (Migrate)</t>
  </si>
  <si>
    <t>Src. Cleanse Analytics</t>
  </si>
  <si>
    <t xml:space="preserve">Cloud DQ Methodology </t>
  </si>
  <si>
    <t>Cloud DQ Approach</t>
  </si>
  <si>
    <t>Cloud DQ arch. (DQ, Migrate)</t>
  </si>
  <si>
    <t>Implement Cloud DQ (Quality)</t>
  </si>
  <si>
    <t>Cloud DQ Analytics</t>
  </si>
  <si>
    <t>Advanced Data Modelling (SQL)5</t>
  </si>
  <si>
    <t>Construct - DynamicContext6</t>
  </si>
  <si>
    <t>ADM Custom Dashboard - Quicksite7</t>
  </si>
  <si>
    <t>PowerBI8</t>
  </si>
  <si>
    <t>Other (Tableau, Databricks)9</t>
  </si>
  <si>
    <t>General LLM/AI Concepts10</t>
  </si>
  <si>
    <t>Experience in LLM/AI11</t>
  </si>
  <si>
    <t>Syniti AI-Generated Rule Content12</t>
  </si>
  <si>
    <t>Syniti Vision13</t>
  </si>
  <si>
    <t>Syniti Classify14</t>
  </si>
  <si>
    <t>ABe</t>
  </si>
  <si>
    <t>Alejandro</t>
  </si>
  <si>
    <t>Belloti</t>
  </si>
  <si>
    <t>Regular</t>
  </si>
  <si>
    <t>Truwayne</t>
  </si>
  <si>
    <t>ASt</t>
  </si>
  <si>
    <t>Aleksandra</t>
  </si>
  <si>
    <t>Strzelecka</t>
  </si>
  <si>
    <t>N/A</t>
  </si>
  <si>
    <t>AJe</t>
  </si>
  <si>
    <t>Alexander</t>
  </si>
  <si>
    <t>Jenal</t>
  </si>
  <si>
    <t>AMa</t>
  </si>
  <si>
    <t>Anna</t>
  </si>
  <si>
    <t>Maso</t>
  </si>
  <si>
    <t>21/01/2026</t>
  </si>
  <si>
    <t>Gaurav</t>
  </si>
  <si>
    <t>ABu</t>
  </si>
  <si>
    <t>Bulatskaia</t>
  </si>
  <si>
    <t>APa</t>
  </si>
  <si>
    <t>Pascal</t>
  </si>
  <si>
    <t>Delay</t>
  </si>
  <si>
    <t>BFr</t>
  </si>
  <si>
    <t>Borja</t>
  </si>
  <si>
    <t>Fraile Gutierrez</t>
  </si>
  <si>
    <t>LuisMi</t>
  </si>
  <si>
    <t>CPo</t>
  </si>
  <si>
    <t>Carole</t>
  </si>
  <si>
    <t>Popp</t>
  </si>
  <si>
    <t>CSt</t>
  </si>
  <si>
    <t>Christian</t>
  </si>
  <si>
    <t>Stratford</t>
  </si>
  <si>
    <t>CSa</t>
  </si>
  <si>
    <t>Clara</t>
  </si>
  <si>
    <t>Sanchez Flaquer</t>
  </si>
  <si>
    <t>DAc</t>
  </si>
  <si>
    <t>Daniela</t>
  </si>
  <si>
    <t>Acevedo</t>
  </si>
  <si>
    <t>ERo</t>
  </si>
  <si>
    <t>Elisabet</t>
  </si>
  <si>
    <t>Rovira Forgas</t>
  </si>
  <si>
    <t>GKa</t>
  </si>
  <si>
    <t>Kalwani</t>
  </si>
  <si>
    <t>HAg</t>
  </si>
  <si>
    <t>Harsh</t>
  </si>
  <si>
    <t>Agrawal</t>
  </si>
  <si>
    <t>JFl</t>
  </si>
  <si>
    <t>Jacek</t>
  </si>
  <si>
    <t>Flejszar</t>
  </si>
  <si>
    <t>JFu</t>
  </si>
  <si>
    <t>John</t>
  </si>
  <si>
    <t>Furzeman</t>
  </si>
  <si>
    <t>JGa</t>
  </si>
  <si>
    <t>Jose</t>
  </si>
  <si>
    <t>Garcia</t>
  </si>
  <si>
    <t>JPi</t>
  </si>
  <si>
    <t>Juanmanu Aguado</t>
  </si>
  <si>
    <t>Pino</t>
  </si>
  <si>
    <t>KSr</t>
  </si>
  <si>
    <t>Krishna</t>
  </si>
  <si>
    <t>Sreerangam</t>
  </si>
  <si>
    <t>Eli</t>
  </si>
  <si>
    <t>LLo</t>
  </si>
  <si>
    <t>Laura</t>
  </si>
  <si>
    <t>Lopez</t>
  </si>
  <si>
    <t>LKr</t>
  </si>
  <si>
    <t>Lilia</t>
  </si>
  <si>
    <t>Krogerus</t>
  </si>
  <si>
    <t>LLc</t>
  </si>
  <si>
    <t>Linda</t>
  </si>
  <si>
    <t>Lourenco</t>
  </si>
  <si>
    <t>LGa</t>
  </si>
  <si>
    <t>Luis Miguel</t>
  </si>
  <si>
    <t>Garcia Guijarro</t>
  </si>
  <si>
    <t>MGr</t>
  </si>
  <si>
    <t>Mariola</t>
  </si>
  <si>
    <t>Grzduk</t>
  </si>
  <si>
    <t>NMa</t>
  </si>
  <si>
    <t>Nestor</t>
  </si>
  <si>
    <t>Martinez Arque</t>
  </si>
  <si>
    <t>PGu</t>
  </si>
  <si>
    <t>Poorvanshu</t>
  </si>
  <si>
    <t>Gupta</t>
  </si>
  <si>
    <t>Rva</t>
  </si>
  <si>
    <t>Rudi</t>
  </si>
  <si>
    <t>van Lent</t>
  </si>
  <si>
    <t>SHu</t>
  </si>
  <si>
    <t>Syed</t>
  </si>
  <si>
    <t>Hussain</t>
  </si>
  <si>
    <t>VNa</t>
  </si>
  <si>
    <t>V V S</t>
  </si>
  <si>
    <t>Narayana Gudimetla</t>
  </si>
  <si>
    <t>H1</t>
  </si>
  <si>
    <t>H2</t>
  </si>
  <si>
    <t>H3</t>
  </si>
  <si>
    <t>H4</t>
  </si>
  <si>
    <t>H5</t>
  </si>
  <si>
    <t>H6</t>
  </si>
  <si>
    <t>BIy</t>
  </si>
  <si>
    <t>Bagya</t>
  </si>
  <si>
    <t>EBu</t>
  </si>
  <si>
    <t>Ewa</t>
  </si>
  <si>
    <t>Weighted</t>
  </si>
  <si>
    <t/>
  </si>
  <si>
    <t>Last Name 1</t>
  </si>
  <si>
    <t>Matrix/Project Lead</t>
  </si>
  <si>
    <t>Projects</t>
  </si>
  <si>
    <t>Roles</t>
  </si>
  <si>
    <t>Difference from Expected</t>
  </si>
  <si>
    <t>Multiplier</t>
  </si>
  <si>
    <t>Explaination of the Weightage Formula</t>
  </si>
  <si>
    <t>Masó Bagué</t>
  </si>
  <si>
    <t>&gt;= 2</t>
  </si>
  <si>
    <t>Explanation of the Weighted Scoring Formula
This formula calculates a weighted competency score by comparing a consultant’s actual rating against the expected rating for their role level. The score is adjusted using a smooth multiplier based on the difference between actual and expected ratings, emphasizing exceptional performance while fairly adjusting for underperformance.
This approach provides a nuanced recognition of performance relative to expectations, avoiding abrupt jumps and ensuring fair scoring across all competency levels.</t>
  </si>
  <si>
    <t>&lt;= -2</t>
  </si>
  <si>
    <t>Difference (diff) = Actual Score - Expected Score</t>
  </si>
  <si>
    <t xml:space="preserve">Multiplier = </t>
  </si>
  <si>
    <t>This smooth function adjusts the multiplier gradually rather than using fixed steps.</t>
  </si>
  <si>
    <t>When performance exceeds expectations (positive diff), the multiplier grows above 1 to reward the consultant</t>
  </si>
  <si>
    <t>When performance falls below expectations (negative diff), the multiplier decreases below 1 to indicate needed improvement.</t>
  </si>
  <si>
    <t>Parameters α and β control how strongly and smoothly the multiplier changes.</t>
  </si>
  <si>
    <t>The weighted score is the expected score multiplied by this multiplier, capped at a maximum (e.g., 5) to maintain a consistent scale.</t>
  </si>
  <si>
    <t>Iyer</t>
  </si>
  <si>
    <t>GDC-C2</t>
  </si>
  <si>
    <t>Solution Architect</t>
  </si>
  <si>
    <t>Technical Architect</t>
  </si>
  <si>
    <t>Implementation Lead</t>
  </si>
  <si>
    <t>DQ Snr. Developer</t>
  </si>
  <si>
    <t>DQ Developer</t>
  </si>
  <si>
    <t>Business User</t>
  </si>
  <si>
    <t>Syniti Internal</t>
  </si>
  <si>
    <t>C5-C6</t>
  </si>
  <si>
    <t>C4-C6</t>
  </si>
  <si>
    <t>SKP Essentials</t>
  </si>
  <si>
    <t>X</t>
  </si>
  <si>
    <t>x</t>
  </si>
  <si>
    <t>Quality Essentials</t>
  </si>
  <si>
    <t>Quality Foundations</t>
  </si>
  <si>
    <t>Construct</t>
  </si>
  <si>
    <t>Replicate</t>
  </si>
  <si>
    <t>Orchestrate</t>
  </si>
  <si>
    <t>Match</t>
  </si>
  <si>
    <t>SynitiONE Essentials</t>
  </si>
  <si>
    <t>SynitiONE Methodology</t>
  </si>
  <si>
    <t>Migrate Essentials</t>
  </si>
  <si>
    <t>Migrate Foundations</t>
  </si>
  <si>
    <t>Migrate Developer</t>
  </si>
  <si>
    <t>Expectation</t>
  </si>
  <si>
    <t>Competency Area</t>
  </si>
  <si>
    <t>Platform Component</t>
  </si>
  <si>
    <t>Description</t>
  </si>
  <si>
    <t>C4-M</t>
  </si>
  <si>
    <t>C5-M</t>
  </si>
  <si>
    <t>Gathering and organizing source system data for further processing and data quality activities.</t>
  </si>
  <si>
    <t>Summary of Competencies by Competency Area</t>
  </si>
  <si>
    <t>Applying transformations and logic to ensure data is relevant and accurate for data quality.</t>
  </si>
  <si>
    <t>Etiquetas de fila</t>
  </si>
  <si>
    <t>Count</t>
  </si>
  <si>
    <t>% of Total</t>
  </si>
  <si>
    <t>Building SQL views to support data profiling, cleansing, and validation.</t>
  </si>
  <si>
    <t>Registering rules and configuring components such as notifications and thresholds for DQ.</t>
  </si>
  <si>
    <t>Adjusting thresholds and managing scorecard components for data quality metrics.</t>
  </si>
  <si>
    <t>Administering ADM settings for project governance and data operations.</t>
  </si>
  <si>
    <t>Designing and maintaining the technical architecture of ADM solutions.</t>
  </si>
  <si>
    <t>Syniti Match</t>
  </si>
  <si>
    <t>Configuring and deploying Syniti Match for deduplication and entity resolution using Cortex engine.</t>
  </si>
  <si>
    <t>Automating service tasks and workflows within ADM for efficient operations.</t>
  </si>
  <si>
    <t>Creating, adapting, supporting customized solutions using Syniti Construct webApps</t>
  </si>
  <si>
    <t>Creating and managing data replicas and snapshots to preserve source data state for data quality.</t>
  </si>
  <si>
    <t>Assessing and preparing data objects for data quality, focusing on relevance and data scope.</t>
  </si>
  <si>
    <t>DQ Dev: SQL (Within ADM-M)</t>
  </si>
  <si>
    <t>Designing SQL views to facilitate data profiling, cleansing, and transformation during data quality.</t>
  </si>
  <si>
    <t>Configuring data quality rules and related automation modules for data quality projects.</t>
  </si>
  <si>
    <t>Using the standard DQ dashboard to monitor, report, and analyze dataset-level quality metrics.</t>
  </si>
  <si>
    <t>Administering ADM-M project settings and data quality configurations for migration.</t>
  </si>
  <si>
    <t>(en blanco)</t>
  </si>
  <si>
    <t>Designing and optimizing the ADM-M technical architecture for scalable data quality.</t>
  </si>
  <si>
    <t>Total general</t>
  </si>
  <si>
    <t>Applying cloud-based matching capabilities to deduplicate and resolve entities across systems.</t>
  </si>
  <si>
    <t>Summary of Competency Area across C-Level, with average Expected Rating</t>
  </si>
  <si>
    <t>Automating and orchestrating sequences of data quality tasks in ADM-M.</t>
  </si>
  <si>
    <t>Average of C1</t>
  </si>
  <si>
    <t>Average of C2</t>
  </si>
  <si>
    <t>Average of C3</t>
  </si>
  <si>
    <t>Average of C4-S</t>
  </si>
  <si>
    <t>Average of C4-M</t>
  </si>
  <si>
    <t>Average of C5-S</t>
  </si>
  <si>
    <t>Average of C5-M</t>
  </si>
  <si>
    <t>Average of C6-S</t>
  </si>
  <si>
    <t>Average of C6-M</t>
  </si>
  <si>
    <t>Analyzing data sources to identify anomalies, patterns, and quality issues.</t>
  </si>
  <si>
    <t>Implementing processes to capture and manage data exceptions in DQ workflows.</t>
  </si>
  <si>
    <t>Utilizing algorithms and metadata to identify duplicate records across datasets.</t>
  </si>
  <si>
    <t>Systematically investigating the sources of data quality failures.</t>
  </si>
  <si>
    <t>Designing relational models for master and transactional data.</t>
  </si>
  <si>
    <t>Collecting and defining business requirements to shape DQ processes.</t>
  </si>
  <si>
    <t>Enforcing data standards and regulatory policies for compliance.</t>
  </si>
  <si>
    <t>Collaborating with stakeholders to establish KPIs and DQ measurement frameworks.</t>
  </si>
  <si>
    <t>Translating DQ policies into actionable operational procedures.</t>
  </si>
  <si>
    <t>Utilizing Excel and other tools for analysis and validation tasks.</t>
  </si>
  <si>
    <t>Managing key SAP master data objects for customers, vendors, materials, and finance.</t>
  </si>
  <si>
    <t>Major SAP BP: OTC, P2P, MM, R2R</t>
  </si>
  <si>
    <t>Handling core SAP business processes such as order-to-cash and procure-to-pay.</t>
  </si>
  <si>
    <t>Working with SAP tables, LSMW objects, IDOCs, and BAPI interfaces.</t>
  </si>
  <si>
    <t>Defining and executing mappings between source and SAP target systems.</t>
  </si>
  <si>
    <t>Understanding and adapting to SAP process requirements.</t>
  </si>
  <si>
    <t>Managing client and stakeholder expectations throughout deliverables.</t>
  </si>
  <si>
    <t>Collecting and clarifying project requirements from business and technical users.</t>
  </si>
  <si>
    <t>Leading discussions and engagements to drive consensus and solutioning.</t>
  </si>
  <si>
    <t>Coordinating across teams for effective project outcomes.</t>
  </si>
  <si>
    <t>Addressing team or stakeholder disputes constructively.</t>
  </si>
  <si>
    <t>Applying structured methodologies to create optimal solutions.</t>
  </si>
  <si>
    <t>Identifying, managing, and mitigating delivery risks.</t>
  </si>
  <si>
    <t>Working effectively across functional boundaries.</t>
  </si>
  <si>
    <t>Supporting team and individual development.</t>
  </si>
  <si>
    <t>Driving continuous process and solution enhancement.</t>
  </si>
  <si>
    <t>Translating business requirements into detailed project proposals and solution approaches.</t>
  </si>
  <si>
    <t>Developing statements of work and resourcing plans for successful engagements.</t>
  </si>
  <si>
    <t>Structuring and managing implementation plans using work breakdown structures.</t>
  </si>
  <si>
    <t>Tracking risks, issues, actions, and decisions to mitigate delivery problems.</t>
  </si>
  <si>
    <t>Ensuring compliance with Syniti and industry-standard project delivery methodologies.</t>
  </si>
  <si>
    <t>Applying the Syniti methodology for data quality operations across different projects.</t>
  </si>
  <si>
    <t>Driving consistency and governance in DQ processes through methodology adherence.</t>
  </si>
  <si>
    <t>Defining and managing granular data quality rules for business scenarios.</t>
  </si>
  <si>
    <t>Designing, executing, and reviewing QA activities for data quality assurance.</t>
  </si>
  <si>
    <t>Cycling through validation and continuous improvement of DQ processes.</t>
  </si>
  <si>
    <t>Applying structured techniques for harmonizing data across domains or systems.</t>
  </si>
  <si>
    <t>Designing solutions for data harmonization challenges and outcomes.</t>
  </si>
  <si>
    <t>Architecting frameworks to support harmonized enterprise data landscapes.</t>
  </si>
  <si>
    <t>Executing business partner consolidation within harmonization initiatives.</t>
  </si>
  <si>
    <t>Integrating and consolidating MRO (Maintenance, Repair, Operations) spare parts for enterprise harmonization</t>
  </si>
  <si>
    <t>Applying structured cleansing methodology to source data sets.</t>
  </si>
  <si>
    <t>Crafting approach for source cleansing considering process, people, and tools.</t>
  </si>
  <si>
    <t>Designing architecture for cleansing activities in DQ</t>
  </si>
  <si>
    <t>Executing source cleansing as part of data migration initiatives.</t>
  </si>
  <si>
    <t>Utilizing analytics to measure and optimize source data cleansing.</t>
  </si>
  <si>
    <t>Implementing methodologies for cloud-based data quality management.</t>
  </si>
  <si>
    <t>Defining tailored approaches for cloud DQ challenges using Syniti tools.</t>
  </si>
  <si>
    <t>Designing and operating cloud data architecture supporting quality</t>
  </si>
  <si>
    <t>Delivering end-to-end data quality solutions in cloud platforms.</t>
  </si>
  <si>
    <t>Applying analytics to assess and improve data quality in cloud environments.</t>
  </si>
  <si>
    <t>Advanced Data Modelling (SQL)</t>
  </si>
  <si>
    <t>Building complex data models and visualizations using advanced SQL techniques.</t>
  </si>
  <si>
    <t>Construct - DynamicContext</t>
  </si>
  <si>
    <t>Configuring dynamic data constructs within Syniti platform dashboards.</t>
  </si>
  <si>
    <t>ADM Custom Dashboard - Quicksite</t>
  </si>
  <si>
    <t>Customizing ADM dashboards for targeted insights in Quicksite.</t>
  </si>
  <si>
    <t>PowerBI</t>
  </si>
  <si>
    <t>Designing and managing dashboards and reports in PowerBI.</t>
  </si>
  <si>
    <t>Other (Tableau, Databricks)</t>
  </si>
  <si>
    <t>Creating data dashboards with other analytics platforms (Tableau, Databricks, Snowflake, SAC).</t>
  </si>
  <si>
    <t>General LLM/AI Concepts</t>
  </si>
  <si>
    <t>Understanding concepts and applications of large language models and AI in data.</t>
  </si>
  <si>
    <t>Experience in LLM/AI</t>
  </si>
  <si>
    <t>Applying practical experience in LLM/AI within data management projects.</t>
  </si>
  <si>
    <t>Syniti AI-Generated Rule Content</t>
  </si>
  <si>
    <t>Leveraging Syniti’s AI-generated rule libraries for automated data quality.</t>
  </si>
  <si>
    <t>Syniti Vision</t>
  </si>
  <si>
    <t>Implementing Syniti Vision for enhanced analytics and data visualization.</t>
  </si>
  <si>
    <t>Syniti Classify</t>
  </si>
  <si>
    <t>Using Syniti Classify modules for automated entity classification and improvement.</t>
  </si>
  <si>
    <t>Competency</t>
  </si>
  <si>
    <t>Delta</t>
  </si>
  <si>
    <t>AbsDelta</t>
  </si>
  <si>
    <t>OverFlag</t>
  </si>
  <si>
    <t>UnderFlag</t>
  </si>
  <si>
    <t>MaterialFlag</t>
  </si>
  <si>
    <t>BucketDelta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</si>
</sst>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font>
      <sz val="12"/>
      <color theme="1"/>
      <name val="Work Sans"/>
      <family val="2"/>
      <scheme val="minor"/>
    </font>
    <font>
      <sz val="8"/>
      <name val="Work Sans"/>
      <family val="2"/>
      <scheme val="minor"/>
    </font>
    <font>
      <sz val="11"/>
      <color theme="1"/>
      <name val="Work Sans"/>
      <family val="2"/>
      <scheme val="minor"/>
    </font>
    <font>
      <sz val="11"/>
      <color rgb="FF000000"/>
      <name val="Aptos Narrow"/>
      <family val="2"/>
    </font>
    <font>
      <b/>
      <sz val="11"/>
      <color rgb="FFFFFFFF"/>
      <name val="Aptos"/>
      <family val="2"/>
    </font>
    <font>
      <sz val="11"/>
      <color theme="1"/>
      <name val="Aptos"/>
      <family val="2"/>
    </font>
    <font>
      <sz val="11"/>
      <color rgb="FF000000"/>
      <name val="Aptos"/>
      <family val="2"/>
    </font>
    <font>
      <sz val="12"/>
      <name val="Work Sans"/>
      <family val="2"/>
      <scheme val="minor"/>
    </font>
    <font>
      <sz val="12"/>
      <color theme="0"/>
      <name val="Work Sans"/>
      <family val="2"/>
      <scheme val="minor"/>
    </font>
    <font>
      <sz val="9"/>
      <color theme="0"/>
      <name val="Work Sans"/>
      <family val="2"/>
      <scheme val="minor"/>
    </font>
    <font>
      <sz val="11"/>
      <color theme="0"/>
      <name val="Work Sans"/>
      <family val="2"/>
      <scheme val="minor"/>
    </font>
    <font>
      <sz val="9"/>
      <color rgb="FFBDAEF9"/>
      <name val="Work Sans"/>
      <family val="2"/>
      <scheme val="minor"/>
    </font>
    <font>
      <b/>
      <sz val="11"/>
      <color rgb="FFBDAEF9"/>
      <name val="Work Sans"/>
      <family val="2"/>
      <scheme val="minor"/>
    </font>
    <font>
      <b/>
      <sz val="9"/>
      <color rgb="FFBDAEF9"/>
      <name val="Work Sans"/>
      <family val="2"/>
      <scheme val="minor"/>
    </font>
    <font>
      <sz val="10.5"/>
      <color theme="1"/>
      <name val="Helvetica Neue"/>
      <family val="2"/>
    </font>
    <font>
      <b/>
      <sz val="12"/>
      <color theme="1"/>
      <name val="Work Sans"/>
      <scheme val="minor"/>
    </font>
    <font>
      <b/>
      <sz val="12"/>
      <color theme="0"/>
      <name val="Work Sans"/>
      <scheme val="minor"/>
    </font>
    <font>
      <b/>
      <sz val="14"/>
      <name val="Work Sans"/>
      <scheme val="minor"/>
    </font>
    <font>
      <b/>
      <sz val="11"/>
      <color rgb="FFFFFFFF"/>
      <name val="Work Sans"/>
      <family val="2"/>
    </font>
    <font>
      <sz val="12"/>
      <color rgb="FFFFFFFF"/>
      <name val="Work Sans"/>
      <family val="2"/>
    </font>
    <font>
      <sz val="11"/>
      <color rgb="FFFFFFFF"/>
      <name val="Work Sans"/>
      <family val="2"/>
    </font>
    <font>
      <b/>
      <sz val="12"/>
      <color rgb="FFFFFFFF"/>
      <name val="Work Sans"/>
      <family val="2"/>
    </font>
    <font>
      <u/>
      <sz val="12"/>
      <color theme="10"/>
      <name val="Work Sans"/>
      <family val="2"/>
      <scheme val="minor"/>
    </font>
    <font>
      <sz val="11"/>
      <color rgb="FFFFFFFF"/>
      <name val="Work Sans"/>
    </font>
    <font>
      <sz val="9"/>
      <color theme="1"/>
      <name val="Work Sans"/>
      <family val="2"/>
      <scheme val="minor"/>
    </font>
    <font>
      <sz val="8"/>
      <color theme="0"/>
      <name val="Work Sans"/>
      <family val="2"/>
      <scheme val="minor"/>
    </font>
    <font>
      <sz val="8"/>
      <color theme="1"/>
      <name val="Work Sans"/>
      <family val="2"/>
      <scheme val="minor"/>
    </font>
    <font>
      <b/>
      <sz val="18"/>
      <color rgb="FFBDAEF9"/>
      <name val="Work Sans"/>
      <scheme val="minor"/>
    </font>
    <font>
      <b/>
      <u/>
      <sz val="16"/>
      <color rgb="FFBDAEF9"/>
      <name val="Work Sans"/>
      <scheme val="minor"/>
    </font>
    <font>
      <sz val="16"/>
      <color rgb="FFBDAEF9"/>
      <name val="Work Sans"/>
      <scheme val="minor"/>
    </font>
    <font>
      <sz val="10"/>
      <color theme="0"/>
      <name val="Work Sans"/>
      <family val="2"/>
      <scheme val="minor"/>
    </font>
    <font>
      <i/>
      <sz val="8"/>
      <color rgb="FFBDAEF9"/>
      <name val="Work Sans"/>
      <scheme val="minor"/>
    </font>
    <font>
      <sz val="11"/>
      <color rgb="FF881AFF"/>
      <name val="Work Sans (Body)"/>
    </font>
    <font>
      <sz val="12"/>
      <color rgb="FF881AFF"/>
      <name val="Work Sans (Body)"/>
    </font>
    <font>
      <sz val="9"/>
      <color rgb="FF881AFF"/>
      <name val="Work Sans (Body)"/>
    </font>
    <font>
      <sz val="9"/>
      <color rgb="FF881AFF"/>
      <name val="Work Sans"/>
      <scheme val="minor"/>
    </font>
  </fonts>
  <fills count="17">
    <fill>
      <patternFill patternType="none"/>
    </fill>
    <fill>
      <patternFill patternType="gray125"/>
    </fill>
    <fill>
      <patternFill patternType="solid">
        <fgColor rgb="FF156082"/>
        <bgColor indexed="64"/>
      </patternFill>
    </fill>
    <fill>
      <patternFill patternType="solid">
        <fgColor rgb="FF83CAEB"/>
        <bgColor indexed="64"/>
      </patternFill>
    </fill>
    <fill>
      <patternFill patternType="solid">
        <fgColor rgb="FFC1E4F5"/>
        <bgColor indexed="64"/>
      </patternFill>
    </fill>
    <fill>
      <patternFill patternType="solid">
        <fgColor theme="3" tint="-0.249977111117893"/>
        <bgColor indexed="64"/>
      </patternFill>
    </fill>
    <fill>
      <patternFill patternType="solid">
        <fgColor theme="7" tint="9.9978637043366805E-2"/>
        <bgColor indexed="64"/>
      </patternFill>
    </fill>
    <fill>
      <patternFill patternType="solid">
        <fgColor theme="8" tint="-0.499984740745262"/>
        <bgColor indexed="64"/>
      </patternFill>
    </fill>
    <fill>
      <patternFill patternType="solid">
        <fgColor theme="7"/>
        <bgColor indexed="64"/>
      </patternFill>
    </fill>
    <fill>
      <patternFill patternType="solid">
        <fgColor theme="1"/>
        <bgColor indexed="64"/>
      </patternFill>
    </fill>
    <fill>
      <patternFill patternType="solid">
        <fgColor rgb="FF000000"/>
        <bgColor rgb="FF000000"/>
      </patternFill>
    </fill>
    <fill>
      <patternFill patternType="solid">
        <fgColor theme="1"/>
        <bgColor theme="1"/>
      </patternFill>
    </fill>
    <fill>
      <patternFill patternType="solid">
        <fgColor theme="1"/>
        <bgColor rgb="FF000000"/>
      </patternFill>
    </fill>
    <fill>
      <patternFill patternType="solid">
        <fgColor theme="5"/>
        <bgColor indexed="64"/>
      </patternFill>
    </fill>
    <fill>
      <patternFill patternType="solid">
        <fgColor theme="5" tint="0.39997558519241921"/>
        <bgColor indexed="64"/>
      </patternFill>
    </fill>
    <fill>
      <patternFill patternType="solid">
        <fgColor theme="0" tint="-0.14999847407452621"/>
        <bgColor rgb="FF000000"/>
      </patternFill>
    </fill>
    <fill>
      <patternFill patternType="solid">
        <fgColor theme="0" tint="-0.14999847407452621"/>
        <bgColor indexed="64"/>
      </patternFill>
    </fill>
  </fills>
  <borders count="63">
    <border>
      <left/>
      <right/>
      <top/>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right style="medium">
        <color rgb="FFFFFFFF"/>
      </right>
      <top style="medium">
        <color rgb="FFFFFFFF"/>
      </top>
      <bottom style="medium">
        <color rgb="FFFFFFFF"/>
      </bottom>
      <diagonal/>
    </border>
    <border>
      <left style="medium">
        <color rgb="FFFFFFFF"/>
      </left>
      <right style="medium">
        <color rgb="FFFFFFFF"/>
      </right>
      <top/>
      <bottom style="medium">
        <color rgb="FFFFFFFF"/>
      </bottom>
      <diagonal/>
    </border>
    <border>
      <left/>
      <right style="medium">
        <color rgb="FFFFFFFF"/>
      </right>
      <top/>
      <bottom style="medium">
        <color rgb="FFFFFFFF"/>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left>
      <right style="thin">
        <color theme="0"/>
      </right>
      <top style="thin">
        <color theme="0"/>
      </top>
      <bottom style="thin">
        <color theme="0"/>
      </bottom>
      <diagonal/>
    </border>
    <border>
      <left/>
      <right/>
      <top/>
      <bottom style="medium">
        <color theme="1" tint="0.249977111117893"/>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rgb="FFBDAEF9"/>
      </left>
      <right style="thin">
        <color rgb="FFBDAEF9"/>
      </right>
      <top style="thin">
        <color rgb="FFBDAEF9"/>
      </top>
      <bottom style="thin">
        <color rgb="FFBDAEF9"/>
      </bottom>
      <diagonal/>
    </border>
    <border>
      <left style="thin">
        <color rgb="FFBDAEF9"/>
      </left>
      <right style="thin">
        <color theme="0" tint="-0.34998626667073579"/>
      </right>
      <top style="thin">
        <color rgb="FFBDAEF9"/>
      </top>
      <bottom style="thin">
        <color rgb="FFBDAEF9"/>
      </bottom>
      <diagonal/>
    </border>
    <border>
      <left style="thin">
        <color rgb="FFBDAEF9"/>
      </left>
      <right/>
      <top style="thin">
        <color rgb="FFBDAEF9"/>
      </top>
      <bottom style="thin">
        <color rgb="FFBDAEF9"/>
      </bottom>
      <diagonal/>
    </border>
    <border>
      <left/>
      <right/>
      <top style="thin">
        <color rgb="FFBDAEF9"/>
      </top>
      <bottom style="thin">
        <color rgb="FFBDAEF9"/>
      </bottom>
      <diagonal/>
    </border>
    <border>
      <left/>
      <right style="thin">
        <color rgb="FFBDAEF9"/>
      </right>
      <top style="thin">
        <color rgb="FFBDAEF9"/>
      </top>
      <bottom style="thin">
        <color rgb="FFBDAEF9"/>
      </bottom>
      <diagonal/>
    </border>
    <border>
      <left/>
      <right/>
      <top/>
      <bottom style="medium">
        <color theme="0"/>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style="thin">
        <color theme="4" tint="0.39997558519241921"/>
      </top>
      <bottom style="thin">
        <color theme="0" tint="-0.499984740745262"/>
      </bottom>
      <diagonal/>
    </border>
    <border>
      <left style="thin">
        <color theme="0" tint="-0.499984740745262"/>
      </left>
      <right style="thin">
        <color theme="0" tint="-0.499984740745262"/>
      </right>
      <top style="thin">
        <color theme="4" tint="0.39997558519241921"/>
      </top>
      <bottom style="thin">
        <color theme="0" tint="-0.499984740745262"/>
      </bottom>
      <diagonal/>
    </border>
    <border>
      <left/>
      <right style="thin">
        <color theme="0" tint="-0.34998626667073579"/>
      </right>
      <top style="thin">
        <color theme="4" tint="0.39997558519241921"/>
      </top>
      <bottom style="thin">
        <color theme="0" tint="-0.34998626667073579"/>
      </bottom>
      <diagonal/>
    </border>
    <border>
      <left style="thin">
        <color theme="0" tint="-0.34998626667073579"/>
      </left>
      <right style="thin">
        <color theme="0" tint="-0.34998626667073579"/>
      </right>
      <top style="thin">
        <color theme="4" tint="0.39997558519241921"/>
      </top>
      <bottom style="thin">
        <color theme="0" tint="-0.34998626667073579"/>
      </bottom>
      <diagonal/>
    </border>
    <border>
      <left/>
      <right/>
      <top style="thin">
        <color theme="4" tint="0.39997558519241921"/>
      </top>
      <bottom style="thin">
        <color theme="4" tint="0.39997558519241921"/>
      </bottom>
      <diagonal/>
    </border>
    <border>
      <left/>
      <right style="thin">
        <color theme="0" tint="-0.499984740745262"/>
      </right>
      <top style="thin">
        <color theme="4" tint="0.39997558519241921"/>
      </top>
      <bottom style="thin">
        <color theme="0" tint="-0.499984740745262"/>
      </bottom>
      <diagonal/>
    </border>
    <border>
      <left style="thin">
        <color theme="0" tint="-0.34998626667073579"/>
      </left>
      <right/>
      <top style="thin">
        <color theme="4" tint="0.39997558519241921"/>
      </top>
      <bottom style="thin">
        <color theme="0" tint="-0.34998626667073579"/>
      </bottom>
      <diagonal/>
    </border>
    <border>
      <left style="thin">
        <color theme="0" tint="-0.34998626667073579"/>
      </left>
      <right style="thin">
        <color theme="0" tint="-0.34998626667073579"/>
      </right>
      <top style="thin">
        <color rgb="FFA6A6A6"/>
      </top>
      <bottom style="thin">
        <color theme="0" tint="-0.34998626667073579"/>
      </bottom>
      <diagonal/>
    </border>
    <border>
      <left style="thin">
        <color rgb="FFBDAEF9"/>
      </left>
      <right style="thin">
        <color rgb="FFBDAEF9"/>
      </right>
      <top style="thin">
        <color rgb="FFBDAEF9"/>
      </top>
      <bottom/>
      <diagonal/>
    </border>
    <border>
      <left style="thin">
        <color theme="0" tint="-0.34998626667073579"/>
      </left>
      <right style="thin">
        <color theme="0" tint="-0.34998626667073579"/>
      </right>
      <top style="thin">
        <color rgb="FFBDAEF9"/>
      </top>
      <bottom/>
      <diagonal/>
    </border>
    <border>
      <left style="thin">
        <color rgb="FFBDAEF9"/>
      </left>
      <right style="thin">
        <color theme="0" tint="-0.499984740745262"/>
      </right>
      <top style="thin">
        <color rgb="FFBDAEF9"/>
      </top>
      <bottom style="thin">
        <color theme="0" tint="-0.499984740745262"/>
      </bottom>
      <diagonal/>
    </border>
    <border>
      <left style="thin">
        <color theme="0" tint="-0.499984740745262"/>
      </left>
      <right style="thin">
        <color theme="0" tint="-0.499984740745262"/>
      </right>
      <top style="thin">
        <color rgb="FFBDAEF9"/>
      </top>
      <bottom style="thin">
        <color theme="0" tint="-0.499984740745262"/>
      </bottom>
      <diagonal/>
    </border>
    <border>
      <left style="thin">
        <color rgb="FFBDAEF9"/>
      </left>
      <right style="thin">
        <color theme="0" tint="-0.499984740745262"/>
      </right>
      <top style="thin">
        <color theme="0" tint="-0.499984740745262"/>
      </top>
      <bottom style="thin">
        <color theme="0" tint="-0.499984740745262"/>
      </bottom>
      <diagonal/>
    </border>
    <border>
      <left style="thin">
        <color rgb="FFBDAEF9"/>
      </left>
      <right style="thin">
        <color theme="0" tint="-0.499984740745262"/>
      </right>
      <top style="thin">
        <color theme="0" tint="-0.499984740745262"/>
      </top>
      <bottom style="thin">
        <color rgb="FFBDAEF9"/>
      </bottom>
      <diagonal/>
    </border>
    <border>
      <left style="thin">
        <color theme="0" tint="-0.499984740745262"/>
      </left>
      <right style="thin">
        <color theme="0" tint="-0.499984740745262"/>
      </right>
      <top style="thin">
        <color theme="0" tint="-0.499984740745262"/>
      </top>
      <bottom style="thin">
        <color rgb="FFBDAEF9"/>
      </bottom>
      <diagonal/>
    </border>
    <border>
      <left/>
      <right/>
      <top style="thin">
        <color rgb="FFBDAEF9"/>
      </top>
      <bottom/>
      <diagonal/>
    </border>
    <border>
      <left style="thin">
        <color theme="0" tint="-0.499984740745262"/>
      </left>
      <right style="thin">
        <color theme="0" tint="-0.499984740745262"/>
      </right>
      <top style="thin">
        <color rgb="FFBDAEF9"/>
      </top>
      <bottom style="thin">
        <color rgb="FFBDAEF9"/>
      </bottom>
      <diagonal/>
    </border>
    <border>
      <left/>
      <right/>
      <top/>
      <bottom style="thin">
        <color rgb="FFBDAEF9"/>
      </bottom>
      <diagonal/>
    </border>
    <border>
      <left style="thin">
        <color indexed="64"/>
      </left>
      <right style="thin">
        <color indexed="64"/>
      </right>
      <top style="thin">
        <color indexed="64"/>
      </top>
      <bottom style="thin">
        <color indexed="64"/>
      </bottom>
      <diagonal/>
    </border>
    <border>
      <left style="thin">
        <color rgb="FFBDAEF9"/>
      </left>
      <right/>
      <top/>
      <bottom style="thin">
        <color rgb="FFBDAEF9"/>
      </bottom>
      <diagonal/>
    </border>
    <border>
      <left style="thin">
        <color theme="0" tint="-0.34998626667073579"/>
      </left>
      <right style="thin">
        <color theme="0" tint="-0.34998626667073579"/>
      </right>
      <top style="thin">
        <color rgb="FFBDAEF9"/>
      </top>
      <bottom style="thin">
        <color rgb="FFBDAEF9"/>
      </bottom>
      <diagonal/>
    </border>
    <border>
      <left style="thin">
        <color theme="0" tint="-0.34998626667073579"/>
      </left>
      <right style="thin">
        <color rgb="FFBDAEF9"/>
      </right>
      <top style="thin">
        <color rgb="FFBDAEF9"/>
      </top>
      <bottom style="thin">
        <color rgb="FFBDAEF9"/>
      </bottom>
      <diagonal/>
    </border>
    <border>
      <left style="thin">
        <color theme="0" tint="-0.34998626667073579"/>
      </left>
      <right/>
      <top style="thin">
        <color theme="0" tint="-0.34998626667073579"/>
      </top>
      <bottom/>
      <diagonal/>
    </border>
    <border>
      <left style="thin">
        <color theme="0" tint="-0.499984740745262"/>
      </left>
      <right style="thin">
        <color rgb="FFBDAEF9"/>
      </right>
      <top style="thin">
        <color rgb="FFBDAEF9"/>
      </top>
      <bottom style="thin">
        <color theme="0" tint="-0.499984740745262"/>
      </bottom>
      <diagonal/>
    </border>
    <border>
      <left style="thin">
        <color theme="0" tint="-0.499984740745262"/>
      </left>
      <right style="thin">
        <color rgb="FFBDAEF9"/>
      </right>
      <top style="thin">
        <color theme="0" tint="-0.499984740745262"/>
      </top>
      <bottom style="thin">
        <color theme="0" tint="-0.499984740745262"/>
      </bottom>
      <diagonal/>
    </border>
    <border>
      <left style="thin">
        <color theme="0" tint="-0.499984740745262"/>
      </left>
      <right style="thin">
        <color rgb="FFBDAEF9"/>
      </right>
      <top style="thin">
        <color theme="0" tint="-0.499984740745262"/>
      </top>
      <bottom style="thin">
        <color rgb="FFBDAEF9"/>
      </bottom>
      <diagonal/>
    </border>
    <border>
      <left style="thin">
        <color theme="0" tint="-0.34998626667073579"/>
      </left>
      <right/>
      <top style="thin">
        <color rgb="FFA6A6A6"/>
      </top>
      <bottom style="thin">
        <color theme="0" tint="-0.34998626667073579"/>
      </bottom>
      <diagonal/>
    </border>
    <border>
      <left style="thin">
        <color theme="0" tint="-0.34998626667073579"/>
      </left>
      <right/>
      <top style="thin">
        <color rgb="FFBDAEF9"/>
      </top>
      <bottom style="thin">
        <color rgb="FFBDAEF9"/>
      </bottom>
      <diagonal/>
    </border>
    <border>
      <left style="thin">
        <color theme="0" tint="-0.499984740745262"/>
      </left>
      <right/>
      <top style="thin">
        <color rgb="FFBDAEF9"/>
      </top>
      <bottom style="thin">
        <color theme="0" tint="-0.499984740745262"/>
      </bottom>
      <diagonal/>
    </border>
    <border>
      <left style="thin">
        <color theme="0" tint="-0.499984740745262"/>
      </left>
      <right/>
      <top style="thin">
        <color theme="0" tint="-0.499984740745262"/>
      </top>
      <bottom style="thin">
        <color rgb="FFBDAEF9"/>
      </bottom>
      <diagonal/>
    </border>
    <border>
      <left/>
      <right style="thin">
        <color theme="0" tint="-0.34998626667073579"/>
      </right>
      <top style="thin">
        <color rgb="FFA6A6A6"/>
      </top>
      <bottom style="thin">
        <color theme="0" tint="-0.34998626667073579"/>
      </bottom>
      <diagonal/>
    </border>
    <border>
      <left/>
      <right style="thin">
        <color theme="0" tint="-0.34998626667073579"/>
      </right>
      <top style="thin">
        <color rgb="FFBDAEF9"/>
      </top>
      <bottom style="thin">
        <color rgb="FFBDAEF9"/>
      </bottom>
      <diagonal/>
    </border>
    <border>
      <left/>
      <right style="thin">
        <color theme="0" tint="-0.499984740745262"/>
      </right>
      <top style="thin">
        <color rgb="FFBDAEF9"/>
      </top>
      <bottom style="thin">
        <color theme="0" tint="-0.499984740745262"/>
      </bottom>
      <diagonal/>
    </border>
    <border>
      <left/>
      <right style="thin">
        <color theme="0" tint="-0.499984740745262"/>
      </right>
      <top style="thin">
        <color theme="0" tint="-0.499984740745262"/>
      </top>
      <bottom style="thin">
        <color rgb="FFBDAEF9"/>
      </bottom>
      <diagonal/>
    </border>
    <border>
      <left style="thin">
        <color rgb="FFBDAEF9"/>
      </left>
      <right style="thin">
        <color theme="0" tint="-0.34998626667073579"/>
      </right>
      <top style="thin">
        <color rgb="FFA6A6A6"/>
      </top>
      <bottom style="thin">
        <color theme="0" tint="-0.34998626667073579"/>
      </bottom>
      <diagonal/>
    </border>
    <border>
      <left style="thin">
        <color theme="0" tint="-0.34998626667073579"/>
      </left>
      <right style="thin">
        <color rgb="FFBDAEF9"/>
      </right>
      <top style="thin">
        <color rgb="FFA6A6A6"/>
      </top>
      <bottom style="thin">
        <color theme="0" tint="-0.34998626667073579"/>
      </bottom>
      <diagonal/>
    </border>
    <border>
      <left style="thin">
        <color rgb="FFBDAEF9"/>
      </left>
      <right style="thin">
        <color theme="0" tint="-0.34998626667073579"/>
      </right>
      <top style="thin">
        <color theme="0" tint="-0.34998626667073579"/>
      </top>
      <bottom/>
      <diagonal/>
    </border>
    <border>
      <left style="thin">
        <color theme="0" tint="-0.34998626667073579"/>
      </left>
      <right style="thin">
        <color rgb="FFBDAEF9"/>
      </right>
      <top style="thin">
        <color theme="0" tint="-0.34998626667073579"/>
      </top>
      <bottom/>
      <diagonal/>
    </border>
    <border>
      <left style="hair">
        <color rgb="FFBDAEF9"/>
      </left>
      <right style="hair">
        <color rgb="FFBDAEF9"/>
      </right>
      <top style="hair">
        <color rgb="FFBDAEF9"/>
      </top>
      <bottom/>
      <diagonal/>
    </border>
    <border>
      <left style="hair">
        <color rgb="FFBDAEF9"/>
      </left>
      <right/>
      <top/>
      <bottom style="thin">
        <color rgb="FFBDAEF9"/>
      </bottom>
      <diagonal/>
    </border>
  </borders>
  <cellStyleXfs count="3">
    <xf numFmtId="0" fontId="0" fillId="0" borderId="0"/>
    <xf numFmtId="0" fontId="2" fillId="0" borderId="0"/>
    <xf numFmtId="0" fontId="22" fillId="0" borderId="0" applyNumberFormat="0" applyFill="0" applyBorder="0" applyAlignment="0" applyProtection="0"/>
  </cellStyleXfs>
  <cellXfs count="155">
    <xf numFmtId="0" fontId="0" fillId="0" borderId="0" xfId="0"/>
    <xf numFmtId="0" fontId="3" fillId="0" borderId="0" xfId="0" applyFont="1" applyAlignment="1">
      <alignment vertical="center"/>
    </xf>
    <xf numFmtId="0" fontId="4" fillId="2" borderId="1" xfId="0" applyFont="1" applyFill="1" applyBorder="1" applyAlignment="1">
      <alignment vertical="center" wrapText="1"/>
    </xf>
    <xf numFmtId="0" fontId="4" fillId="2" borderId="2" xfId="0" applyFont="1" applyFill="1" applyBorder="1" applyAlignment="1">
      <alignment vertical="center" wrapText="1"/>
    </xf>
    <xf numFmtId="0" fontId="4" fillId="2" borderId="3" xfId="0" applyFont="1" applyFill="1" applyBorder="1" applyAlignment="1">
      <alignment vertical="center" wrapText="1"/>
    </xf>
    <xf numFmtId="0" fontId="4" fillId="2" borderId="4" xfId="0" applyFont="1" applyFill="1" applyBorder="1" applyAlignment="1">
      <alignment vertical="center" wrapText="1"/>
    </xf>
    <xf numFmtId="0" fontId="6" fillId="3" borderId="5" xfId="0" applyFont="1" applyFill="1" applyBorder="1" applyAlignment="1">
      <alignment vertical="center" wrapText="1"/>
    </xf>
    <xf numFmtId="0" fontId="5" fillId="3" borderId="5" xfId="0" applyFont="1" applyFill="1" applyBorder="1" applyAlignment="1">
      <alignment vertical="center" wrapText="1"/>
    </xf>
    <xf numFmtId="0" fontId="5" fillId="4" borderId="5" xfId="0" applyFont="1" applyFill="1" applyBorder="1" applyAlignment="1">
      <alignment vertical="center" wrapText="1"/>
    </xf>
    <xf numFmtId="0" fontId="6" fillId="4" borderId="5" xfId="0" applyFont="1" applyFill="1" applyBorder="1" applyAlignment="1">
      <alignment vertical="center" wrapText="1"/>
    </xf>
    <xf numFmtId="0" fontId="7" fillId="0" borderId="0" xfId="0" applyFont="1" applyAlignment="1">
      <alignment vertical="center"/>
    </xf>
    <xf numFmtId="0" fontId="7" fillId="0" borderId="0" xfId="0" applyFont="1" applyAlignment="1">
      <alignment vertical="center" wrapText="1"/>
    </xf>
    <xf numFmtId="0" fontId="7" fillId="0" borderId="0" xfId="0" applyFont="1"/>
    <xf numFmtId="10" fontId="7" fillId="0" borderId="0" xfId="0" applyNumberFormat="1" applyFont="1"/>
    <xf numFmtId="0" fontId="7" fillId="0" borderId="0" xfId="1" applyFont="1" applyAlignment="1">
      <alignment vertical="center"/>
    </xf>
    <xf numFmtId="49" fontId="7" fillId="0" borderId="0" xfId="1" applyNumberFormat="1" applyFont="1" applyAlignment="1">
      <alignment horizontal="right" vertical="center"/>
    </xf>
    <xf numFmtId="0" fontId="7" fillId="0" borderId="0" xfId="1" applyFont="1" applyAlignment="1">
      <alignment vertical="center" wrapText="1"/>
    </xf>
    <xf numFmtId="49" fontId="7" fillId="0" borderId="0" xfId="1" applyNumberFormat="1" applyFont="1" applyAlignment="1">
      <alignment vertical="center"/>
    </xf>
    <xf numFmtId="49" fontId="8" fillId="0" borderId="0" xfId="1" applyNumberFormat="1" applyFont="1" applyAlignment="1">
      <alignment horizontal="left" vertical="center"/>
    </xf>
    <xf numFmtId="0" fontId="8" fillId="0" borderId="0" xfId="1" applyFont="1" applyAlignment="1">
      <alignment vertical="center"/>
    </xf>
    <xf numFmtId="0" fontId="8" fillId="0" borderId="0" xfId="1" applyFont="1" applyAlignment="1">
      <alignment vertical="center" wrapText="1"/>
    </xf>
    <xf numFmtId="1" fontId="8" fillId="0" borderId="0" xfId="1" applyNumberFormat="1" applyFont="1" applyAlignment="1">
      <alignment horizontal="center" vertical="center"/>
    </xf>
    <xf numFmtId="1" fontId="7" fillId="0" borderId="0" xfId="1" applyNumberFormat="1" applyFont="1" applyAlignment="1">
      <alignment vertical="center" wrapText="1"/>
      <extLst>
        <ext xmlns:xfpb="http://schemas.microsoft.com/office/spreadsheetml/2022/featurepropertybag" uri="{C7286773-470A-42A8-94C5-96B5CB345126}">
          <xfpb:xfComplement i="0"/>
        </ext>
      </extLst>
    </xf>
    <xf numFmtId="1" fontId="7" fillId="0" borderId="0" xfId="1" applyNumberFormat="1" applyFont="1" applyAlignment="1">
      <alignment vertical="center" wrapText="1"/>
    </xf>
    <xf numFmtId="0" fontId="8" fillId="6" borderId="0" xfId="0" applyFont="1" applyFill="1" applyAlignment="1">
      <alignment vertical="center"/>
    </xf>
    <xf numFmtId="0" fontId="8" fillId="6" borderId="0" xfId="0" applyFont="1" applyFill="1" applyAlignment="1">
      <alignment horizontal="left" vertical="center"/>
    </xf>
    <xf numFmtId="0" fontId="7" fillId="0" borderId="0" xfId="0" applyFont="1" applyAlignment="1">
      <alignment horizontal="left" vertical="center"/>
    </xf>
    <xf numFmtId="0" fontId="7" fillId="0" borderId="9" xfId="1" applyFont="1" applyBorder="1" applyAlignment="1">
      <alignment vertical="center"/>
    </xf>
    <xf numFmtId="0" fontId="7" fillId="0" borderId="9" xfId="0" applyFont="1" applyBorder="1" applyAlignment="1">
      <alignment vertical="center"/>
    </xf>
    <xf numFmtId="0" fontId="7" fillId="0" borderId="9" xfId="0" applyFont="1" applyBorder="1" applyAlignment="1">
      <alignment vertical="center" wrapText="1"/>
    </xf>
    <xf numFmtId="0" fontId="7" fillId="0" borderId="9" xfId="1" applyFont="1" applyBorder="1" applyAlignment="1">
      <alignment vertical="center" wrapText="1"/>
    </xf>
    <xf numFmtId="1" fontId="7" fillId="0" borderId="9" xfId="1" applyNumberFormat="1" applyFont="1" applyBorder="1" applyAlignment="1">
      <alignment vertical="center" wrapText="1"/>
      <extLst>
        <ext xmlns:xfpb="http://schemas.microsoft.com/office/spreadsheetml/2022/featurepropertybag" uri="{C7286773-470A-42A8-94C5-96B5CB345126}">
          <xfpb:xfComplement i="0"/>
        </ext>
      </extLst>
    </xf>
    <xf numFmtId="49" fontId="7" fillId="0" borderId="9" xfId="1" applyNumberFormat="1" applyFont="1" applyBorder="1" applyAlignment="1">
      <alignment vertical="center"/>
    </xf>
    <xf numFmtId="10" fontId="7" fillId="0" borderId="9" xfId="0" applyNumberFormat="1" applyFont="1" applyBorder="1"/>
    <xf numFmtId="0" fontId="15" fillId="0" borderId="0" xfId="0" applyFont="1" applyAlignment="1">
      <alignment wrapText="1"/>
    </xf>
    <xf numFmtId="0" fontId="0" fillId="0" borderId="0" xfId="0" applyAlignment="1">
      <alignment horizontal="left" wrapText="1" indent="2"/>
    </xf>
    <xf numFmtId="0" fontId="14" fillId="0" borderId="0" xfId="0" applyFont="1" applyAlignment="1">
      <alignment horizontal="left"/>
    </xf>
    <xf numFmtId="0" fontId="16" fillId="8" borderId="0" xfId="0" applyFont="1" applyFill="1" applyAlignment="1">
      <alignment wrapText="1"/>
    </xf>
    <xf numFmtId="0" fontId="7" fillId="9" borderId="0" xfId="1" applyFont="1" applyFill="1" applyAlignment="1">
      <alignment vertical="center"/>
    </xf>
    <xf numFmtId="10" fontId="7" fillId="0" borderId="0" xfId="0" applyNumberFormat="1" applyFont="1" applyAlignment="1">
      <alignment horizontal="left" vertical="center"/>
    </xf>
    <xf numFmtId="10" fontId="8" fillId="6" borderId="0" xfId="0" applyNumberFormat="1" applyFont="1" applyFill="1" applyAlignment="1">
      <alignment horizontal="left" vertical="center"/>
    </xf>
    <xf numFmtId="0" fontId="8" fillId="8" borderId="0" xfId="0" applyFont="1" applyFill="1" applyAlignment="1">
      <alignment vertical="center" wrapText="1"/>
    </xf>
    <xf numFmtId="1" fontId="8" fillId="0" borderId="18" xfId="1" applyNumberFormat="1" applyFont="1" applyBorder="1" applyAlignment="1">
      <alignment horizontal="center" vertical="center"/>
    </xf>
    <xf numFmtId="0" fontId="17" fillId="0" borderId="0" xfId="1" applyFont="1" applyAlignment="1">
      <alignment vertical="center"/>
    </xf>
    <xf numFmtId="0" fontId="20" fillId="10" borderId="6" xfId="0" applyFont="1" applyFill="1" applyBorder="1" applyAlignment="1">
      <alignment vertical="center"/>
    </xf>
    <xf numFmtId="0" fontId="19" fillId="10" borderId="6" xfId="0" applyFont="1" applyFill="1" applyBorder="1"/>
    <xf numFmtId="0" fontId="19" fillId="10" borderId="7" xfId="0" applyFont="1" applyFill="1" applyBorder="1"/>
    <xf numFmtId="0" fontId="8" fillId="6" borderId="10" xfId="0" applyFont="1" applyFill="1" applyBorder="1"/>
    <xf numFmtId="0" fontId="8" fillId="6" borderId="11" xfId="0" applyFont="1" applyFill="1" applyBorder="1"/>
    <xf numFmtId="0" fontId="21" fillId="10" borderId="19" xfId="0" applyFont="1" applyFill="1" applyBorder="1" applyAlignment="1">
      <alignment vertical="center"/>
    </xf>
    <xf numFmtId="0" fontId="21" fillId="10" borderId="20" xfId="0" applyFont="1" applyFill="1" applyBorder="1" applyAlignment="1">
      <alignment vertical="center"/>
    </xf>
    <xf numFmtId="0" fontId="20" fillId="10" borderId="21" xfId="0" applyFont="1" applyFill="1" applyBorder="1" applyAlignment="1">
      <alignment vertical="center"/>
    </xf>
    <xf numFmtId="0" fontId="19" fillId="10" borderId="21" xfId="0" applyFont="1" applyFill="1" applyBorder="1"/>
    <xf numFmtId="0" fontId="19" fillId="10" borderId="22" xfId="0" applyFont="1" applyFill="1" applyBorder="1"/>
    <xf numFmtId="0" fontId="18" fillId="10" borderId="27" xfId="0" applyFont="1" applyFill="1" applyBorder="1"/>
    <xf numFmtId="0" fontId="13" fillId="5" borderId="14" xfId="0" applyFont="1" applyFill="1" applyBorder="1" applyAlignment="1">
      <alignment horizontal="center" vertical="center"/>
    </xf>
    <xf numFmtId="0" fontId="20" fillId="10" borderId="24" xfId="0" applyFont="1" applyFill="1" applyBorder="1" applyAlignment="1">
      <alignment vertical="center"/>
    </xf>
    <xf numFmtId="0" fontId="19" fillId="10" borderId="24" xfId="0" applyFont="1" applyFill="1" applyBorder="1"/>
    <xf numFmtId="0" fontId="19" fillId="10" borderId="23" xfId="0" applyFont="1" applyFill="1" applyBorder="1"/>
    <xf numFmtId="0" fontId="8" fillId="6" borderId="25" xfId="0" applyFont="1" applyFill="1" applyBorder="1" applyAlignment="1">
      <alignment vertical="center"/>
    </xf>
    <xf numFmtId="1" fontId="9" fillId="6" borderId="26" xfId="0" applyNumberFormat="1" applyFont="1" applyFill="1" applyBorder="1" applyAlignment="1">
      <alignment horizontal="center" vertical="center"/>
    </xf>
    <xf numFmtId="0" fontId="21" fillId="10" borderId="28" xfId="0" applyFont="1" applyFill="1" applyBorder="1" applyAlignment="1">
      <alignment vertical="center"/>
    </xf>
    <xf numFmtId="1" fontId="9" fillId="6" borderId="29" xfId="0" applyNumberFormat="1" applyFont="1" applyFill="1" applyBorder="1" applyAlignment="1">
      <alignment horizontal="center" vertical="center"/>
    </xf>
    <xf numFmtId="0" fontId="3" fillId="0" borderId="0" xfId="2" applyFont="1" applyAlignment="1">
      <alignment vertical="center"/>
    </xf>
    <xf numFmtId="0" fontId="23" fillId="10" borderId="21" xfId="0" applyFont="1" applyFill="1" applyBorder="1" applyAlignment="1">
      <alignment vertical="center"/>
    </xf>
    <xf numFmtId="0" fontId="0" fillId="9" borderId="0" xfId="0" applyFill="1"/>
    <xf numFmtId="0" fontId="10" fillId="13" borderId="0" xfId="0" applyFont="1" applyFill="1"/>
    <xf numFmtId="0" fontId="25" fillId="14" borderId="41" xfId="0" applyFont="1" applyFill="1" applyBorder="1"/>
    <xf numFmtId="0" fontId="25" fillId="14" borderId="41" xfId="0" applyFont="1" applyFill="1" applyBorder="1" applyAlignment="1">
      <alignment wrapText="1"/>
    </xf>
    <xf numFmtId="0" fontId="26" fillId="0" borderId="41" xfId="0" applyFont="1" applyBorder="1"/>
    <xf numFmtId="2" fontId="0" fillId="9" borderId="0" xfId="0" applyNumberFormat="1" applyFill="1"/>
    <xf numFmtId="2" fontId="0" fillId="9" borderId="0" xfId="0" applyNumberFormat="1" applyFill="1" applyAlignment="1">
      <alignment horizontal="left"/>
    </xf>
    <xf numFmtId="10" fontId="0" fillId="9" borderId="0" xfId="0" applyNumberFormat="1" applyFill="1"/>
    <xf numFmtId="2" fontId="8" fillId="9" borderId="0" xfId="0" applyNumberFormat="1" applyFont="1" applyFill="1" applyAlignment="1">
      <alignment horizontal="left"/>
    </xf>
    <xf numFmtId="2" fontId="8" fillId="9" borderId="0" xfId="0" applyNumberFormat="1" applyFont="1" applyFill="1"/>
    <xf numFmtId="2" fontId="28" fillId="11" borderId="0" xfId="2" applyNumberFormat="1" applyFont="1" applyFill="1" applyBorder="1"/>
    <xf numFmtId="2" fontId="29" fillId="9" borderId="0" xfId="0" applyNumberFormat="1" applyFont="1" applyFill="1"/>
    <xf numFmtId="0" fontId="30" fillId="5" borderId="43" xfId="0" applyFont="1" applyFill="1" applyBorder="1" applyAlignment="1" applyProtection="1">
      <alignment textRotation="90"/>
      <protection locked="0"/>
    </xf>
    <xf numFmtId="0" fontId="30" fillId="5" borderId="44" xfId="0" applyFont="1" applyFill="1" applyBorder="1" applyAlignment="1" applyProtection="1">
      <alignment textRotation="90"/>
      <protection locked="0"/>
    </xf>
    <xf numFmtId="0" fontId="30" fillId="5" borderId="14" xfId="0" applyFont="1" applyFill="1" applyBorder="1" applyAlignment="1" applyProtection="1">
      <alignment textRotation="90"/>
      <protection locked="0"/>
    </xf>
    <xf numFmtId="0" fontId="30" fillId="9" borderId="43" xfId="0" applyFont="1" applyFill="1" applyBorder="1" applyAlignment="1" applyProtection="1">
      <alignment textRotation="90"/>
      <protection locked="0"/>
    </xf>
    <xf numFmtId="0" fontId="30" fillId="5" borderId="32" xfId="0" applyFont="1" applyFill="1" applyBorder="1" applyAlignment="1" applyProtection="1">
      <alignment textRotation="90"/>
      <protection locked="0"/>
    </xf>
    <xf numFmtId="0" fontId="30" fillId="5" borderId="50" xfId="0" applyFont="1" applyFill="1" applyBorder="1" applyAlignment="1" applyProtection="1">
      <alignment textRotation="90"/>
      <protection locked="0"/>
    </xf>
    <xf numFmtId="0" fontId="30" fillId="5" borderId="54" xfId="0" applyFont="1" applyFill="1" applyBorder="1" applyAlignment="1" applyProtection="1">
      <alignment textRotation="90"/>
      <protection locked="0"/>
    </xf>
    <xf numFmtId="0" fontId="30" fillId="9" borderId="44" xfId="0" applyFont="1" applyFill="1" applyBorder="1" applyAlignment="1" applyProtection="1">
      <alignment textRotation="90"/>
      <protection locked="0"/>
    </xf>
    <xf numFmtId="0" fontId="2" fillId="9" borderId="0" xfId="0" applyFont="1" applyFill="1" applyAlignment="1">
      <alignment wrapText="1"/>
    </xf>
    <xf numFmtId="0" fontId="11" fillId="5" borderId="13" xfId="0" applyFont="1" applyFill="1" applyBorder="1" applyAlignment="1">
      <alignment horizontal="center" vertical="center" textRotation="90"/>
    </xf>
    <xf numFmtId="0" fontId="13" fillId="5" borderId="42" xfId="0" applyFont="1" applyFill="1" applyBorder="1" applyAlignment="1">
      <alignment horizontal="center" vertical="center" wrapText="1"/>
    </xf>
    <xf numFmtId="0" fontId="13" fillId="5" borderId="40" xfId="0" applyFont="1" applyFill="1" applyBorder="1" applyAlignment="1">
      <alignment horizontal="center" vertical="center" wrapText="1"/>
    </xf>
    <xf numFmtId="0" fontId="13" fillId="5" borderId="15" xfId="0" applyFont="1" applyFill="1" applyBorder="1" applyAlignment="1">
      <alignment horizontal="center" vertical="center" wrapText="1"/>
    </xf>
    <xf numFmtId="0" fontId="13" fillId="5" borderId="16" xfId="0" applyFont="1" applyFill="1" applyBorder="1" applyAlignment="1">
      <alignment horizontal="center" vertical="center" wrapText="1"/>
    </xf>
    <xf numFmtId="0" fontId="13" fillId="5" borderId="17" xfId="0" applyFont="1" applyFill="1" applyBorder="1" applyAlignment="1">
      <alignment horizontal="center" vertical="center" wrapText="1"/>
    </xf>
    <xf numFmtId="0" fontId="24" fillId="9" borderId="0" xfId="0" applyFont="1" applyFill="1"/>
    <xf numFmtId="0" fontId="9" fillId="5" borderId="13" xfId="1" applyFont="1" applyFill="1" applyBorder="1" applyAlignment="1">
      <alignment horizontal="center" vertical="center"/>
    </xf>
    <xf numFmtId="49" fontId="9" fillId="5" borderId="13" xfId="1" applyNumberFormat="1" applyFont="1" applyFill="1" applyBorder="1" applyAlignment="1">
      <alignment horizontal="center" vertical="center"/>
    </xf>
    <xf numFmtId="49" fontId="9" fillId="5" borderId="15" xfId="1" applyNumberFormat="1" applyFont="1" applyFill="1" applyBorder="1" applyAlignment="1">
      <alignment horizontal="center" vertical="center"/>
    </xf>
    <xf numFmtId="49" fontId="9" fillId="5" borderId="17" xfId="1" applyNumberFormat="1" applyFont="1" applyFill="1" applyBorder="1" applyAlignment="1">
      <alignment horizontal="center" vertical="center"/>
    </xf>
    <xf numFmtId="10" fontId="9" fillId="5" borderId="13" xfId="0" applyNumberFormat="1" applyFont="1" applyFill="1" applyBorder="1" applyAlignment="1">
      <alignment horizontal="center" vertical="center"/>
    </xf>
    <xf numFmtId="0" fontId="9" fillId="5" borderId="30" xfId="0" applyFont="1" applyFill="1" applyBorder="1" applyAlignment="1">
      <alignment textRotation="90"/>
    </xf>
    <xf numFmtId="0" fontId="9" fillId="5" borderId="49" xfId="0" applyFont="1" applyFill="1" applyBorder="1" applyAlignment="1">
      <alignment textRotation="90"/>
    </xf>
    <xf numFmtId="0" fontId="9" fillId="5" borderId="57" xfId="0" applyFont="1" applyFill="1" applyBorder="1" applyAlignment="1">
      <alignment textRotation="90"/>
    </xf>
    <xf numFmtId="0" fontId="9" fillId="5" borderId="58" xfId="0" applyFont="1" applyFill="1" applyBorder="1" applyAlignment="1">
      <alignment textRotation="90"/>
    </xf>
    <xf numFmtId="0" fontId="9" fillId="5" borderId="53" xfId="0" applyFont="1" applyFill="1" applyBorder="1" applyAlignment="1">
      <alignment textRotation="90"/>
    </xf>
    <xf numFmtId="0" fontId="9" fillId="5" borderId="12" xfId="0" applyFont="1" applyFill="1" applyBorder="1" applyAlignment="1">
      <alignment textRotation="90"/>
    </xf>
    <xf numFmtId="0" fontId="9" fillId="5" borderId="45" xfId="0" applyFont="1" applyFill="1" applyBorder="1" applyAlignment="1">
      <alignment textRotation="90"/>
    </xf>
    <xf numFmtId="0" fontId="9" fillId="5" borderId="59" xfId="0" applyFont="1" applyFill="1" applyBorder="1" applyAlignment="1">
      <alignment textRotation="90"/>
    </xf>
    <xf numFmtId="0" fontId="9" fillId="5" borderId="60" xfId="0" applyFont="1" applyFill="1" applyBorder="1" applyAlignment="1">
      <alignment textRotation="90"/>
    </xf>
    <xf numFmtId="0" fontId="9" fillId="5" borderId="11" xfId="0" applyFont="1" applyFill="1" applyBorder="1" applyAlignment="1">
      <alignment textRotation="90"/>
    </xf>
    <xf numFmtId="0" fontId="13" fillId="5" borderId="0" xfId="0" applyFont="1" applyFill="1"/>
    <xf numFmtId="0" fontId="11" fillId="5" borderId="31" xfId="0" applyFont="1" applyFill="1" applyBorder="1" applyAlignment="1">
      <alignment horizontal="center" vertical="center" textRotation="90"/>
    </xf>
    <xf numFmtId="0" fontId="21" fillId="12" borderId="33" xfId="0" applyFont="1" applyFill="1" applyBorder="1" applyAlignment="1">
      <alignment vertical="center"/>
    </xf>
    <xf numFmtId="0" fontId="20" fillId="12" borderId="34" xfId="0" applyFont="1" applyFill="1" applyBorder="1" applyAlignment="1">
      <alignment vertical="center"/>
    </xf>
    <xf numFmtId="0" fontId="21" fillId="12" borderId="35" xfId="0" applyFont="1" applyFill="1" applyBorder="1" applyAlignment="1">
      <alignment vertical="center"/>
    </xf>
    <xf numFmtId="0" fontId="20" fillId="12" borderId="6" xfId="0" applyFont="1" applyFill="1" applyBorder="1" applyAlignment="1">
      <alignment vertical="center"/>
    </xf>
    <xf numFmtId="0" fontId="20" fillId="12" borderId="21" xfId="0" applyFont="1" applyFill="1" applyBorder="1" applyAlignment="1">
      <alignment vertical="center"/>
    </xf>
    <xf numFmtId="0" fontId="21" fillId="12" borderId="36" xfId="0" applyFont="1" applyFill="1" applyBorder="1" applyAlignment="1">
      <alignment vertical="center"/>
    </xf>
    <xf numFmtId="0" fontId="20" fillId="12" borderId="37" xfId="0" applyFont="1" applyFill="1" applyBorder="1" applyAlignment="1">
      <alignment vertical="center"/>
    </xf>
    <xf numFmtId="0" fontId="32" fillId="15" borderId="34" xfId="0" applyFont="1" applyFill="1" applyBorder="1" applyAlignment="1" applyProtection="1">
      <alignment vertical="center"/>
      <protection locked="0"/>
    </xf>
    <xf numFmtId="1" fontId="34" fillId="16" borderId="6" xfId="0" applyNumberFormat="1" applyFont="1" applyFill="1" applyBorder="1" applyAlignment="1" applyProtection="1">
      <alignment horizontal="center" vertical="center"/>
      <protection locked="0"/>
    </xf>
    <xf numFmtId="1" fontId="34" fillId="16" borderId="34" xfId="0" applyNumberFormat="1" applyFont="1" applyFill="1" applyBorder="1" applyAlignment="1" applyProtection="1">
      <alignment horizontal="center" vertical="center"/>
      <protection locked="0"/>
    </xf>
    <xf numFmtId="1" fontId="34" fillId="16" borderId="51" xfId="0" applyNumberFormat="1" applyFont="1" applyFill="1" applyBorder="1" applyAlignment="1" applyProtection="1">
      <alignment horizontal="center" vertical="center"/>
      <protection locked="0"/>
    </xf>
    <xf numFmtId="1" fontId="34" fillId="16" borderId="33" xfId="0" applyNumberFormat="1" applyFont="1" applyFill="1" applyBorder="1" applyAlignment="1" applyProtection="1">
      <alignment horizontal="center" vertical="center"/>
      <protection locked="0"/>
    </xf>
    <xf numFmtId="1" fontId="34" fillId="16" borderId="46" xfId="0" applyNumberFormat="1" applyFont="1" applyFill="1" applyBorder="1" applyAlignment="1" applyProtection="1">
      <alignment horizontal="center" vertical="center"/>
      <protection locked="0"/>
    </xf>
    <xf numFmtId="1" fontId="34" fillId="16" borderId="55" xfId="0" applyNumberFormat="1" applyFont="1" applyFill="1" applyBorder="1" applyAlignment="1" applyProtection="1">
      <alignment horizontal="center" vertical="center"/>
      <protection locked="0"/>
    </xf>
    <xf numFmtId="0" fontId="32" fillId="15" borderId="6" xfId="0" applyFont="1" applyFill="1" applyBorder="1" applyAlignment="1" applyProtection="1">
      <alignment vertical="center"/>
      <protection locked="0"/>
    </xf>
    <xf numFmtId="0" fontId="33" fillId="16" borderId="0" xfId="0" applyFont="1" applyFill="1" applyAlignment="1" applyProtection="1">
      <alignment vertical="center"/>
      <protection locked="0"/>
    </xf>
    <xf numFmtId="1" fontId="34" fillId="16" borderId="7" xfId="0" applyNumberFormat="1" applyFont="1" applyFill="1" applyBorder="1" applyAlignment="1" applyProtection="1">
      <alignment horizontal="center" vertical="center"/>
      <protection locked="0"/>
    </xf>
    <xf numFmtId="1" fontId="34" fillId="16" borderId="35" xfId="0" applyNumberFormat="1" applyFont="1" applyFill="1" applyBorder="1" applyAlignment="1" applyProtection="1">
      <alignment horizontal="center" vertical="center"/>
      <protection locked="0"/>
    </xf>
    <xf numFmtId="1" fontId="34" fillId="16" borderId="47" xfId="0" applyNumberFormat="1" applyFont="1" applyFill="1" applyBorder="1" applyAlignment="1" applyProtection="1">
      <alignment horizontal="center" vertical="center"/>
      <protection locked="0"/>
    </xf>
    <xf numFmtId="1" fontId="34" fillId="16" borderId="19" xfId="0" applyNumberFormat="1" applyFont="1" applyFill="1" applyBorder="1" applyAlignment="1" applyProtection="1">
      <alignment horizontal="center" vertical="center"/>
      <protection locked="0"/>
    </xf>
    <xf numFmtId="0" fontId="33" fillId="15" borderId="6" xfId="0" applyFont="1" applyFill="1" applyBorder="1" applyProtection="1">
      <protection locked="0"/>
    </xf>
    <xf numFmtId="0" fontId="33" fillId="16" borderId="0" xfId="0" applyFont="1" applyFill="1" applyProtection="1">
      <protection locked="0"/>
    </xf>
    <xf numFmtId="0" fontId="33" fillId="15" borderId="37" xfId="0" applyFont="1" applyFill="1" applyBorder="1" applyProtection="1">
      <protection locked="0"/>
    </xf>
    <xf numFmtId="0" fontId="32" fillId="15" borderId="39" xfId="0" applyFont="1" applyFill="1" applyBorder="1" applyAlignment="1" applyProtection="1">
      <alignment vertical="center"/>
      <protection locked="0"/>
    </xf>
    <xf numFmtId="0" fontId="33" fillId="16" borderId="40" xfId="0" applyFont="1" applyFill="1" applyBorder="1" applyProtection="1">
      <protection locked="0"/>
    </xf>
    <xf numFmtId="1" fontId="34" fillId="16" borderId="37" xfId="0" applyNumberFormat="1" applyFont="1" applyFill="1" applyBorder="1" applyAlignment="1" applyProtection="1">
      <alignment horizontal="center" vertical="center"/>
      <protection locked="0"/>
    </xf>
    <xf numFmtId="1" fontId="34" fillId="16" borderId="52" xfId="0" applyNumberFormat="1" applyFont="1" applyFill="1" applyBorder="1" applyAlignment="1" applyProtection="1">
      <alignment horizontal="center" vertical="center"/>
      <protection locked="0"/>
    </xf>
    <xf numFmtId="1" fontId="34" fillId="16" borderId="36" xfId="0" applyNumberFormat="1" applyFont="1" applyFill="1" applyBorder="1" applyAlignment="1" applyProtection="1">
      <alignment horizontal="center" vertical="center"/>
      <protection locked="0"/>
    </xf>
    <xf numFmtId="1" fontId="34" fillId="16" borderId="48" xfId="0" applyNumberFormat="1" applyFont="1" applyFill="1" applyBorder="1" applyAlignment="1" applyProtection="1">
      <alignment horizontal="center" vertical="center"/>
      <protection locked="0"/>
    </xf>
    <xf numFmtId="1" fontId="34" fillId="16" borderId="56" xfId="0" applyNumberFormat="1" applyFont="1" applyFill="1" applyBorder="1" applyAlignment="1" applyProtection="1">
      <alignment horizontal="center" vertical="center"/>
      <protection locked="0"/>
    </xf>
    <xf numFmtId="0" fontId="33" fillId="16" borderId="38" xfId="0" applyFont="1" applyFill="1" applyBorder="1" applyAlignment="1" applyProtection="1">
      <alignment vertical="center"/>
      <protection locked="0"/>
    </xf>
    <xf numFmtId="1" fontId="35" fillId="16" borderId="6" xfId="0" applyNumberFormat="1" applyFont="1" applyFill="1" applyBorder="1" applyAlignment="1" applyProtection="1">
      <alignment horizontal="center" vertical="center"/>
      <protection locked="0"/>
    </xf>
    <xf numFmtId="0" fontId="31" fillId="5" borderId="62" xfId="0" applyFont="1" applyFill="1" applyBorder="1" applyAlignment="1">
      <alignment horizontal="center"/>
    </xf>
    <xf numFmtId="0" fontId="31" fillId="5" borderId="40" xfId="0" applyFont="1" applyFill="1" applyBorder="1" applyAlignment="1">
      <alignment horizontal="center"/>
    </xf>
    <xf numFmtId="0" fontId="12" fillId="5" borderId="15" xfId="0" applyFont="1" applyFill="1" applyBorder="1" applyAlignment="1">
      <alignment horizontal="center" vertical="center" wrapText="1"/>
    </xf>
    <xf numFmtId="0" fontId="12" fillId="5" borderId="16" xfId="0" applyFont="1" applyFill="1" applyBorder="1" applyAlignment="1">
      <alignment horizontal="center" vertical="center" wrapText="1"/>
    </xf>
    <xf numFmtId="0" fontId="12" fillId="5" borderId="17" xfId="0" applyFont="1" applyFill="1" applyBorder="1" applyAlignment="1">
      <alignment horizontal="center" vertical="center" wrapText="1"/>
    </xf>
    <xf numFmtId="0" fontId="31" fillId="5" borderId="61" xfId="0" applyFont="1" applyFill="1" applyBorder="1" applyAlignment="1">
      <alignment horizontal="center"/>
    </xf>
    <xf numFmtId="0" fontId="25" fillId="14" borderId="41" xfId="0" applyFont="1" applyFill="1" applyBorder="1" applyAlignment="1">
      <alignment horizontal="left"/>
    </xf>
    <xf numFmtId="0" fontId="26" fillId="0" borderId="41" xfId="0" applyFont="1" applyBorder="1" applyAlignment="1">
      <alignment horizontal="left"/>
    </xf>
    <xf numFmtId="2" fontId="27" fillId="11" borderId="0" xfId="0" applyNumberFormat="1" applyFont="1" applyFill="1" applyAlignment="1">
      <alignment horizontal="center" vertical="center"/>
    </xf>
    <xf numFmtId="0" fontId="0" fillId="0" borderId="0" xfId="0" applyAlignment="1">
      <alignment horizontal="left" wrapText="1"/>
    </xf>
    <xf numFmtId="0" fontId="7" fillId="0" borderId="0" xfId="1" applyFont="1" applyAlignment="1">
      <alignment horizontal="center" vertical="center"/>
    </xf>
    <xf numFmtId="0" fontId="8" fillId="6" borderId="8" xfId="1" applyFont="1" applyFill="1" applyBorder="1" applyAlignment="1">
      <alignment horizontal="center" vertical="center"/>
    </xf>
    <xf numFmtId="0" fontId="8" fillId="7" borderId="8" xfId="1" applyFont="1" applyFill="1" applyBorder="1" applyAlignment="1">
      <alignment horizontal="center" vertical="center" wrapText="1"/>
    </xf>
  </cellXfs>
  <cellStyles count="3">
    <cellStyle name="Hyperlink" xfId="2" builtinId="8"/>
    <cellStyle name="Normal" xfId="0" builtinId="0"/>
    <cellStyle name="Normal 2" xfId="1" xr:uid="{20C16A4D-FBC6-8F4E-8820-EE1B868A26AD}"/>
  </cellStyles>
  <dxfs count="422">
    <dxf>
      <numFmt numFmtId="0" formatCode="General"/>
    </dxf>
    <dxf>
      <numFmt numFmtId="0" formatCode="General"/>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9"/>
        <color theme="0"/>
        <name val="Work Sans"/>
        <family val="2"/>
        <scheme val="minor"/>
      </font>
      <numFmt numFmtId="1" formatCode="0"/>
      <fill>
        <patternFill patternType="solid">
          <fgColor indexed="64"/>
          <bgColor theme="7" tint="9.9978637043366805E-2"/>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4" tint="0.39997558519241921"/>
        </top>
        <bottom style="thin">
          <color theme="0" tint="-0.34998626667073579"/>
        </bottom>
        <vertical/>
        <horizontal/>
      </border>
    </dxf>
    <dxf>
      <font>
        <b val="0"/>
        <i val="0"/>
        <strike val="0"/>
        <condense val="0"/>
        <extend val="0"/>
        <outline val="0"/>
        <shadow val="0"/>
        <u val="none"/>
        <vertAlign val="baseline"/>
        <sz val="12"/>
        <color theme="0"/>
        <name val="Work Sans"/>
        <family val="2"/>
        <scheme val="minor"/>
      </font>
      <fill>
        <patternFill patternType="solid">
          <fgColor indexed="64"/>
          <bgColor theme="7" tint="9.9978637043366805E-2"/>
        </patternFill>
      </fill>
      <alignment horizontal="general" vertical="bottom" textRotation="0" wrapText="0" indent="0" justifyLastLine="0" shrinkToFit="0" readingOrder="0"/>
      <border diagonalUp="0" diagonalDown="0">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2"/>
        <color rgb="FFFFFFFF"/>
        <name val="Work Sans"/>
        <family val="2"/>
        <scheme val="none"/>
      </font>
      <numFmt numFmtId="0" formatCode="General"/>
      <fill>
        <patternFill patternType="solid">
          <fgColor rgb="FF000000"/>
          <bgColor rgb="FF000000"/>
        </patternFill>
      </fill>
      <alignment horizontal="general" vertical="bottom"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b val="0"/>
        <i val="0"/>
        <strike val="0"/>
        <condense val="0"/>
        <extend val="0"/>
        <outline val="0"/>
        <shadow val="0"/>
        <u val="none"/>
        <vertAlign val="baseline"/>
        <sz val="12"/>
        <color rgb="FFFFFFFF"/>
        <name val="Work Sans"/>
        <family val="2"/>
        <scheme val="none"/>
      </font>
      <numFmt numFmtId="0" formatCode="General"/>
      <fill>
        <patternFill patternType="solid">
          <fgColor rgb="FF000000"/>
          <bgColor rgb="FF000000"/>
        </patternFill>
      </fill>
      <alignment horizontal="general" vertical="bottom"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11"/>
        <color rgb="FFFFFFFF"/>
        <name val="Work Sans"/>
        <family val="2"/>
        <scheme val="none"/>
      </font>
      <numFmt numFmtId="0" formatCode="General"/>
      <fill>
        <patternFill patternType="solid">
          <fgColor rgb="FF000000"/>
          <bgColor rgb="FF000000"/>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11"/>
        <color rgb="FFFFFFFF"/>
        <name val="Work Sans"/>
        <family val="2"/>
        <scheme val="none"/>
      </font>
      <numFmt numFmtId="0" formatCode="General"/>
      <fill>
        <patternFill patternType="solid">
          <fgColor rgb="FF000000"/>
          <bgColor rgb="FF000000"/>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11"/>
        <color rgb="FFFFFFFF"/>
        <name val="Work Sans"/>
        <family val="2"/>
        <scheme val="none"/>
      </font>
      <numFmt numFmtId="0" formatCode="General"/>
      <fill>
        <patternFill patternType="solid">
          <fgColor rgb="FF000000"/>
          <bgColor rgb="FF000000"/>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11"/>
        <color rgb="FFFFFFFF"/>
        <name val="Work Sans"/>
        <family val="2"/>
        <scheme val="none"/>
      </font>
      <numFmt numFmtId="0" formatCode="General"/>
      <fill>
        <patternFill patternType="solid">
          <fgColor rgb="FF000000"/>
          <bgColor rgb="FF000000"/>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i val="0"/>
        <strike val="0"/>
        <condense val="0"/>
        <extend val="0"/>
        <outline val="0"/>
        <shadow val="0"/>
        <u val="none"/>
        <vertAlign val="baseline"/>
        <sz val="12"/>
        <color rgb="FFFFFFFF"/>
        <name val="Work Sans"/>
        <family val="2"/>
        <scheme val="none"/>
      </font>
      <numFmt numFmtId="0" formatCode="General"/>
      <fill>
        <patternFill patternType="solid">
          <fgColor rgb="FF000000"/>
          <bgColor rgb="FF000000"/>
        </patternFill>
      </fill>
      <alignment horizontal="general" vertical="center" textRotation="0" wrapText="0" indent="0" justifyLastLine="0" shrinkToFit="0" readingOrder="0"/>
      <border diagonalUp="0" diagonalDown="0">
        <left/>
        <right style="thin">
          <color theme="0" tint="-0.499984740745262"/>
        </right>
        <top style="thin">
          <color theme="0" tint="-0.499984740745262"/>
        </top>
        <bottom style="thin">
          <color theme="0" tint="-0.499984740745262"/>
        </bottom>
        <vertical/>
        <horizontal/>
      </border>
    </dxf>
    <dxf>
      <border outline="0">
        <left style="thin">
          <color rgb="FFA6A6A6"/>
        </left>
        <right style="thin">
          <color rgb="FFA6A6A6"/>
        </right>
        <bottom style="thin">
          <color rgb="FFA6A6A6"/>
        </bottom>
      </border>
    </dxf>
    <dxf>
      <font>
        <b val="0"/>
        <i val="0"/>
        <strike val="0"/>
        <condense val="0"/>
        <extend val="0"/>
        <outline val="0"/>
        <shadow val="0"/>
        <u val="none"/>
        <vertAlign val="baseline"/>
        <sz val="9"/>
        <color theme="0"/>
        <name val="Work Sans"/>
        <family val="2"/>
        <scheme val="minor"/>
      </font>
      <fill>
        <patternFill patternType="solid">
          <fgColor indexed="64"/>
          <bgColor theme="7" tint="9.9978637043366805E-2"/>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Work Sans"/>
        <family val="2"/>
        <scheme val="minor"/>
      </font>
      <numFmt numFmtId="30" formatCode="@"/>
      <fill>
        <patternFill patternType="solid">
          <fgColor indexed="64"/>
          <bgColor theme="3" tint="-0.249977111117893"/>
        </patternFill>
      </fill>
      <alignment horizontal="center" vertical="center" textRotation="0" wrapText="0" indent="0" justifyLastLine="0" shrinkToFit="0" readingOrder="0"/>
      <border diagonalUp="0" diagonalDown="0" outline="0">
        <left style="thin">
          <color rgb="FFBDAEF9"/>
        </left>
        <right style="thin">
          <color rgb="FFBDAEF9"/>
        </right>
        <top/>
        <bottom/>
      </border>
    </dxf>
    <dxf>
      <font>
        <color rgb="FF9C0006"/>
      </font>
      <fill>
        <patternFill>
          <bgColor rgb="FFFFC7CE"/>
        </patternFill>
      </fill>
    </dxf>
    <dxf>
      <font>
        <strike val="0"/>
        <outline val="0"/>
        <shadow val="0"/>
        <u val="none"/>
        <vertAlign val="baseline"/>
        <sz val="12"/>
        <color auto="1"/>
        <name val="Work Sans"/>
        <family val="2"/>
        <scheme val="minor"/>
      </font>
      <numFmt numFmtId="1" formatCode="0"/>
      <alignment horizontal="general" vertical="center" textRotation="0" wrapText="1" indent="0" justifyLastLine="0" shrinkToFit="0" readingOrder="0"/>
      <extLst>
        <ext xmlns:xfpb="http://schemas.microsoft.com/office/spreadsheetml/2022/featurepropertybag" uri="{0417FA29-78FA-4A13-93AC-8FF0FAFDF519}">
          <xfpb:DXFComplement i="0"/>
        </ext>
      </extLst>
    </dxf>
    <dxf>
      <font>
        <strike val="0"/>
        <outline val="0"/>
        <shadow val="0"/>
        <u val="none"/>
        <vertAlign val="baseline"/>
        <sz val="12"/>
        <color auto="1"/>
        <name val="Work Sans"/>
        <family val="2"/>
        <scheme val="minor"/>
      </font>
      <numFmt numFmtId="1" formatCode="0"/>
      <alignment horizontal="general" vertical="center" textRotation="0" wrapText="1" indent="0" justifyLastLine="0" shrinkToFit="0" readingOrder="0"/>
      <extLst>
        <ext xmlns:xfpb="http://schemas.microsoft.com/office/spreadsheetml/2022/featurepropertybag" uri="{0417FA29-78FA-4A13-93AC-8FF0FAFDF519}">
          <xfpb:DXFComplement i="0"/>
        </ext>
      </extLst>
    </dxf>
    <dxf>
      <font>
        <strike val="0"/>
        <outline val="0"/>
        <shadow val="0"/>
        <u val="none"/>
        <vertAlign val="baseline"/>
        <sz val="12"/>
        <color auto="1"/>
        <name val="Work Sans"/>
        <family val="2"/>
        <scheme val="minor"/>
      </font>
      <numFmt numFmtId="1" formatCode="0"/>
      <alignment horizontal="general" vertical="center" textRotation="0" wrapText="1" indent="0" justifyLastLine="0" shrinkToFit="0" readingOrder="0"/>
      <extLst>
        <ext xmlns:xfpb="http://schemas.microsoft.com/office/spreadsheetml/2022/featurepropertybag" uri="{0417FA29-78FA-4A13-93AC-8FF0FAFDF519}">
          <xfpb:DXFComplement i="0"/>
        </ext>
      </extLst>
    </dxf>
    <dxf>
      <font>
        <strike val="0"/>
        <outline val="0"/>
        <shadow val="0"/>
        <u val="none"/>
        <vertAlign val="baseline"/>
        <sz val="12"/>
        <color auto="1"/>
        <name val="Work Sans"/>
        <family val="2"/>
        <scheme val="minor"/>
      </font>
      <numFmt numFmtId="1" formatCode="0"/>
      <alignment horizontal="general" vertical="center" textRotation="0" wrapText="1" indent="0" justifyLastLine="0" shrinkToFit="0" readingOrder="0"/>
      <extLst>
        <ext xmlns:xfpb="http://schemas.microsoft.com/office/spreadsheetml/2022/featurepropertybag" uri="{0417FA29-78FA-4A13-93AC-8FF0FAFDF519}">
          <xfpb:DXFComplement i="0"/>
        </ext>
      </extLst>
    </dxf>
    <dxf>
      <font>
        <strike val="0"/>
        <outline val="0"/>
        <shadow val="0"/>
        <u val="none"/>
        <vertAlign val="baseline"/>
        <sz val="12"/>
        <color auto="1"/>
        <name val="Work Sans"/>
        <family val="2"/>
        <scheme val="minor"/>
      </font>
      <numFmt numFmtId="1" formatCode="0"/>
      <alignment horizontal="general" vertical="center" textRotation="0" wrapText="1" indent="0" justifyLastLine="0" shrinkToFit="0" readingOrder="0"/>
      <extLst>
        <ext xmlns:xfpb="http://schemas.microsoft.com/office/spreadsheetml/2022/featurepropertybag" uri="{0417FA29-78FA-4A13-93AC-8FF0FAFDF519}">
          <xfpb:DXFComplement i="0"/>
        </ext>
      </extLst>
    </dxf>
    <dxf>
      <font>
        <strike val="0"/>
        <outline val="0"/>
        <shadow val="0"/>
        <u val="none"/>
        <vertAlign val="baseline"/>
        <sz val="12"/>
        <color theme="0"/>
        <name val="Work Sans"/>
        <family val="2"/>
        <scheme val="minor"/>
      </font>
      <numFmt numFmtId="1" formatCode="0"/>
      <alignment horizontal="center" vertical="center" textRotation="0" wrapText="0" indent="0" justifyLastLine="0" shrinkToFit="0" readingOrder="0"/>
    </dxf>
    <dxf>
      <font>
        <strike val="0"/>
        <outline val="0"/>
        <shadow val="0"/>
        <u val="none"/>
        <vertAlign val="baseline"/>
        <sz val="12"/>
        <color theme="0"/>
        <name val="Work Sans"/>
        <family val="2"/>
        <scheme val="minor"/>
      </font>
      <numFmt numFmtId="1" formatCode="0"/>
      <alignment horizontal="center" vertical="center" textRotation="0" wrapText="0" indent="0" justifyLastLine="0" shrinkToFit="0" readingOrder="0"/>
    </dxf>
    <dxf>
      <font>
        <strike val="0"/>
        <outline val="0"/>
        <shadow val="0"/>
        <u val="none"/>
        <vertAlign val="baseline"/>
        <sz val="12"/>
        <color theme="0"/>
        <name val="Work Sans"/>
        <family val="2"/>
        <scheme val="minor"/>
      </font>
      <numFmt numFmtId="1" formatCode="0"/>
      <alignment horizontal="center" vertical="center" textRotation="0" wrapText="0" indent="0" justifyLastLine="0" shrinkToFit="0" readingOrder="0"/>
    </dxf>
    <dxf>
      <font>
        <strike val="0"/>
        <outline val="0"/>
        <shadow val="0"/>
        <u val="none"/>
        <vertAlign val="baseline"/>
        <sz val="12"/>
        <color theme="0"/>
        <name val="Work Sans"/>
        <family val="2"/>
        <scheme val="minor"/>
      </font>
      <numFmt numFmtId="1" formatCode="0"/>
      <alignment horizontal="center" vertical="center" textRotation="0" wrapText="0" indent="0" justifyLastLine="0" shrinkToFit="0" readingOrder="0"/>
    </dxf>
    <dxf>
      <font>
        <strike val="0"/>
        <outline val="0"/>
        <shadow val="0"/>
        <u val="none"/>
        <vertAlign val="baseline"/>
        <sz val="12"/>
        <color theme="0"/>
        <name val="Work Sans"/>
        <family val="2"/>
        <scheme val="minor"/>
      </font>
      <numFmt numFmtId="1" formatCode="0"/>
      <alignment horizontal="center" vertical="center" textRotation="0" wrapText="0" indent="0" justifyLastLine="0" shrinkToFit="0" readingOrder="0"/>
    </dxf>
    <dxf>
      <font>
        <strike val="0"/>
        <outline val="0"/>
        <shadow val="0"/>
        <u val="none"/>
        <vertAlign val="baseline"/>
        <sz val="12"/>
        <color theme="0"/>
        <name val="Work Sans"/>
        <family val="2"/>
        <scheme val="minor"/>
      </font>
      <numFmt numFmtId="1" formatCode="0"/>
      <alignment horizontal="center" vertical="center" textRotation="0" wrapText="0" indent="0" justifyLastLine="0" shrinkToFit="0" readingOrder="0"/>
    </dxf>
    <dxf>
      <font>
        <strike val="0"/>
        <outline val="0"/>
        <shadow val="0"/>
        <u val="none"/>
        <vertAlign val="baseline"/>
        <sz val="12"/>
        <color theme="0"/>
        <name val="Work Sans"/>
        <family val="2"/>
        <scheme val="minor"/>
      </font>
      <numFmt numFmtId="1" formatCode="0"/>
      <alignment horizontal="center" vertical="center" textRotation="0" wrapText="0" indent="0" justifyLastLine="0" shrinkToFit="0" readingOrder="0"/>
    </dxf>
    <dxf>
      <font>
        <strike val="0"/>
        <outline val="0"/>
        <shadow val="0"/>
        <u val="none"/>
        <vertAlign val="baseline"/>
        <sz val="12"/>
        <color theme="0"/>
        <name val="Work Sans"/>
        <family val="2"/>
        <scheme val="minor"/>
      </font>
      <numFmt numFmtId="1" formatCode="0"/>
      <alignment horizontal="center" vertical="center" textRotation="0" wrapText="0" indent="0" justifyLastLine="0" shrinkToFit="0" readingOrder="0"/>
    </dxf>
    <dxf>
      <font>
        <strike val="0"/>
        <outline val="0"/>
        <shadow val="0"/>
        <u val="none"/>
        <vertAlign val="baseline"/>
        <sz val="12"/>
        <color theme="0"/>
        <name val="Work Sans"/>
        <family val="2"/>
        <scheme val="minor"/>
      </font>
      <numFmt numFmtId="1" formatCode="0"/>
      <alignment horizontal="center" vertical="center" textRotation="0" wrapText="0" indent="0" justifyLastLine="0" shrinkToFit="0" readingOrder="0"/>
    </dxf>
    <dxf>
      <font>
        <strike val="0"/>
        <outline val="0"/>
        <shadow val="0"/>
        <u val="none"/>
        <vertAlign val="baseline"/>
        <sz val="12"/>
        <color auto="1"/>
        <name val="Work Sans"/>
        <family val="2"/>
        <scheme val="minor"/>
      </font>
      <alignment horizontal="general" vertical="center" textRotation="0" wrapText="1" indent="0" justifyLastLine="0" shrinkToFit="0" readingOrder="0"/>
    </dxf>
    <dxf>
      <font>
        <strike val="0"/>
        <outline val="0"/>
        <shadow val="0"/>
        <u val="none"/>
        <vertAlign val="baseline"/>
        <sz val="12"/>
        <color auto="1"/>
        <name val="Work Sans"/>
        <family val="2"/>
        <scheme val="minor"/>
      </font>
      <alignment horizontal="general" vertical="center" textRotation="0" wrapText="1" indent="0" justifyLastLine="0" shrinkToFit="0" readingOrder="0"/>
    </dxf>
    <dxf>
      <font>
        <strike val="0"/>
        <outline val="0"/>
        <shadow val="0"/>
        <u val="none"/>
        <vertAlign val="baseline"/>
        <sz val="12"/>
        <color auto="1"/>
        <name val="Work Sans"/>
        <family val="2"/>
        <scheme val="minor"/>
      </font>
      <alignment horizontal="general" vertical="center" textRotation="0" wrapText="0" indent="0" justifyLastLine="0" shrinkToFit="0" readingOrder="0"/>
    </dxf>
    <dxf>
      <font>
        <strike val="0"/>
        <outline val="0"/>
        <shadow val="0"/>
        <u val="none"/>
        <vertAlign val="baseline"/>
        <sz val="12"/>
        <color auto="1"/>
        <name val="Work Sans"/>
        <family val="2"/>
        <scheme val="minor"/>
      </font>
      <alignment horizontal="general" vertical="center" textRotation="0" wrapText="0" indent="0" justifyLastLine="0" shrinkToFit="0" readingOrder="0"/>
    </dxf>
    <dxf>
      <font>
        <strike val="0"/>
        <outline val="0"/>
        <shadow val="0"/>
        <u val="none"/>
        <vertAlign val="baseline"/>
        <sz val="12"/>
        <color auto="1"/>
        <name val="Work Sans"/>
        <family val="2"/>
        <scheme val="minor"/>
      </font>
      <numFmt numFmtId="30" formatCode="@"/>
      <alignment horizontal="general" vertical="center" textRotation="0" wrapText="0" indent="0" justifyLastLine="0" shrinkToFit="0" readingOrder="0"/>
    </dxf>
    <dxf>
      <font>
        <strike val="0"/>
        <outline val="0"/>
        <shadow val="0"/>
        <u val="none"/>
        <vertAlign val="baseline"/>
        <sz val="12"/>
        <color auto="1"/>
        <name val="Work Sans"/>
        <family val="2"/>
        <scheme val="minor"/>
      </font>
      <alignment horizontal="general" vertical="center" textRotation="0" wrapText="0" indent="0" justifyLastLine="0" shrinkToFit="0" readingOrder="0"/>
    </dxf>
    <dxf>
      <font>
        <strike val="0"/>
        <outline val="0"/>
        <shadow val="0"/>
        <u val="none"/>
        <vertAlign val="baseline"/>
        <sz val="12"/>
        <color theme="0"/>
        <name val="Work Sans"/>
        <family val="2"/>
        <scheme val="minor"/>
      </font>
      <alignment horizontal="general" vertical="center" textRotation="0" wrapText="0" indent="0" justifyLastLine="0" shrinkToFit="0" readingOrder="0"/>
    </dxf>
    <dxf>
      <font>
        <color rgb="FF9C0006"/>
      </font>
      <fill>
        <patternFill>
          <bgColor rgb="FFFFC7CE"/>
        </patternFill>
      </fill>
    </dxf>
    <dxf>
      <font>
        <color theme="1" tint="0.499984740745262"/>
      </font>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5"/>
        <color theme="1"/>
        <name val="Helvetica Neue"/>
        <family val="2"/>
        <scheme val="none"/>
      </font>
      <alignment horizontal="left" vertical="bottom" textRotation="0" wrapText="0" indent="0" justifyLastLine="0" shrinkToFit="0" readingOrder="0"/>
    </dxf>
    <dxf>
      <font>
        <b val="0"/>
        <i val="0"/>
        <strike val="0"/>
        <condense val="0"/>
        <extend val="0"/>
        <outline val="0"/>
        <shadow val="0"/>
        <u val="none"/>
        <vertAlign val="baseline"/>
        <sz val="10.5"/>
        <color theme="1"/>
        <name val="Helvetica Neue"/>
        <family val="2"/>
        <scheme val="none"/>
      </font>
      <alignment horizontal="left" vertical="bottom" textRotation="0" wrapText="0" indent="0" justifyLastLine="0" shrinkToFit="0" readingOrder="0"/>
    </dxf>
    <dxf>
      <font>
        <b val="0"/>
        <i val="0"/>
        <strike val="0"/>
        <condense val="0"/>
        <extend val="0"/>
        <outline val="0"/>
        <shadow val="0"/>
        <u val="none"/>
        <vertAlign val="baseline"/>
        <sz val="10.5"/>
        <color theme="1"/>
        <name val="Helvetica Neue"/>
        <family val="2"/>
        <scheme val="none"/>
      </font>
      <alignment horizontal="left" vertical="bottom" textRotation="0" wrapText="0" indent="0" justifyLastLine="0" shrinkToFit="0" readingOrder="0"/>
    </dxf>
    <dxf>
      <font>
        <b val="0"/>
        <i val="0"/>
        <strike val="0"/>
        <condense val="0"/>
        <extend val="0"/>
        <outline val="0"/>
        <shadow val="0"/>
        <u val="none"/>
        <vertAlign val="baseline"/>
        <sz val="10.5"/>
        <color theme="1"/>
        <name val="Helvetica Neue"/>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rgb="FF000000"/>
        <name val="Aptos Narrow"/>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Aptos Narrow"/>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Aptos Narrow"/>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Aptos Narrow"/>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Aptos Narrow"/>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Aptos Narrow"/>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Aptos Narrow"/>
        <scheme val="none"/>
      </font>
      <alignment horizontal="general" vertical="center" textRotation="0" wrapText="0" indent="0" justifyLastLine="0" shrinkToFit="0" readingOrder="0"/>
    </dxf>
    <dxf>
      <alignment horizontal="general" vertical="bottom" textRotation="0" wrapText="0" indent="0" justifyLastLine="0" shrinkToFit="0" readingOrder="0"/>
    </dxf>
    <dxf>
      <font>
        <color rgb="FF9C0006"/>
      </font>
      <fill>
        <patternFill>
          <bgColor rgb="FFFFC7CE"/>
        </patternFill>
      </fill>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rgb="FFBDAEF9"/>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rgb="FFBDAEF9"/>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rgb="FFBDAEF9"/>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rgb="FFBDAEF9"/>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rgb="FFBDAEF9"/>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9"/>
        <color rgb="FF881AFF"/>
        <name val="Work Sans (Body)"/>
        <scheme val="minor"/>
      </font>
      <numFmt numFmtId="1" formatCode="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2"/>
        <color rgb="FF881AFF"/>
        <name val="Work Sans (Body)"/>
        <scheme val="minor"/>
      </font>
      <fill>
        <patternFill patternType="solid">
          <fgColor indexed="64"/>
          <bgColor theme="0" tint="-0.1499984740745262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rgb="FF881AFF"/>
        <name val="Work Sans (Body)"/>
        <scheme val="none"/>
      </font>
      <numFmt numFmtId="0" formatCode="General"/>
      <fill>
        <patternFill patternType="solid">
          <fgColor rgb="FF000000"/>
          <bgColor theme="0" tint="-0.14999847407452621"/>
        </patternFill>
      </fill>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rgb="FFBDAEF9"/>
        </top>
        <bottom style="thin">
          <color theme="0" tint="-0.499984740745262"/>
        </bottom>
      </border>
      <protection locked="0" hidden="0"/>
    </dxf>
    <dxf>
      <font>
        <b val="0"/>
        <i val="0"/>
        <strike val="0"/>
        <condense val="0"/>
        <extend val="0"/>
        <outline val="0"/>
        <shadow val="0"/>
        <u val="none"/>
        <vertAlign val="baseline"/>
        <sz val="12"/>
        <color rgb="FF881AFF"/>
        <name val="Work Sans (Body)"/>
        <scheme val="none"/>
      </font>
      <numFmt numFmtId="0" formatCode="General"/>
      <fill>
        <patternFill patternType="solid">
          <fgColor rgb="FF000000"/>
          <bgColor theme="0" tint="-0.14999847407452621"/>
        </patternFill>
      </fill>
      <alignment horizontal="general" vertical="bottom"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rgb="FFFFFFFF"/>
        <name val="Work Sans"/>
        <family val="2"/>
        <scheme val="none"/>
      </font>
      <numFmt numFmtId="0" formatCode="General"/>
      <fill>
        <patternFill patternType="solid">
          <fgColor rgb="FF000000"/>
          <bgColor theme="1"/>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1" hidden="0"/>
    </dxf>
    <dxf>
      <font>
        <b val="0"/>
        <i val="0"/>
        <strike val="0"/>
        <condense val="0"/>
        <extend val="0"/>
        <outline val="0"/>
        <shadow val="0"/>
        <u val="none"/>
        <vertAlign val="baseline"/>
        <sz val="11"/>
        <color rgb="FFFFFFFF"/>
        <name val="Work Sans"/>
        <family val="2"/>
        <scheme val="none"/>
      </font>
      <numFmt numFmtId="0" formatCode="General"/>
      <fill>
        <patternFill patternType="solid">
          <fgColor rgb="FF000000"/>
          <bgColor theme="1"/>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1" hidden="0"/>
    </dxf>
    <dxf>
      <font>
        <b val="0"/>
        <i val="0"/>
        <strike val="0"/>
        <condense val="0"/>
        <extend val="0"/>
        <outline val="0"/>
        <shadow val="0"/>
        <u val="none"/>
        <vertAlign val="baseline"/>
        <sz val="11"/>
        <color rgb="FFFFFFFF"/>
        <name val="Work Sans"/>
        <family val="2"/>
        <scheme val="none"/>
      </font>
      <numFmt numFmtId="0" formatCode="General"/>
      <fill>
        <patternFill patternType="solid">
          <fgColor rgb="FF000000"/>
          <bgColor theme="1"/>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1" hidden="0"/>
    </dxf>
    <dxf>
      <font>
        <b val="0"/>
        <i val="0"/>
        <strike val="0"/>
        <condense val="0"/>
        <extend val="0"/>
        <outline val="0"/>
        <shadow val="0"/>
        <u val="none"/>
        <vertAlign val="baseline"/>
        <sz val="11"/>
        <color rgb="FFFFFFFF"/>
        <name val="Work Sans"/>
        <family val="2"/>
        <scheme val="none"/>
      </font>
      <numFmt numFmtId="0" formatCode="General"/>
      <fill>
        <patternFill patternType="solid">
          <fgColor rgb="FF000000"/>
          <bgColor theme="1"/>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1" hidden="0"/>
    </dxf>
    <dxf>
      <font>
        <b/>
        <i val="0"/>
        <strike val="0"/>
        <condense val="0"/>
        <extend val="0"/>
        <outline val="0"/>
        <shadow val="0"/>
        <u val="none"/>
        <vertAlign val="baseline"/>
        <sz val="12"/>
        <color rgb="FFFFFFFF"/>
        <name val="Work Sans"/>
        <family val="2"/>
        <scheme val="none"/>
      </font>
      <numFmt numFmtId="0" formatCode="General"/>
      <fill>
        <patternFill patternType="solid">
          <fgColor rgb="FF000000"/>
          <bgColor theme="1"/>
        </patternFill>
      </fill>
      <alignment horizontal="general" vertical="center" textRotation="0" wrapText="0" indent="0" justifyLastLine="0" shrinkToFit="0" readingOrder="0"/>
      <border diagonalUp="0" diagonalDown="0">
        <left/>
        <right style="thin">
          <color theme="0" tint="-0.499984740745262"/>
        </right>
        <top style="thin">
          <color theme="0" tint="-0.499984740745262"/>
        </top>
        <bottom style="thin">
          <color theme="0" tint="-0.499984740745262"/>
        </bottom>
      </border>
      <protection locked="1" hidden="0"/>
    </dxf>
    <dxf>
      <font>
        <b val="0"/>
        <i val="0"/>
        <strike val="0"/>
        <condense val="0"/>
        <extend val="0"/>
        <outline val="0"/>
        <shadow val="0"/>
        <u val="none"/>
        <vertAlign val="baseline"/>
        <sz val="9"/>
        <color theme="0"/>
        <name val="Work Sans"/>
        <family val="2"/>
        <scheme val="minor"/>
      </font>
      <numFmt numFmtId="30" formatCode="@"/>
      <fill>
        <patternFill patternType="solid">
          <fgColor indexed="64"/>
          <bgColor theme="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0"/>
        <name val="Work Sans"/>
        <family val="2"/>
        <scheme val="minor"/>
      </font>
      <numFmt numFmtId="30" formatCode="@"/>
      <fill>
        <patternFill patternType="solid">
          <fgColor indexed="64"/>
          <bgColor theme="1"/>
        </patternFill>
      </fill>
      <alignment horizontal="center" vertical="center" textRotation="0" wrapText="0" indent="0" justifyLastLine="0" shrinkToFit="0" readingOrder="0"/>
      <border diagonalUp="0" diagonalDown="0">
        <left style="thin">
          <color rgb="FFBDAEF9"/>
        </left>
        <right style="thin">
          <color rgb="FFBDAEF9"/>
        </right>
        <top/>
        <bottom/>
      </border>
      <protection locked="1" hidden="0"/>
    </dxf>
    <dxf>
      <font>
        <color rgb="FF9C0006"/>
      </font>
      <fill>
        <patternFill>
          <bgColor rgb="FFFFC7CE"/>
        </patternFill>
      </fill>
    </dxf>
    <dxf>
      <font>
        <color auto="1"/>
      </font>
    </dxf>
    <dxf>
      <font>
        <color auto="1"/>
      </font>
    </dxf>
    <dxf>
      <font>
        <color auto="1"/>
      </font>
    </dxf>
    <dxf>
      <font>
        <color auto="1"/>
      </font>
    </dxf>
    <dxf>
      <font>
        <color auto="1"/>
      </font>
    </dxf>
    <dxf>
      <font>
        <sz val="12"/>
      </font>
    </dxf>
    <dxf>
      <font>
        <sz val="12"/>
      </font>
    </dxf>
    <dxf>
      <font>
        <sz val="12"/>
      </font>
    </dxf>
    <dxf>
      <font>
        <sz val="12"/>
      </font>
    </dxf>
    <dxf>
      <font>
        <sz val="12"/>
      </font>
    </dxf>
    <dxf>
      <fill>
        <patternFill patternType="solid">
          <bgColor theme="7" tint="9.9978637043366805E-2"/>
        </patternFill>
      </fill>
    </dxf>
    <dxf>
      <font>
        <color theme="0"/>
      </font>
    </dxf>
    <dxf>
      <fill>
        <patternFill patternType="solid">
          <bgColor theme="7" tint="9.9978637043366805E-2"/>
        </patternFill>
      </fill>
    </dxf>
    <dxf>
      <fill>
        <patternFill patternType="solid">
          <bgColor theme="7" tint="9.9978637043366805E-2"/>
        </patternFill>
      </fill>
    </dxf>
    <dxf>
      <font>
        <color theme="0"/>
      </font>
    </dxf>
    <dxf>
      <font>
        <color theme="0"/>
      </font>
    </dxf>
    <dxf>
      <alignment vertical="center"/>
    </dxf>
    <dxf>
      <alignment vertical="center"/>
    </dxf>
    <dxf>
      <alignment vertical="center"/>
    </dxf>
    <dxf>
      <alignment vertical="center"/>
    </dxf>
    <dxf>
      <alignment vertical="center"/>
    </dxf>
    <dxf>
      <font>
        <color theme="0"/>
      </font>
    </dxf>
    <dxf>
      <alignment wrapText="1"/>
    </dxf>
    <dxf>
      <fill>
        <patternFill patternType="solid">
          <bgColor theme="7"/>
        </patternFill>
      </fill>
    </dxf>
    <dxf>
      <font>
        <color auto="1"/>
      </font>
    </dxf>
    <dxf>
      <font>
        <color auto="1"/>
      </font>
    </dxf>
    <dxf>
      <font>
        <color auto="1"/>
      </font>
    </dxf>
    <dxf>
      <font>
        <color auto="1"/>
      </font>
    </dxf>
    <dxf>
      <font>
        <color auto="1"/>
      </font>
    </dxf>
    <dxf>
      <font>
        <color auto="1"/>
      </font>
    </dxf>
    <dxf>
      <font>
        <sz val="12"/>
      </font>
    </dxf>
    <dxf>
      <font>
        <sz val="12"/>
      </font>
    </dxf>
    <dxf>
      <font>
        <sz val="12"/>
      </font>
    </dxf>
    <dxf>
      <font>
        <sz val="12"/>
      </font>
    </dxf>
    <dxf>
      <font>
        <sz val="12"/>
      </font>
    </dxf>
    <dxf>
      <font>
        <sz val="12"/>
      </font>
    </dxf>
    <dxf>
      <fill>
        <patternFill patternType="solid">
          <bgColor theme="7" tint="9.9978637043366805E-2"/>
        </patternFill>
      </fill>
    </dxf>
    <dxf>
      <fill>
        <patternFill patternType="solid">
          <bgColor theme="7" tint="9.9978637043366805E-2"/>
        </patternFill>
      </fill>
    </dxf>
    <dxf>
      <font>
        <color theme="0"/>
      </font>
    </dxf>
    <dxf>
      <font>
        <color theme="0"/>
      </font>
    </dxf>
    <dxf>
      <fill>
        <patternFill patternType="solid">
          <bgColor theme="7" tint="9.9978637043366805E-2"/>
        </patternFill>
      </fill>
    </dxf>
    <dxf>
      <fill>
        <patternFill patternType="solid">
          <bgColor theme="7" tint="9.9978637043366805E-2"/>
        </patternFill>
      </fill>
    </dxf>
    <dxf>
      <font>
        <color theme="0"/>
      </font>
    </dxf>
    <dxf>
      <font>
        <color theme="0"/>
      </font>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lef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4" formatCode="0.00%"/>
    </dxf>
    <dxf>
      <numFmt numFmtId="14" formatCode="0.00%"/>
    </dxf>
    <dxf>
      <numFmt numFmtId="14" formatCode="0.00%"/>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0" formatCode="Genera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4" formatCode="0.00%"/>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dxf>
    <dxf>
      <font>
        <color theme="0"/>
      </font>
    </dxf>
  </dxfs>
  <tableStyles count="0" defaultTableStyle="TableStyleMedium2" defaultPivotStyle="PivotStyleLight16"/>
  <colors>
    <mruColors>
      <color rgb="FF881AFF"/>
      <color rgb="FFBDAE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microsoft.com/office/2007/relationships/slicerCache" Target="slicerCaches/slicerCache3.xml"/><Relationship Id="rId26" Type="http://schemas.openxmlformats.org/officeDocument/2006/relationships/sheetMetadata" Target="metadata.xml"/><Relationship Id="rId3" Type="http://schemas.openxmlformats.org/officeDocument/2006/relationships/worksheet" Target="worksheets/sheet3.xml"/><Relationship Id="rId21" Type="http://schemas.microsoft.com/office/2007/relationships/slicerCache" Target="slicerCaches/slicerCache6.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07/relationships/slicerCache" Target="slicerCaches/slicerCache2.xml"/><Relationship Id="rId25" Type="http://schemas.openxmlformats.org/officeDocument/2006/relationships/sharedStrings" Target="sharedStrings.xml"/><Relationship Id="rId33" Type="http://schemas.openxmlformats.org/officeDocument/2006/relationships/customXml" Target="../customXml/item3.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styles" Target="styles.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connections" Target="connections.xml"/><Relationship Id="rId28" Type="http://schemas.microsoft.com/office/2017/10/relationships/person" Target="persons/person.xml"/><Relationship Id="rId36" Type="http://schemas.microsoft.com/office/2006/relationships/vbaProject" Target="vbaProject.bin"/><Relationship Id="rId10" Type="http://schemas.openxmlformats.org/officeDocument/2006/relationships/pivotCacheDefinition" Target="pivotCache/pivotCacheDefinition1.xml"/><Relationship Id="rId19" Type="http://schemas.microsoft.com/office/2007/relationships/slicerCache" Target="slicerCaches/slicerCache4.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theme" Target="theme/theme1.xml"/><Relationship Id="rId27" Type="http://schemas.openxmlformats.org/officeDocument/2006/relationships/powerPivotData" Target="model/item.data"/><Relationship Id="rId30" Type="http://schemas.openxmlformats.org/officeDocument/2006/relationships/calcChain" Target="calcChain.xml"/><Relationship Id="rId35" Type="http://schemas.microsoft.com/office/2023/09/relationships/Python" Target="pytho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[EMEA DQ Discipline - Common Competency Matrix.xlsm]SUMMARY - Competency Matrix!PivotTable3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'SUMMARY - Competency Matrix'!$C$103:$C$105</c:f>
              <c:strCache>
                <c:ptCount val="1"/>
                <c:pt idx="0">
                  <c:v>C2 - Average of AbsDelta</c:v>
                </c:pt>
              </c:strCache>
            </c:strRef>
          </c:tx>
          <c:spPr>
            <a:solidFill>
              <a:schemeClr val="accent1"/>
            </a:solidFill>
            <a:ln>
              <a:noFill/>
            </a:ln>
            <a:effectLst/>
          </c:spPr>
          <c:invertIfNegative val="0"/>
          <c:cat>
            <c:strRef>
              <c:f>'SUMMARY - Competency Matrix'!$B$106:$B$116</c:f>
              <c:strCache>
                <c:ptCount val="10"/>
                <c:pt idx="0">
                  <c:v>Delivery &amp; Consulting</c:v>
                </c:pt>
                <c:pt idx="1">
                  <c:v>DQ-Specific Functional</c:v>
                </c:pt>
                <c:pt idx="2">
                  <c:v>DQ-Specific Technical</c:v>
                </c:pt>
                <c:pt idx="3">
                  <c:v>Squad-Cloud Data Quality</c:v>
                </c:pt>
                <c:pt idx="4">
                  <c:v>Squad-Dashboarding &amp; Analytics</c:v>
                </c:pt>
                <c:pt idx="5">
                  <c:v>Squad-Delivery Excellence</c:v>
                </c:pt>
                <c:pt idx="6">
                  <c:v>Squad-dqOps</c:v>
                </c:pt>
                <c:pt idx="7">
                  <c:v>Squad-Source Cleansing</c:v>
                </c:pt>
                <c:pt idx="8">
                  <c:v>Squad-Specialized and AI Driven</c:v>
                </c:pt>
                <c:pt idx="9">
                  <c:v>Syniti Platform: Technical (ADM-M)</c:v>
                </c:pt>
              </c:strCache>
            </c:strRef>
          </c:cat>
          <c:val>
            <c:numRef>
              <c:f>'SUMMARY - Competency Matrix'!$C$106:$C$116</c:f>
              <c:numCache>
                <c:formatCode>0.00</c:formatCode>
                <c:ptCount val="10"/>
                <c:pt idx="0">
                  <c:v>0.2</c:v>
                </c:pt>
                <c:pt idx="1">
                  <c:v>0.38400000000000001</c:v>
                </c:pt>
                <c:pt idx="2">
                  <c:v>0.2</c:v>
                </c:pt>
                <c:pt idx="3">
                  <c:v>0.8</c:v>
                </c:pt>
                <c:pt idx="4">
                  <c:v>2.2000000000000002</c:v>
                </c:pt>
                <c:pt idx="5">
                  <c:v>0.38400000000000001</c:v>
                </c:pt>
                <c:pt idx="6">
                  <c:v>0.184</c:v>
                </c:pt>
                <c:pt idx="7">
                  <c:v>0.36799999999999999</c:v>
                </c:pt>
                <c:pt idx="8">
                  <c:v>3</c:v>
                </c:pt>
                <c:pt idx="9">
                  <c:v>0.28399999999999997</c:v>
                </c:pt>
              </c:numCache>
            </c:numRef>
          </c:val>
          <c:extLst>
            <c:ext xmlns:c16="http://schemas.microsoft.com/office/drawing/2014/chart" uri="{C3380CC4-5D6E-409C-BE32-E72D297353CC}">
              <c16:uniqueId val="{00000000-FBE4-4F89-8356-BAB2F5E43ED3}"/>
            </c:ext>
          </c:extLst>
        </c:ser>
        <c:ser>
          <c:idx val="1"/>
          <c:order val="1"/>
          <c:tx>
            <c:strRef>
              <c:f>'SUMMARY - Competency Matrix'!$D$103:$D$105</c:f>
              <c:strCache>
                <c:ptCount val="1"/>
                <c:pt idx="0">
                  <c:v>C2 - Average of MaterialFlag</c:v>
                </c:pt>
              </c:strCache>
            </c:strRef>
          </c:tx>
          <c:spPr>
            <a:solidFill>
              <a:schemeClr val="accent2"/>
            </a:solidFill>
            <a:ln>
              <a:noFill/>
            </a:ln>
            <a:effectLst/>
          </c:spPr>
          <c:invertIfNegative val="0"/>
          <c:cat>
            <c:strRef>
              <c:f>'SUMMARY - Competency Matrix'!$B$106:$B$116</c:f>
              <c:strCache>
                <c:ptCount val="10"/>
                <c:pt idx="0">
                  <c:v>Delivery &amp; Consulting</c:v>
                </c:pt>
                <c:pt idx="1">
                  <c:v>DQ-Specific Functional</c:v>
                </c:pt>
                <c:pt idx="2">
                  <c:v>DQ-Specific Technical</c:v>
                </c:pt>
                <c:pt idx="3">
                  <c:v>Squad-Cloud Data Quality</c:v>
                </c:pt>
                <c:pt idx="4">
                  <c:v>Squad-Dashboarding &amp; Analytics</c:v>
                </c:pt>
                <c:pt idx="5">
                  <c:v>Squad-Delivery Excellence</c:v>
                </c:pt>
                <c:pt idx="6">
                  <c:v>Squad-dqOps</c:v>
                </c:pt>
                <c:pt idx="7">
                  <c:v>Squad-Source Cleansing</c:v>
                </c:pt>
                <c:pt idx="8">
                  <c:v>Squad-Specialized and AI Driven</c:v>
                </c:pt>
                <c:pt idx="9">
                  <c:v>Syniti Platform: Technical (ADM-M)</c:v>
                </c:pt>
              </c:strCache>
            </c:strRef>
          </c:cat>
          <c:val>
            <c:numRef>
              <c:f>'SUMMARY - Competency Matrix'!$D$106:$D$116</c:f>
              <c:numCache>
                <c:formatCode>General</c:formatCode>
                <c:ptCount val="10"/>
                <c:pt idx="0">
                  <c:v>0.2</c:v>
                </c:pt>
                <c:pt idx="1">
                  <c:v>0.2</c:v>
                </c:pt>
                <c:pt idx="2">
                  <c:v>0.2</c:v>
                </c:pt>
                <c:pt idx="3">
                  <c:v>0.6</c:v>
                </c:pt>
                <c:pt idx="4">
                  <c:v>1</c:v>
                </c:pt>
                <c:pt idx="5">
                  <c:v>0</c:v>
                </c:pt>
                <c:pt idx="6">
                  <c:v>0</c:v>
                </c:pt>
                <c:pt idx="7">
                  <c:v>0</c:v>
                </c:pt>
                <c:pt idx="8">
                  <c:v>1</c:v>
                </c:pt>
                <c:pt idx="9">
                  <c:v>0</c:v>
                </c:pt>
              </c:numCache>
            </c:numRef>
          </c:val>
          <c:extLst>
            <c:ext xmlns:c16="http://schemas.microsoft.com/office/drawing/2014/chart" uri="{C3380CC4-5D6E-409C-BE32-E72D297353CC}">
              <c16:uniqueId val="{00000001-FBE4-4F89-8356-BAB2F5E43ED3}"/>
            </c:ext>
          </c:extLst>
        </c:ser>
        <c:ser>
          <c:idx val="2"/>
          <c:order val="2"/>
          <c:tx>
            <c:strRef>
              <c:f>'SUMMARY - Competency Matrix'!$E$103:$E$105</c:f>
              <c:strCache>
                <c:ptCount val="1"/>
                <c:pt idx="0">
                  <c:v>C2 - Average of Delta</c:v>
                </c:pt>
              </c:strCache>
            </c:strRef>
          </c:tx>
          <c:spPr>
            <a:solidFill>
              <a:schemeClr val="accent3"/>
            </a:solidFill>
            <a:ln>
              <a:noFill/>
            </a:ln>
            <a:effectLst/>
          </c:spPr>
          <c:invertIfNegative val="0"/>
          <c:cat>
            <c:strRef>
              <c:f>'SUMMARY - Competency Matrix'!$B$106:$B$116</c:f>
              <c:strCache>
                <c:ptCount val="10"/>
                <c:pt idx="0">
                  <c:v>Delivery &amp; Consulting</c:v>
                </c:pt>
                <c:pt idx="1">
                  <c:v>DQ-Specific Functional</c:v>
                </c:pt>
                <c:pt idx="2">
                  <c:v>DQ-Specific Technical</c:v>
                </c:pt>
                <c:pt idx="3">
                  <c:v>Squad-Cloud Data Quality</c:v>
                </c:pt>
                <c:pt idx="4">
                  <c:v>Squad-Dashboarding &amp; Analytics</c:v>
                </c:pt>
                <c:pt idx="5">
                  <c:v>Squad-Delivery Excellence</c:v>
                </c:pt>
                <c:pt idx="6">
                  <c:v>Squad-dqOps</c:v>
                </c:pt>
                <c:pt idx="7">
                  <c:v>Squad-Source Cleansing</c:v>
                </c:pt>
                <c:pt idx="8">
                  <c:v>Squad-Specialized and AI Driven</c:v>
                </c:pt>
                <c:pt idx="9">
                  <c:v>Syniti Platform: Technical (ADM-M)</c:v>
                </c:pt>
              </c:strCache>
            </c:strRef>
          </c:cat>
          <c:val>
            <c:numRef>
              <c:f>'SUMMARY - Competency Matrix'!$E$106:$E$116</c:f>
              <c:numCache>
                <c:formatCode>0.00</c:formatCode>
                <c:ptCount val="10"/>
                <c:pt idx="0">
                  <c:v>0.2</c:v>
                </c:pt>
                <c:pt idx="1">
                  <c:v>1.6000000000000014E-2</c:v>
                </c:pt>
                <c:pt idx="2">
                  <c:v>0.2</c:v>
                </c:pt>
                <c:pt idx="3">
                  <c:v>-0.4</c:v>
                </c:pt>
                <c:pt idx="4">
                  <c:v>-2.2000000000000002</c:v>
                </c:pt>
                <c:pt idx="5">
                  <c:v>-0.35199999999999998</c:v>
                </c:pt>
                <c:pt idx="6">
                  <c:v>-0.184</c:v>
                </c:pt>
                <c:pt idx="7">
                  <c:v>-0.36799999999999999</c:v>
                </c:pt>
                <c:pt idx="8">
                  <c:v>-3</c:v>
                </c:pt>
                <c:pt idx="9">
                  <c:v>-0.26799999999999996</c:v>
                </c:pt>
              </c:numCache>
            </c:numRef>
          </c:val>
          <c:extLst>
            <c:ext xmlns:c16="http://schemas.microsoft.com/office/drawing/2014/chart" uri="{C3380CC4-5D6E-409C-BE32-E72D297353CC}">
              <c16:uniqueId val="{00000002-FBE4-4F89-8356-BAB2F5E43ED3}"/>
            </c:ext>
          </c:extLst>
        </c:ser>
        <c:ser>
          <c:idx val="3"/>
          <c:order val="3"/>
          <c:tx>
            <c:strRef>
              <c:f>'SUMMARY - Competency Matrix'!$F$103:$F$105</c:f>
              <c:strCache>
                <c:ptCount val="1"/>
                <c:pt idx="0">
                  <c:v>C3 - Average of AbsDelta</c:v>
                </c:pt>
              </c:strCache>
            </c:strRef>
          </c:tx>
          <c:spPr>
            <a:solidFill>
              <a:schemeClr val="accent4"/>
            </a:solidFill>
            <a:ln>
              <a:noFill/>
            </a:ln>
            <a:effectLst/>
          </c:spPr>
          <c:invertIfNegative val="0"/>
          <c:cat>
            <c:strRef>
              <c:f>'SUMMARY - Competency Matrix'!$B$106:$B$116</c:f>
              <c:strCache>
                <c:ptCount val="10"/>
                <c:pt idx="0">
                  <c:v>Delivery &amp; Consulting</c:v>
                </c:pt>
                <c:pt idx="1">
                  <c:v>DQ-Specific Functional</c:v>
                </c:pt>
                <c:pt idx="2">
                  <c:v>DQ-Specific Technical</c:v>
                </c:pt>
                <c:pt idx="3">
                  <c:v>Squad-Cloud Data Quality</c:v>
                </c:pt>
                <c:pt idx="4">
                  <c:v>Squad-Dashboarding &amp; Analytics</c:v>
                </c:pt>
                <c:pt idx="5">
                  <c:v>Squad-Delivery Excellence</c:v>
                </c:pt>
                <c:pt idx="6">
                  <c:v>Squad-dqOps</c:v>
                </c:pt>
                <c:pt idx="7">
                  <c:v>Squad-Source Cleansing</c:v>
                </c:pt>
                <c:pt idx="8">
                  <c:v>Squad-Specialized and AI Driven</c:v>
                </c:pt>
                <c:pt idx="9">
                  <c:v>Syniti Platform: Technical (ADM-M)</c:v>
                </c:pt>
              </c:strCache>
            </c:strRef>
          </c:cat>
          <c:val>
            <c:numRef>
              <c:f>'SUMMARY - Competency Matrix'!$F$106:$F$116</c:f>
              <c:numCache>
                <c:formatCode>0.00</c:formatCode>
                <c:ptCount val="10"/>
                <c:pt idx="0">
                  <c:v>0.30371428571428588</c:v>
                </c:pt>
                <c:pt idx="1">
                  <c:v>0.43542857142857139</c:v>
                </c:pt>
                <c:pt idx="2">
                  <c:v>0.45285714285714279</c:v>
                </c:pt>
                <c:pt idx="3">
                  <c:v>0.6465714285714288</c:v>
                </c:pt>
                <c:pt idx="4">
                  <c:v>1.5357142857142858</c:v>
                </c:pt>
                <c:pt idx="5">
                  <c:v>0.59942857142857153</c:v>
                </c:pt>
                <c:pt idx="6">
                  <c:v>0.52399999999999991</c:v>
                </c:pt>
                <c:pt idx="7">
                  <c:v>0.48200000000000004</c:v>
                </c:pt>
                <c:pt idx="8">
                  <c:v>1.9928571428571429</c:v>
                </c:pt>
                <c:pt idx="9">
                  <c:v>0.59385714285714308</c:v>
                </c:pt>
              </c:numCache>
            </c:numRef>
          </c:val>
          <c:extLst>
            <c:ext xmlns:c16="http://schemas.microsoft.com/office/drawing/2014/chart" uri="{C3380CC4-5D6E-409C-BE32-E72D297353CC}">
              <c16:uniqueId val="{00000003-FBE4-4F89-8356-BAB2F5E43ED3}"/>
            </c:ext>
          </c:extLst>
        </c:ser>
        <c:ser>
          <c:idx val="4"/>
          <c:order val="4"/>
          <c:tx>
            <c:strRef>
              <c:f>'SUMMARY - Competency Matrix'!$G$103:$G$105</c:f>
              <c:strCache>
                <c:ptCount val="1"/>
                <c:pt idx="0">
                  <c:v>C3 - Average of MaterialFlag</c:v>
                </c:pt>
              </c:strCache>
            </c:strRef>
          </c:tx>
          <c:spPr>
            <a:solidFill>
              <a:schemeClr val="accent5"/>
            </a:solidFill>
            <a:ln>
              <a:noFill/>
            </a:ln>
            <a:effectLst/>
          </c:spPr>
          <c:invertIfNegative val="0"/>
          <c:cat>
            <c:strRef>
              <c:f>'SUMMARY - Competency Matrix'!$B$106:$B$116</c:f>
              <c:strCache>
                <c:ptCount val="10"/>
                <c:pt idx="0">
                  <c:v>Delivery &amp; Consulting</c:v>
                </c:pt>
                <c:pt idx="1">
                  <c:v>DQ-Specific Functional</c:v>
                </c:pt>
                <c:pt idx="2">
                  <c:v>DQ-Specific Technical</c:v>
                </c:pt>
                <c:pt idx="3">
                  <c:v>Squad-Cloud Data Quality</c:v>
                </c:pt>
                <c:pt idx="4">
                  <c:v>Squad-Dashboarding &amp; Analytics</c:v>
                </c:pt>
                <c:pt idx="5">
                  <c:v>Squad-Delivery Excellence</c:v>
                </c:pt>
                <c:pt idx="6">
                  <c:v>Squad-dqOps</c:v>
                </c:pt>
                <c:pt idx="7">
                  <c:v>Squad-Source Cleansing</c:v>
                </c:pt>
                <c:pt idx="8">
                  <c:v>Squad-Specialized and AI Driven</c:v>
                </c:pt>
                <c:pt idx="9">
                  <c:v>Syniti Platform: Technical (ADM-M)</c:v>
                </c:pt>
              </c:strCache>
            </c:strRef>
          </c:cat>
          <c:val>
            <c:numRef>
              <c:f>'SUMMARY - Competency Matrix'!$G$106:$G$116</c:f>
              <c:numCache>
                <c:formatCode>General</c:formatCode>
                <c:ptCount val="10"/>
                <c:pt idx="0">
                  <c:v>0</c:v>
                </c:pt>
                <c:pt idx="1">
                  <c:v>0.2</c:v>
                </c:pt>
                <c:pt idx="2">
                  <c:v>8.5714285714285715E-2</c:v>
                </c:pt>
                <c:pt idx="3">
                  <c:v>0.22857142857142856</c:v>
                </c:pt>
                <c:pt idx="4">
                  <c:v>0.5714285714285714</c:v>
                </c:pt>
                <c:pt idx="5">
                  <c:v>0.4</c:v>
                </c:pt>
                <c:pt idx="6">
                  <c:v>0.2857142857142857</c:v>
                </c:pt>
                <c:pt idx="7">
                  <c:v>0.22857142857142856</c:v>
                </c:pt>
                <c:pt idx="8">
                  <c:v>0.5714285714285714</c:v>
                </c:pt>
                <c:pt idx="9">
                  <c:v>0.31428571428571428</c:v>
                </c:pt>
              </c:numCache>
            </c:numRef>
          </c:val>
          <c:extLst>
            <c:ext xmlns:c16="http://schemas.microsoft.com/office/drawing/2014/chart" uri="{C3380CC4-5D6E-409C-BE32-E72D297353CC}">
              <c16:uniqueId val="{00000004-FBE4-4F89-8356-BAB2F5E43ED3}"/>
            </c:ext>
          </c:extLst>
        </c:ser>
        <c:ser>
          <c:idx val="5"/>
          <c:order val="5"/>
          <c:tx>
            <c:strRef>
              <c:f>'SUMMARY - Competency Matrix'!$H$103:$H$105</c:f>
              <c:strCache>
                <c:ptCount val="1"/>
                <c:pt idx="0">
                  <c:v>C3 - Average of Delta</c:v>
                </c:pt>
              </c:strCache>
            </c:strRef>
          </c:tx>
          <c:spPr>
            <a:solidFill>
              <a:schemeClr val="accent6"/>
            </a:solidFill>
            <a:ln>
              <a:noFill/>
            </a:ln>
            <a:effectLst/>
          </c:spPr>
          <c:invertIfNegative val="0"/>
          <c:cat>
            <c:strRef>
              <c:f>'SUMMARY - Competency Matrix'!$B$106:$B$116</c:f>
              <c:strCache>
                <c:ptCount val="10"/>
                <c:pt idx="0">
                  <c:v>Delivery &amp; Consulting</c:v>
                </c:pt>
                <c:pt idx="1">
                  <c:v>DQ-Specific Functional</c:v>
                </c:pt>
                <c:pt idx="2">
                  <c:v>DQ-Specific Technical</c:v>
                </c:pt>
                <c:pt idx="3">
                  <c:v>Squad-Cloud Data Quality</c:v>
                </c:pt>
                <c:pt idx="4">
                  <c:v>Squad-Dashboarding &amp; Analytics</c:v>
                </c:pt>
                <c:pt idx="5">
                  <c:v>Squad-Delivery Excellence</c:v>
                </c:pt>
                <c:pt idx="6">
                  <c:v>Squad-dqOps</c:v>
                </c:pt>
                <c:pt idx="7">
                  <c:v>Squad-Source Cleansing</c:v>
                </c:pt>
                <c:pt idx="8">
                  <c:v>Squad-Specialized and AI Driven</c:v>
                </c:pt>
                <c:pt idx="9">
                  <c:v>Syniti Platform: Technical (ADM-M)</c:v>
                </c:pt>
              </c:strCache>
            </c:strRef>
          </c:cat>
          <c:val>
            <c:numRef>
              <c:f>'SUMMARY - Competency Matrix'!$H$106:$H$116</c:f>
              <c:numCache>
                <c:formatCode>0.00</c:formatCode>
                <c:ptCount val="10"/>
                <c:pt idx="0">
                  <c:v>-0.1642857142857142</c:v>
                </c:pt>
                <c:pt idx="1">
                  <c:v>-0.1245714285714285</c:v>
                </c:pt>
                <c:pt idx="2">
                  <c:v>9.6285714285714363E-2</c:v>
                </c:pt>
                <c:pt idx="3">
                  <c:v>-0.50714285714285723</c:v>
                </c:pt>
                <c:pt idx="4">
                  <c:v>-1.5357142857142858</c:v>
                </c:pt>
                <c:pt idx="5">
                  <c:v>-0.29999999999999988</c:v>
                </c:pt>
                <c:pt idx="6">
                  <c:v>-0.36628571428571421</c:v>
                </c:pt>
                <c:pt idx="7">
                  <c:v>-0.48200000000000004</c:v>
                </c:pt>
                <c:pt idx="8">
                  <c:v>-1.9928571428571429</c:v>
                </c:pt>
                <c:pt idx="9">
                  <c:v>-0.14442857142857152</c:v>
                </c:pt>
              </c:numCache>
            </c:numRef>
          </c:val>
          <c:extLst>
            <c:ext xmlns:c16="http://schemas.microsoft.com/office/drawing/2014/chart" uri="{C3380CC4-5D6E-409C-BE32-E72D297353CC}">
              <c16:uniqueId val="{00000005-FBE4-4F89-8356-BAB2F5E43ED3}"/>
            </c:ext>
          </c:extLst>
        </c:ser>
        <c:ser>
          <c:idx val="6"/>
          <c:order val="6"/>
          <c:tx>
            <c:strRef>
              <c:f>'SUMMARY - Competency Matrix'!$I$103:$I$105</c:f>
              <c:strCache>
                <c:ptCount val="1"/>
                <c:pt idx="0">
                  <c:v>C4-S - Average of AbsDelta</c:v>
                </c:pt>
              </c:strCache>
            </c:strRef>
          </c:tx>
          <c:spPr>
            <a:solidFill>
              <a:schemeClr val="accent1">
                <a:lumMod val="60000"/>
              </a:schemeClr>
            </a:solidFill>
            <a:ln>
              <a:noFill/>
            </a:ln>
            <a:effectLst/>
          </c:spPr>
          <c:invertIfNegative val="0"/>
          <c:cat>
            <c:strRef>
              <c:f>'SUMMARY - Competency Matrix'!$B$106:$B$116</c:f>
              <c:strCache>
                <c:ptCount val="10"/>
                <c:pt idx="0">
                  <c:v>Delivery &amp; Consulting</c:v>
                </c:pt>
                <c:pt idx="1">
                  <c:v>DQ-Specific Functional</c:v>
                </c:pt>
                <c:pt idx="2">
                  <c:v>DQ-Specific Technical</c:v>
                </c:pt>
                <c:pt idx="3">
                  <c:v>Squad-Cloud Data Quality</c:v>
                </c:pt>
                <c:pt idx="4">
                  <c:v>Squad-Dashboarding &amp; Analytics</c:v>
                </c:pt>
                <c:pt idx="5">
                  <c:v>Squad-Delivery Excellence</c:v>
                </c:pt>
                <c:pt idx="6">
                  <c:v>Squad-dqOps</c:v>
                </c:pt>
                <c:pt idx="7">
                  <c:v>Squad-Source Cleansing</c:v>
                </c:pt>
                <c:pt idx="8">
                  <c:v>Squad-Specialized and AI Driven</c:v>
                </c:pt>
                <c:pt idx="9">
                  <c:v>Syniti Platform: Technical (ADM-M)</c:v>
                </c:pt>
              </c:strCache>
            </c:strRef>
          </c:cat>
          <c:val>
            <c:numRef>
              <c:f>'SUMMARY - Competency Matrix'!$I$106:$I$116</c:f>
              <c:numCache>
                <c:formatCode>0.00</c:formatCode>
                <c:ptCount val="10"/>
                <c:pt idx="0">
                  <c:v>1.0659999999999996</c:v>
                </c:pt>
                <c:pt idx="1">
                  <c:v>0.71799999999999986</c:v>
                </c:pt>
                <c:pt idx="2">
                  <c:v>1.0420000000000003</c:v>
                </c:pt>
                <c:pt idx="3">
                  <c:v>1.8407999999999998</c:v>
                </c:pt>
                <c:pt idx="4">
                  <c:v>1.0184</c:v>
                </c:pt>
                <c:pt idx="5">
                  <c:v>0.76679999999999982</c:v>
                </c:pt>
                <c:pt idx="6">
                  <c:v>0.51720000000000033</c:v>
                </c:pt>
                <c:pt idx="7">
                  <c:v>1.4899999999999998</c:v>
                </c:pt>
                <c:pt idx="8">
                  <c:v>2.3784000000000001</c:v>
                </c:pt>
                <c:pt idx="9">
                  <c:v>0.77200000000000002</c:v>
                </c:pt>
              </c:numCache>
            </c:numRef>
          </c:val>
          <c:extLst>
            <c:ext xmlns:c16="http://schemas.microsoft.com/office/drawing/2014/chart" uri="{C3380CC4-5D6E-409C-BE32-E72D297353CC}">
              <c16:uniqueId val="{00000006-FBE4-4F89-8356-BAB2F5E43ED3}"/>
            </c:ext>
          </c:extLst>
        </c:ser>
        <c:ser>
          <c:idx val="7"/>
          <c:order val="7"/>
          <c:tx>
            <c:strRef>
              <c:f>'SUMMARY - Competency Matrix'!$J$103:$J$105</c:f>
              <c:strCache>
                <c:ptCount val="1"/>
                <c:pt idx="0">
                  <c:v>C4-S - Average of MaterialFlag</c:v>
                </c:pt>
              </c:strCache>
            </c:strRef>
          </c:tx>
          <c:spPr>
            <a:solidFill>
              <a:schemeClr val="accent2">
                <a:lumMod val="60000"/>
              </a:schemeClr>
            </a:solidFill>
            <a:ln>
              <a:noFill/>
            </a:ln>
            <a:effectLst/>
          </c:spPr>
          <c:invertIfNegative val="0"/>
          <c:cat>
            <c:strRef>
              <c:f>'SUMMARY - Competency Matrix'!$B$106:$B$116</c:f>
              <c:strCache>
                <c:ptCount val="10"/>
                <c:pt idx="0">
                  <c:v>Delivery &amp; Consulting</c:v>
                </c:pt>
                <c:pt idx="1">
                  <c:v>DQ-Specific Functional</c:v>
                </c:pt>
                <c:pt idx="2">
                  <c:v>DQ-Specific Technical</c:v>
                </c:pt>
                <c:pt idx="3">
                  <c:v>Squad-Cloud Data Quality</c:v>
                </c:pt>
                <c:pt idx="4">
                  <c:v>Squad-Dashboarding &amp; Analytics</c:v>
                </c:pt>
                <c:pt idx="5">
                  <c:v>Squad-Delivery Excellence</c:v>
                </c:pt>
                <c:pt idx="6">
                  <c:v>Squad-dqOps</c:v>
                </c:pt>
                <c:pt idx="7">
                  <c:v>Squad-Source Cleansing</c:v>
                </c:pt>
                <c:pt idx="8">
                  <c:v>Squad-Specialized and AI Driven</c:v>
                </c:pt>
                <c:pt idx="9">
                  <c:v>Syniti Platform: Technical (ADM-M)</c:v>
                </c:pt>
              </c:strCache>
            </c:strRef>
          </c:cat>
          <c:val>
            <c:numRef>
              <c:f>'SUMMARY - Competency Matrix'!$J$106:$J$116</c:f>
              <c:numCache>
                <c:formatCode>General</c:formatCode>
                <c:ptCount val="10"/>
                <c:pt idx="0">
                  <c:v>0.57999999999999996</c:v>
                </c:pt>
                <c:pt idx="1">
                  <c:v>0.36</c:v>
                </c:pt>
                <c:pt idx="2">
                  <c:v>0.48</c:v>
                </c:pt>
                <c:pt idx="3">
                  <c:v>0.64</c:v>
                </c:pt>
                <c:pt idx="4">
                  <c:v>0.32</c:v>
                </c:pt>
                <c:pt idx="5">
                  <c:v>0.52</c:v>
                </c:pt>
                <c:pt idx="6">
                  <c:v>0.12</c:v>
                </c:pt>
                <c:pt idx="7">
                  <c:v>0.8</c:v>
                </c:pt>
                <c:pt idx="8">
                  <c:v>0.8</c:v>
                </c:pt>
                <c:pt idx="9">
                  <c:v>0.44</c:v>
                </c:pt>
              </c:numCache>
            </c:numRef>
          </c:val>
          <c:extLst>
            <c:ext xmlns:c16="http://schemas.microsoft.com/office/drawing/2014/chart" uri="{C3380CC4-5D6E-409C-BE32-E72D297353CC}">
              <c16:uniqueId val="{00000007-FBE4-4F89-8356-BAB2F5E43ED3}"/>
            </c:ext>
          </c:extLst>
        </c:ser>
        <c:ser>
          <c:idx val="8"/>
          <c:order val="8"/>
          <c:tx>
            <c:strRef>
              <c:f>'SUMMARY - Competency Matrix'!$K$103:$K$105</c:f>
              <c:strCache>
                <c:ptCount val="1"/>
                <c:pt idx="0">
                  <c:v>C4-S - Average of Delta</c:v>
                </c:pt>
              </c:strCache>
            </c:strRef>
          </c:tx>
          <c:spPr>
            <a:solidFill>
              <a:schemeClr val="accent3">
                <a:lumMod val="60000"/>
              </a:schemeClr>
            </a:solidFill>
            <a:ln>
              <a:noFill/>
            </a:ln>
            <a:effectLst/>
          </c:spPr>
          <c:invertIfNegative val="0"/>
          <c:cat>
            <c:strRef>
              <c:f>'SUMMARY - Competency Matrix'!$B$106:$B$116</c:f>
              <c:strCache>
                <c:ptCount val="10"/>
                <c:pt idx="0">
                  <c:v>Delivery &amp; Consulting</c:v>
                </c:pt>
                <c:pt idx="1">
                  <c:v>DQ-Specific Functional</c:v>
                </c:pt>
                <c:pt idx="2">
                  <c:v>DQ-Specific Technical</c:v>
                </c:pt>
                <c:pt idx="3">
                  <c:v>Squad-Cloud Data Quality</c:v>
                </c:pt>
                <c:pt idx="4">
                  <c:v>Squad-Dashboarding &amp; Analytics</c:v>
                </c:pt>
                <c:pt idx="5">
                  <c:v>Squad-Delivery Excellence</c:v>
                </c:pt>
                <c:pt idx="6">
                  <c:v>Squad-dqOps</c:v>
                </c:pt>
                <c:pt idx="7">
                  <c:v>Squad-Source Cleansing</c:v>
                </c:pt>
                <c:pt idx="8">
                  <c:v>Squad-Specialized and AI Driven</c:v>
                </c:pt>
                <c:pt idx="9">
                  <c:v>Syniti Platform: Technical (ADM-M)</c:v>
                </c:pt>
              </c:strCache>
            </c:strRef>
          </c:cat>
          <c:val>
            <c:numRef>
              <c:f>'SUMMARY - Competency Matrix'!$K$106:$K$116</c:f>
              <c:numCache>
                <c:formatCode>0.00</c:formatCode>
                <c:ptCount val="10"/>
                <c:pt idx="0">
                  <c:v>-0.82599999999999962</c:v>
                </c:pt>
                <c:pt idx="1">
                  <c:v>-0.20199999999999996</c:v>
                </c:pt>
                <c:pt idx="2">
                  <c:v>-0.3219999999999999</c:v>
                </c:pt>
                <c:pt idx="3">
                  <c:v>-1.8407999999999998</c:v>
                </c:pt>
                <c:pt idx="4">
                  <c:v>-0.16400000000000017</c:v>
                </c:pt>
                <c:pt idx="5">
                  <c:v>0.49480000000000002</c:v>
                </c:pt>
                <c:pt idx="6">
                  <c:v>-0.27720000000000022</c:v>
                </c:pt>
                <c:pt idx="7">
                  <c:v>-1.4899999999999998</c:v>
                </c:pt>
                <c:pt idx="8">
                  <c:v>1.0223999999999998</c:v>
                </c:pt>
                <c:pt idx="9">
                  <c:v>0.22800000000000004</c:v>
                </c:pt>
              </c:numCache>
            </c:numRef>
          </c:val>
          <c:extLst>
            <c:ext xmlns:c16="http://schemas.microsoft.com/office/drawing/2014/chart" uri="{C3380CC4-5D6E-409C-BE32-E72D297353CC}">
              <c16:uniqueId val="{00000008-FBE4-4F89-8356-BAB2F5E43ED3}"/>
            </c:ext>
          </c:extLst>
        </c:ser>
        <c:ser>
          <c:idx val="9"/>
          <c:order val="9"/>
          <c:tx>
            <c:strRef>
              <c:f>'SUMMARY - Competency Matrix'!$L$103:$L$105</c:f>
              <c:strCache>
                <c:ptCount val="1"/>
                <c:pt idx="0">
                  <c:v>C5-S - Average of AbsDelta</c:v>
                </c:pt>
              </c:strCache>
            </c:strRef>
          </c:tx>
          <c:spPr>
            <a:solidFill>
              <a:schemeClr val="accent4">
                <a:lumMod val="60000"/>
              </a:schemeClr>
            </a:solidFill>
            <a:ln>
              <a:noFill/>
            </a:ln>
            <a:effectLst/>
          </c:spPr>
          <c:invertIfNegative val="0"/>
          <c:cat>
            <c:strRef>
              <c:f>'SUMMARY - Competency Matrix'!$B$106:$B$116</c:f>
              <c:strCache>
                <c:ptCount val="10"/>
                <c:pt idx="0">
                  <c:v>Delivery &amp; Consulting</c:v>
                </c:pt>
                <c:pt idx="1">
                  <c:v>DQ-Specific Functional</c:v>
                </c:pt>
                <c:pt idx="2">
                  <c:v>DQ-Specific Technical</c:v>
                </c:pt>
                <c:pt idx="3">
                  <c:v>Squad-Cloud Data Quality</c:v>
                </c:pt>
                <c:pt idx="4">
                  <c:v>Squad-Dashboarding &amp; Analytics</c:v>
                </c:pt>
                <c:pt idx="5">
                  <c:v>Squad-Delivery Excellence</c:v>
                </c:pt>
                <c:pt idx="6">
                  <c:v>Squad-dqOps</c:v>
                </c:pt>
                <c:pt idx="7">
                  <c:v>Squad-Source Cleansing</c:v>
                </c:pt>
                <c:pt idx="8">
                  <c:v>Squad-Specialized and AI Driven</c:v>
                </c:pt>
                <c:pt idx="9">
                  <c:v>Syniti Platform: Technical (ADM-M)</c:v>
                </c:pt>
              </c:strCache>
            </c:strRef>
          </c:cat>
          <c:val>
            <c:numRef>
              <c:f>'SUMMARY - Competency Matrix'!$L$106:$L$116</c:f>
              <c:numCache>
                <c:formatCode>0.00</c:formatCode>
                <c:ptCount val="10"/>
                <c:pt idx="0">
                  <c:v>1.3299999999999996</c:v>
                </c:pt>
                <c:pt idx="1">
                  <c:v>1.2100000000000002</c:v>
                </c:pt>
                <c:pt idx="2">
                  <c:v>1.1379999999999999</c:v>
                </c:pt>
                <c:pt idx="3">
                  <c:v>1.45</c:v>
                </c:pt>
                <c:pt idx="4">
                  <c:v>3.25</c:v>
                </c:pt>
                <c:pt idx="5">
                  <c:v>0.68600000000000005</c:v>
                </c:pt>
                <c:pt idx="6">
                  <c:v>1.0980000000000001</c:v>
                </c:pt>
                <c:pt idx="7">
                  <c:v>1.05</c:v>
                </c:pt>
                <c:pt idx="8">
                  <c:v>4.05</c:v>
                </c:pt>
                <c:pt idx="9">
                  <c:v>0.69300000000000017</c:v>
                </c:pt>
              </c:numCache>
            </c:numRef>
          </c:val>
          <c:extLst>
            <c:ext xmlns:c16="http://schemas.microsoft.com/office/drawing/2014/chart" uri="{C3380CC4-5D6E-409C-BE32-E72D297353CC}">
              <c16:uniqueId val="{00000009-FBE4-4F89-8356-BAB2F5E43ED3}"/>
            </c:ext>
          </c:extLst>
        </c:ser>
        <c:ser>
          <c:idx val="10"/>
          <c:order val="10"/>
          <c:tx>
            <c:strRef>
              <c:f>'SUMMARY - Competency Matrix'!$M$103:$M$105</c:f>
              <c:strCache>
                <c:ptCount val="1"/>
                <c:pt idx="0">
                  <c:v>C5-S - Average of MaterialFlag</c:v>
                </c:pt>
              </c:strCache>
            </c:strRef>
          </c:tx>
          <c:spPr>
            <a:solidFill>
              <a:schemeClr val="accent5">
                <a:lumMod val="60000"/>
              </a:schemeClr>
            </a:solidFill>
            <a:ln>
              <a:noFill/>
            </a:ln>
            <a:effectLst/>
          </c:spPr>
          <c:invertIfNegative val="0"/>
          <c:cat>
            <c:strRef>
              <c:f>'SUMMARY - Competency Matrix'!$B$106:$B$116</c:f>
              <c:strCache>
                <c:ptCount val="10"/>
                <c:pt idx="0">
                  <c:v>Delivery &amp; Consulting</c:v>
                </c:pt>
                <c:pt idx="1">
                  <c:v>DQ-Specific Functional</c:v>
                </c:pt>
                <c:pt idx="2">
                  <c:v>DQ-Specific Technical</c:v>
                </c:pt>
                <c:pt idx="3">
                  <c:v>Squad-Cloud Data Quality</c:v>
                </c:pt>
                <c:pt idx="4">
                  <c:v>Squad-Dashboarding &amp; Analytics</c:v>
                </c:pt>
                <c:pt idx="5">
                  <c:v>Squad-Delivery Excellence</c:v>
                </c:pt>
                <c:pt idx="6">
                  <c:v>Squad-dqOps</c:v>
                </c:pt>
                <c:pt idx="7">
                  <c:v>Squad-Source Cleansing</c:v>
                </c:pt>
                <c:pt idx="8">
                  <c:v>Squad-Specialized and AI Driven</c:v>
                </c:pt>
                <c:pt idx="9">
                  <c:v>Syniti Platform: Technical (ADM-M)</c:v>
                </c:pt>
              </c:strCache>
            </c:strRef>
          </c:cat>
          <c:val>
            <c:numRef>
              <c:f>'SUMMARY - Competency Matrix'!$M$106:$M$116</c:f>
              <c:numCache>
                <c:formatCode>General</c:formatCode>
                <c:ptCount val="10"/>
                <c:pt idx="0">
                  <c:v>0.8</c:v>
                </c:pt>
                <c:pt idx="1">
                  <c:v>0.4</c:v>
                </c:pt>
                <c:pt idx="2">
                  <c:v>0.4</c:v>
                </c:pt>
                <c:pt idx="3">
                  <c:v>0.8</c:v>
                </c:pt>
                <c:pt idx="4">
                  <c:v>1</c:v>
                </c:pt>
                <c:pt idx="5">
                  <c:v>0</c:v>
                </c:pt>
                <c:pt idx="6">
                  <c:v>0.4</c:v>
                </c:pt>
                <c:pt idx="7">
                  <c:v>1</c:v>
                </c:pt>
                <c:pt idx="8">
                  <c:v>1</c:v>
                </c:pt>
                <c:pt idx="9">
                  <c:v>0.3</c:v>
                </c:pt>
              </c:numCache>
            </c:numRef>
          </c:val>
          <c:extLst>
            <c:ext xmlns:c16="http://schemas.microsoft.com/office/drawing/2014/chart" uri="{C3380CC4-5D6E-409C-BE32-E72D297353CC}">
              <c16:uniqueId val="{0000000A-FBE4-4F89-8356-BAB2F5E43ED3}"/>
            </c:ext>
          </c:extLst>
        </c:ser>
        <c:ser>
          <c:idx val="11"/>
          <c:order val="11"/>
          <c:tx>
            <c:strRef>
              <c:f>'SUMMARY - Competency Matrix'!$N$103:$N$105</c:f>
              <c:strCache>
                <c:ptCount val="1"/>
                <c:pt idx="0">
                  <c:v>C5-S - Average of Delta</c:v>
                </c:pt>
              </c:strCache>
            </c:strRef>
          </c:tx>
          <c:spPr>
            <a:solidFill>
              <a:schemeClr val="accent6">
                <a:lumMod val="60000"/>
              </a:schemeClr>
            </a:solidFill>
            <a:ln>
              <a:noFill/>
            </a:ln>
            <a:effectLst/>
          </c:spPr>
          <c:invertIfNegative val="0"/>
          <c:cat>
            <c:strRef>
              <c:f>'SUMMARY - Competency Matrix'!$B$106:$B$116</c:f>
              <c:strCache>
                <c:ptCount val="10"/>
                <c:pt idx="0">
                  <c:v>Delivery &amp; Consulting</c:v>
                </c:pt>
                <c:pt idx="1">
                  <c:v>DQ-Specific Functional</c:v>
                </c:pt>
                <c:pt idx="2">
                  <c:v>DQ-Specific Technical</c:v>
                </c:pt>
                <c:pt idx="3">
                  <c:v>Squad-Cloud Data Quality</c:v>
                </c:pt>
                <c:pt idx="4">
                  <c:v>Squad-Dashboarding &amp; Analytics</c:v>
                </c:pt>
                <c:pt idx="5">
                  <c:v>Squad-Delivery Excellence</c:v>
                </c:pt>
                <c:pt idx="6">
                  <c:v>Squad-dqOps</c:v>
                </c:pt>
                <c:pt idx="7">
                  <c:v>Squad-Source Cleansing</c:v>
                </c:pt>
                <c:pt idx="8">
                  <c:v>Squad-Specialized and AI Driven</c:v>
                </c:pt>
                <c:pt idx="9">
                  <c:v>Syniti Platform: Technical (ADM-M)</c:v>
                </c:pt>
              </c:strCache>
            </c:strRef>
          </c:cat>
          <c:val>
            <c:numRef>
              <c:f>'SUMMARY - Competency Matrix'!$N$106:$N$116</c:f>
              <c:numCache>
                <c:formatCode>0.00</c:formatCode>
                <c:ptCount val="10"/>
                <c:pt idx="0">
                  <c:v>-1.3299999999999996</c:v>
                </c:pt>
                <c:pt idx="1">
                  <c:v>-1.2100000000000002</c:v>
                </c:pt>
                <c:pt idx="2">
                  <c:v>-0.31000000000000005</c:v>
                </c:pt>
                <c:pt idx="3">
                  <c:v>-1.45</c:v>
                </c:pt>
                <c:pt idx="4">
                  <c:v>-3.25</c:v>
                </c:pt>
                <c:pt idx="5">
                  <c:v>-0.6100000000000001</c:v>
                </c:pt>
                <c:pt idx="6">
                  <c:v>-1.0980000000000001</c:v>
                </c:pt>
                <c:pt idx="7">
                  <c:v>-1.05</c:v>
                </c:pt>
                <c:pt idx="8">
                  <c:v>-4.05</c:v>
                </c:pt>
                <c:pt idx="9">
                  <c:v>0.38299999999999995</c:v>
                </c:pt>
              </c:numCache>
            </c:numRef>
          </c:val>
          <c:extLst>
            <c:ext xmlns:c16="http://schemas.microsoft.com/office/drawing/2014/chart" uri="{C3380CC4-5D6E-409C-BE32-E72D297353CC}">
              <c16:uniqueId val="{0000000B-FBE4-4F89-8356-BAB2F5E43ED3}"/>
            </c:ext>
          </c:extLst>
        </c:ser>
        <c:ser>
          <c:idx val="12"/>
          <c:order val="12"/>
          <c:tx>
            <c:strRef>
              <c:f>'SUMMARY - Competency Matrix'!$O$103:$O$105</c:f>
              <c:strCache>
                <c:ptCount val="1"/>
                <c:pt idx="0">
                  <c:v>C6-M - Average of AbsDelta</c:v>
                </c:pt>
              </c:strCache>
            </c:strRef>
          </c:tx>
          <c:spPr>
            <a:solidFill>
              <a:schemeClr val="accent1">
                <a:lumMod val="80000"/>
                <a:lumOff val="20000"/>
              </a:schemeClr>
            </a:solidFill>
            <a:ln>
              <a:noFill/>
            </a:ln>
            <a:effectLst/>
          </c:spPr>
          <c:invertIfNegative val="0"/>
          <c:cat>
            <c:strRef>
              <c:f>'SUMMARY - Competency Matrix'!$B$106:$B$116</c:f>
              <c:strCache>
                <c:ptCount val="10"/>
                <c:pt idx="0">
                  <c:v>Delivery &amp; Consulting</c:v>
                </c:pt>
                <c:pt idx="1">
                  <c:v>DQ-Specific Functional</c:v>
                </c:pt>
                <c:pt idx="2">
                  <c:v>DQ-Specific Technical</c:v>
                </c:pt>
                <c:pt idx="3">
                  <c:v>Squad-Cloud Data Quality</c:v>
                </c:pt>
                <c:pt idx="4">
                  <c:v>Squad-Dashboarding &amp; Analytics</c:v>
                </c:pt>
                <c:pt idx="5">
                  <c:v>Squad-Delivery Excellence</c:v>
                </c:pt>
                <c:pt idx="6">
                  <c:v>Squad-dqOps</c:v>
                </c:pt>
                <c:pt idx="7">
                  <c:v>Squad-Source Cleansing</c:v>
                </c:pt>
                <c:pt idx="8">
                  <c:v>Squad-Specialized and AI Driven</c:v>
                </c:pt>
                <c:pt idx="9">
                  <c:v>Syniti Platform: Technical (ADM-M)</c:v>
                </c:pt>
              </c:strCache>
            </c:strRef>
          </c:cat>
          <c:val>
            <c:numRef>
              <c:f>'SUMMARY - Competency Matrix'!$O$106:$O$116</c:f>
              <c:numCache>
                <c:formatCode>0.00</c:formatCode>
                <c:ptCount val="10"/>
                <c:pt idx="0">
                  <c:v>0.85</c:v>
                </c:pt>
                <c:pt idx="1">
                  <c:v>0.43</c:v>
                </c:pt>
                <c:pt idx="2">
                  <c:v>1.5399999999999998</c:v>
                </c:pt>
                <c:pt idx="3">
                  <c:v>1.9300000000000002</c:v>
                </c:pt>
                <c:pt idx="4">
                  <c:v>3.7300000000000004</c:v>
                </c:pt>
                <c:pt idx="5">
                  <c:v>0.15799999999999992</c:v>
                </c:pt>
                <c:pt idx="6">
                  <c:v>1.0980000000000001</c:v>
                </c:pt>
                <c:pt idx="7">
                  <c:v>1.53</c:v>
                </c:pt>
                <c:pt idx="8">
                  <c:v>4.53</c:v>
                </c:pt>
                <c:pt idx="9">
                  <c:v>1.3</c:v>
                </c:pt>
              </c:numCache>
            </c:numRef>
          </c:val>
          <c:extLst>
            <c:ext xmlns:c16="http://schemas.microsoft.com/office/drawing/2014/chart" uri="{C3380CC4-5D6E-409C-BE32-E72D297353CC}">
              <c16:uniqueId val="{0000000C-FBE4-4F89-8356-BAB2F5E43ED3}"/>
            </c:ext>
          </c:extLst>
        </c:ser>
        <c:ser>
          <c:idx val="13"/>
          <c:order val="13"/>
          <c:tx>
            <c:strRef>
              <c:f>'SUMMARY - Competency Matrix'!$P$103:$P$105</c:f>
              <c:strCache>
                <c:ptCount val="1"/>
                <c:pt idx="0">
                  <c:v>C6-M - Average of MaterialFlag</c:v>
                </c:pt>
              </c:strCache>
            </c:strRef>
          </c:tx>
          <c:spPr>
            <a:solidFill>
              <a:schemeClr val="accent2">
                <a:lumMod val="80000"/>
                <a:lumOff val="20000"/>
              </a:schemeClr>
            </a:solidFill>
            <a:ln>
              <a:noFill/>
            </a:ln>
            <a:effectLst/>
          </c:spPr>
          <c:invertIfNegative val="0"/>
          <c:cat>
            <c:strRef>
              <c:f>'SUMMARY - Competency Matrix'!$B$106:$B$116</c:f>
              <c:strCache>
                <c:ptCount val="10"/>
                <c:pt idx="0">
                  <c:v>Delivery &amp; Consulting</c:v>
                </c:pt>
                <c:pt idx="1">
                  <c:v>DQ-Specific Functional</c:v>
                </c:pt>
                <c:pt idx="2">
                  <c:v>DQ-Specific Technical</c:v>
                </c:pt>
                <c:pt idx="3">
                  <c:v>Squad-Cloud Data Quality</c:v>
                </c:pt>
                <c:pt idx="4">
                  <c:v>Squad-Dashboarding &amp; Analytics</c:v>
                </c:pt>
                <c:pt idx="5">
                  <c:v>Squad-Delivery Excellence</c:v>
                </c:pt>
                <c:pt idx="6">
                  <c:v>Squad-dqOps</c:v>
                </c:pt>
                <c:pt idx="7">
                  <c:v>Squad-Source Cleansing</c:v>
                </c:pt>
                <c:pt idx="8">
                  <c:v>Squad-Specialized and AI Driven</c:v>
                </c:pt>
                <c:pt idx="9">
                  <c:v>Syniti Platform: Technical (ADM-M)</c:v>
                </c:pt>
              </c:strCache>
            </c:strRef>
          </c:cat>
          <c:val>
            <c:numRef>
              <c:f>'SUMMARY - Competency Matrix'!$P$106:$P$116</c:f>
              <c:numCache>
                <c:formatCode>General</c:formatCode>
                <c:ptCount val="10"/>
                <c:pt idx="0">
                  <c:v>0.8</c:v>
                </c:pt>
                <c:pt idx="1">
                  <c:v>0</c:v>
                </c:pt>
                <c:pt idx="2">
                  <c:v>0.6</c:v>
                </c:pt>
                <c:pt idx="3">
                  <c:v>0.8</c:v>
                </c:pt>
                <c:pt idx="4">
                  <c:v>1</c:v>
                </c:pt>
                <c:pt idx="5">
                  <c:v>0</c:v>
                </c:pt>
                <c:pt idx="6">
                  <c:v>0.4</c:v>
                </c:pt>
                <c:pt idx="7">
                  <c:v>1</c:v>
                </c:pt>
                <c:pt idx="8">
                  <c:v>1</c:v>
                </c:pt>
                <c:pt idx="9">
                  <c:v>1</c:v>
                </c:pt>
              </c:numCache>
            </c:numRef>
          </c:val>
          <c:extLst>
            <c:ext xmlns:c16="http://schemas.microsoft.com/office/drawing/2014/chart" uri="{C3380CC4-5D6E-409C-BE32-E72D297353CC}">
              <c16:uniqueId val="{0000000D-FBE4-4F89-8356-BAB2F5E43ED3}"/>
            </c:ext>
          </c:extLst>
        </c:ser>
        <c:ser>
          <c:idx val="14"/>
          <c:order val="14"/>
          <c:tx>
            <c:strRef>
              <c:f>'SUMMARY - Competency Matrix'!$Q$103:$Q$105</c:f>
              <c:strCache>
                <c:ptCount val="1"/>
                <c:pt idx="0">
                  <c:v>C6-M - Average of Delta</c:v>
                </c:pt>
              </c:strCache>
            </c:strRef>
          </c:tx>
          <c:spPr>
            <a:solidFill>
              <a:schemeClr val="accent3">
                <a:lumMod val="80000"/>
                <a:lumOff val="20000"/>
              </a:schemeClr>
            </a:solidFill>
            <a:ln>
              <a:noFill/>
            </a:ln>
            <a:effectLst/>
          </c:spPr>
          <c:invertIfNegative val="0"/>
          <c:cat>
            <c:strRef>
              <c:f>'SUMMARY - Competency Matrix'!$B$106:$B$116</c:f>
              <c:strCache>
                <c:ptCount val="10"/>
                <c:pt idx="0">
                  <c:v>Delivery &amp; Consulting</c:v>
                </c:pt>
                <c:pt idx="1">
                  <c:v>DQ-Specific Functional</c:v>
                </c:pt>
                <c:pt idx="2">
                  <c:v>DQ-Specific Technical</c:v>
                </c:pt>
                <c:pt idx="3">
                  <c:v>Squad-Cloud Data Quality</c:v>
                </c:pt>
                <c:pt idx="4">
                  <c:v>Squad-Dashboarding &amp; Analytics</c:v>
                </c:pt>
                <c:pt idx="5">
                  <c:v>Squad-Delivery Excellence</c:v>
                </c:pt>
                <c:pt idx="6">
                  <c:v>Squad-dqOps</c:v>
                </c:pt>
                <c:pt idx="7">
                  <c:v>Squad-Source Cleansing</c:v>
                </c:pt>
                <c:pt idx="8">
                  <c:v>Squad-Specialized and AI Driven</c:v>
                </c:pt>
                <c:pt idx="9">
                  <c:v>Syniti Platform: Technical (ADM-M)</c:v>
                </c:pt>
              </c:strCache>
            </c:strRef>
          </c:cat>
          <c:val>
            <c:numRef>
              <c:f>'SUMMARY - Competency Matrix'!$Q$106:$Q$116</c:f>
              <c:numCache>
                <c:formatCode>0.00</c:formatCode>
                <c:ptCount val="10"/>
                <c:pt idx="0">
                  <c:v>-0.85</c:v>
                </c:pt>
                <c:pt idx="1">
                  <c:v>-0.25000000000000011</c:v>
                </c:pt>
                <c:pt idx="2">
                  <c:v>0.8600000000000001</c:v>
                </c:pt>
                <c:pt idx="3">
                  <c:v>-1.9300000000000002</c:v>
                </c:pt>
                <c:pt idx="4">
                  <c:v>-3.7300000000000004</c:v>
                </c:pt>
                <c:pt idx="5">
                  <c:v>0.15799999999999992</c:v>
                </c:pt>
                <c:pt idx="6">
                  <c:v>-1.0980000000000001</c:v>
                </c:pt>
                <c:pt idx="7">
                  <c:v>-1.53</c:v>
                </c:pt>
                <c:pt idx="8">
                  <c:v>-4.53</c:v>
                </c:pt>
                <c:pt idx="9">
                  <c:v>1.3</c:v>
                </c:pt>
              </c:numCache>
            </c:numRef>
          </c:val>
          <c:extLst>
            <c:ext xmlns:c16="http://schemas.microsoft.com/office/drawing/2014/chart" uri="{C3380CC4-5D6E-409C-BE32-E72D297353CC}">
              <c16:uniqueId val="{0000000E-FBE4-4F89-8356-BAB2F5E43ED3}"/>
            </c:ext>
          </c:extLst>
        </c:ser>
        <c:ser>
          <c:idx val="15"/>
          <c:order val="15"/>
          <c:tx>
            <c:strRef>
              <c:f>'SUMMARY - Competency Matrix'!$R$103:$R$105</c:f>
              <c:strCache>
                <c:ptCount val="1"/>
                <c:pt idx="0">
                  <c:v>C6-S - Average of AbsDelta</c:v>
                </c:pt>
              </c:strCache>
            </c:strRef>
          </c:tx>
          <c:spPr>
            <a:solidFill>
              <a:schemeClr val="accent4">
                <a:lumMod val="80000"/>
                <a:lumOff val="20000"/>
              </a:schemeClr>
            </a:solidFill>
            <a:ln>
              <a:noFill/>
            </a:ln>
            <a:effectLst/>
          </c:spPr>
          <c:invertIfNegative val="0"/>
          <c:cat>
            <c:strRef>
              <c:f>'SUMMARY - Competency Matrix'!$B$106:$B$116</c:f>
              <c:strCache>
                <c:ptCount val="10"/>
                <c:pt idx="0">
                  <c:v>Delivery &amp; Consulting</c:v>
                </c:pt>
                <c:pt idx="1">
                  <c:v>DQ-Specific Functional</c:v>
                </c:pt>
                <c:pt idx="2">
                  <c:v>DQ-Specific Technical</c:v>
                </c:pt>
                <c:pt idx="3">
                  <c:v>Squad-Cloud Data Quality</c:v>
                </c:pt>
                <c:pt idx="4">
                  <c:v>Squad-Dashboarding &amp; Analytics</c:v>
                </c:pt>
                <c:pt idx="5">
                  <c:v>Squad-Delivery Excellence</c:v>
                </c:pt>
                <c:pt idx="6">
                  <c:v>Squad-dqOps</c:v>
                </c:pt>
                <c:pt idx="7">
                  <c:v>Squad-Source Cleansing</c:v>
                </c:pt>
                <c:pt idx="8">
                  <c:v>Squad-Specialized and AI Driven</c:v>
                </c:pt>
                <c:pt idx="9">
                  <c:v>Syniti Platform: Technical (ADM-M)</c:v>
                </c:pt>
              </c:strCache>
            </c:strRef>
          </c:cat>
          <c:val>
            <c:numRef>
              <c:f>'SUMMARY - Competency Matrix'!$R$106:$R$116</c:f>
              <c:numCache>
                <c:formatCode>0.00</c:formatCode>
                <c:ptCount val="10"/>
                <c:pt idx="0">
                  <c:v>1.3299999999999996</c:v>
                </c:pt>
                <c:pt idx="1">
                  <c:v>1.2100000000000002</c:v>
                </c:pt>
                <c:pt idx="2">
                  <c:v>1.1379999999999999</c:v>
                </c:pt>
                <c:pt idx="3">
                  <c:v>1.9300000000000002</c:v>
                </c:pt>
                <c:pt idx="4">
                  <c:v>3.7300000000000004</c:v>
                </c:pt>
                <c:pt idx="5">
                  <c:v>0.68600000000000005</c:v>
                </c:pt>
                <c:pt idx="6">
                  <c:v>1.0980000000000001</c:v>
                </c:pt>
                <c:pt idx="7">
                  <c:v>1.53</c:v>
                </c:pt>
                <c:pt idx="8">
                  <c:v>4.53</c:v>
                </c:pt>
                <c:pt idx="9">
                  <c:v>0.69300000000000017</c:v>
                </c:pt>
              </c:numCache>
            </c:numRef>
          </c:val>
          <c:extLst>
            <c:ext xmlns:c16="http://schemas.microsoft.com/office/drawing/2014/chart" uri="{C3380CC4-5D6E-409C-BE32-E72D297353CC}">
              <c16:uniqueId val="{0000000F-FBE4-4F89-8356-BAB2F5E43ED3}"/>
            </c:ext>
          </c:extLst>
        </c:ser>
        <c:ser>
          <c:idx val="16"/>
          <c:order val="16"/>
          <c:tx>
            <c:strRef>
              <c:f>'SUMMARY - Competency Matrix'!$S$103:$S$105</c:f>
              <c:strCache>
                <c:ptCount val="1"/>
                <c:pt idx="0">
                  <c:v>C6-S - Average of MaterialFlag</c:v>
                </c:pt>
              </c:strCache>
            </c:strRef>
          </c:tx>
          <c:spPr>
            <a:solidFill>
              <a:schemeClr val="accent5">
                <a:lumMod val="80000"/>
                <a:lumOff val="20000"/>
              </a:schemeClr>
            </a:solidFill>
            <a:ln>
              <a:noFill/>
            </a:ln>
            <a:effectLst/>
          </c:spPr>
          <c:invertIfNegative val="0"/>
          <c:cat>
            <c:strRef>
              <c:f>'SUMMARY - Competency Matrix'!$B$106:$B$116</c:f>
              <c:strCache>
                <c:ptCount val="10"/>
                <c:pt idx="0">
                  <c:v>Delivery &amp; Consulting</c:v>
                </c:pt>
                <c:pt idx="1">
                  <c:v>DQ-Specific Functional</c:v>
                </c:pt>
                <c:pt idx="2">
                  <c:v>DQ-Specific Technical</c:v>
                </c:pt>
                <c:pt idx="3">
                  <c:v>Squad-Cloud Data Quality</c:v>
                </c:pt>
                <c:pt idx="4">
                  <c:v>Squad-Dashboarding &amp; Analytics</c:v>
                </c:pt>
                <c:pt idx="5">
                  <c:v>Squad-Delivery Excellence</c:v>
                </c:pt>
                <c:pt idx="6">
                  <c:v>Squad-dqOps</c:v>
                </c:pt>
                <c:pt idx="7">
                  <c:v>Squad-Source Cleansing</c:v>
                </c:pt>
                <c:pt idx="8">
                  <c:v>Squad-Specialized and AI Driven</c:v>
                </c:pt>
                <c:pt idx="9">
                  <c:v>Syniti Platform: Technical (ADM-M)</c:v>
                </c:pt>
              </c:strCache>
            </c:strRef>
          </c:cat>
          <c:val>
            <c:numRef>
              <c:f>'SUMMARY - Competency Matrix'!$S$106:$S$116</c:f>
              <c:numCache>
                <c:formatCode>General</c:formatCode>
                <c:ptCount val="10"/>
                <c:pt idx="0">
                  <c:v>0.8</c:v>
                </c:pt>
                <c:pt idx="1">
                  <c:v>0.4</c:v>
                </c:pt>
                <c:pt idx="2">
                  <c:v>0.4</c:v>
                </c:pt>
                <c:pt idx="3">
                  <c:v>0.8</c:v>
                </c:pt>
                <c:pt idx="4">
                  <c:v>1</c:v>
                </c:pt>
                <c:pt idx="5">
                  <c:v>0</c:v>
                </c:pt>
                <c:pt idx="6">
                  <c:v>0.4</c:v>
                </c:pt>
                <c:pt idx="7">
                  <c:v>1</c:v>
                </c:pt>
                <c:pt idx="8">
                  <c:v>1</c:v>
                </c:pt>
                <c:pt idx="9">
                  <c:v>0.3</c:v>
                </c:pt>
              </c:numCache>
            </c:numRef>
          </c:val>
          <c:extLst>
            <c:ext xmlns:c16="http://schemas.microsoft.com/office/drawing/2014/chart" uri="{C3380CC4-5D6E-409C-BE32-E72D297353CC}">
              <c16:uniqueId val="{00000010-FBE4-4F89-8356-BAB2F5E43ED3}"/>
            </c:ext>
          </c:extLst>
        </c:ser>
        <c:ser>
          <c:idx val="17"/>
          <c:order val="17"/>
          <c:tx>
            <c:strRef>
              <c:f>'SUMMARY - Competency Matrix'!$T$103:$T$105</c:f>
              <c:strCache>
                <c:ptCount val="1"/>
                <c:pt idx="0">
                  <c:v>C6-S - Average of Delta</c:v>
                </c:pt>
              </c:strCache>
            </c:strRef>
          </c:tx>
          <c:spPr>
            <a:solidFill>
              <a:schemeClr val="accent6">
                <a:lumMod val="80000"/>
                <a:lumOff val="20000"/>
              </a:schemeClr>
            </a:solidFill>
            <a:ln>
              <a:noFill/>
            </a:ln>
            <a:effectLst/>
          </c:spPr>
          <c:invertIfNegative val="0"/>
          <c:cat>
            <c:strRef>
              <c:f>'SUMMARY - Competency Matrix'!$B$106:$B$116</c:f>
              <c:strCache>
                <c:ptCount val="10"/>
                <c:pt idx="0">
                  <c:v>Delivery &amp; Consulting</c:v>
                </c:pt>
                <c:pt idx="1">
                  <c:v>DQ-Specific Functional</c:v>
                </c:pt>
                <c:pt idx="2">
                  <c:v>DQ-Specific Technical</c:v>
                </c:pt>
                <c:pt idx="3">
                  <c:v>Squad-Cloud Data Quality</c:v>
                </c:pt>
                <c:pt idx="4">
                  <c:v>Squad-Dashboarding &amp; Analytics</c:v>
                </c:pt>
                <c:pt idx="5">
                  <c:v>Squad-Delivery Excellence</c:v>
                </c:pt>
                <c:pt idx="6">
                  <c:v>Squad-dqOps</c:v>
                </c:pt>
                <c:pt idx="7">
                  <c:v>Squad-Source Cleansing</c:v>
                </c:pt>
                <c:pt idx="8">
                  <c:v>Squad-Specialized and AI Driven</c:v>
                </c:pt>
                <c:pt idx="9">
                  <c:v>Syniti Platform: Technical (ADM-M)</c:v>
                </c:pt>
              </c:strCache>
            </c:strRef>
          </c:cat>
          <c:val>
            <c:numRef>
              <c:f>'SUMMARY - Competency Matrix'!$T$106:$T$116</c:f>
              <c:numCache>
                <c:formatCode>0.00</c:formatCode>
                <c:ptCount val="10"/>
                <c:pt idx="0">
                  <c:v>-1.3299999999999996</c:v>
                </c:pt>
                <c:pt idx="1">
                  <c:v>-1.2100000000000002</c:v>
                </c:pt>
                <c:pt idx="2">
                  <c:v>-0.31000000000000005</c:v>
                </c:pt>
                <c:pt idx="3">
                  <c:v>-1.9300000000000002</c:v>
                </c:pt>
                <c:pt idx="4">
                  <c:v>-3.7300000000000004</c:v>
                </c:pt>
                <c:pt idx="5">
                  <c:v>-0.6100000000000001</c:v>
                </c:pt>
                <c:pt idx="6">
                  <c:v>-1.0980000000000001</c:v>
                </c:pt>
                <c:pt idx="7">
                  <c:v>-1.53</c:v>
                </c:pt>
                <c:pt idx="8">
                  <c:v>-4.53</c:v>
                </c:pt>
                <c:pt idx="9">
                  <c:v>0.38299999999999995</c:v>
                </c:pt>
              </c:numCache>
            </c:numRef>
          </c:val>
          <c:extLst>
            <c:ext xmlns:c16="http://schemas.microsoft.com/office/drawing/2014/chart" uri="{C3380CC4-5D6E-409C-BE32-E72D297353CC}">
              <c16:uniqueId val="{00000011-FBE4-4F89-8356-BAB2F5E43ED3}"/>
            </c:ext>
          </c:extLst>
        </c:ser>
        <c:dLbls>
          <c:showLegendKey val="0"/>
          <c:showVal val="0"/>
          <c:showCatName val="0"/>
          <c:showSerName val="0"/>
          <c:showPercent val="0"/>
          <c:showBubbleSize val="0"/>
        </c:dLbls>
        <c:gapWidth val="150"/>
        <c:overlap val="100"/>
        <c:axId val="171064719"/>
        <c:axId val="171063279"/>
      </c:barChart>
      <c:catAx>
        <c:axId val="1710647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063279"/>
        <c:crosses val="autoZero"/>
        <c:auto val="1"/>
        <c:lblAlgn val="ctr"/>
        <c:lblOffset val="100"/>
        <c:noMultiLvlLbl val="0"/>
      </c:catAx>
      <c:valAx>
        <c:axId val="171063279"/>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0647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[EMEA DQ Discipline - Common Competency Matrix.xlsm]SUMMARY - Competency Matrix!PivotTable4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Difference from Expectation by</a:t>
            </a:r>
            <a:r>
              <a:rPr lang="en-GB" baseline="0"/>
              <a:t> Competancy Area - (Aiming for less Red and More Green)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'SUMMARY - Competency Matrix'!$X$6:$X$7</c:f>
              <c:strCache>
                <c:ptCount val="1"/>
                <c:pt idx="0">
                  <c:v>-1</c:v>
                </c:pt>
              </c:strCache>
            </c:strRef>
          </c:tx>
          <c:spPr>
            <a:solidFill>
              <a:schemeClr val="accent1"/>
            </a:solidFill>
            <a:ln>
              <a:noFill/>
            </a:ln>
            <a:effectLst/>
          </c:spPr>
          <c:invertIfNegative val="0"/>
          <c:cat>
            <c:strRef>
              <c:f>'SUMMARY - Competency Matrix'!$W$8:$W$21</c:f>
              <c:strCache>
                <c:ptCount val="13"/>
                <c:pt idx="0">
                  <c:v>Delivery &amp; Consulting</c:v>
                </c:pt>
                <c:pt idx="1">
                  <c:v>DQ-Specific Functional</c:v>
                </c:pt>
                <c:pt idx="2">
                  <c:v>DQ-Specific Technical</c:v>
                </c:pt>
                <c:pt idx="3">
                  <c:v>SAP Data Functional</c:v>
                </c:pt>
                <c:pt idx="4">
                  <c:v>Squad-Cloud Data Quality</c:v>
                </c:pt>
                <c:pt idx="5">
                  <c:v>Squad-Dashboarding &amp; Analytics</c:v>
                </c:pt>
                <c:pt idx="6">
                  <c:v>Squad-Delivery Excellence</c:v>
                </c:pt>
                <c:pt idx="7">
                  <c:v>Squad-dqOps</c:v>
                </c:pt>
                <c:pt idx="8">
                  <c:v>Squad-Harmonization</c:v>
                </c:pt>
                <c:pt idx="9">
                  <c:v>Squad-Source Cleansing</c:v>
                </c:pt>
                <c:pt idx="10">
                  <c:v>Squad-Specialized and AI Driven</c:v>
                </c:pt>
                <c:pt idx="11">
                  <c:v>Syniti Platform: Technical (ADM)</c:v>
                </c:pt>
                <c:pt idx="12">
                  <c:v>Syniti Platform: Technical (ADM-M)</c:v>
                </c:pt>
              </c:strCache>
            </c:strRef>
          </c:cat>
          <c:val>
            <c:numRef>
              <c:f>'SUMMARY - Competency Matrix'!$X$8:$X$21</c:f>
              <c:numCache>
                <c:formatCode>0.00%</c:formatCode>
                <c:ptCount val="13"/>
                <c:pt idx="0">
                  <c:v>0.27647058823529413</c:v>
                </c:pt>
                <c:pt idx="1">
                  <c:v>0.12941176470588237</c:v>
                </c:pt>
                <c:pt idx="2">
                  <c:v>0.11764705882352941</c:v>
                </c:pt>
                <c:pt idx="3">
                  <c:v>4.7058823529411764E-2</c:v>
                </c:pt>
                <c:pt idx="4">
                  <c:v>0.16470588235294117</c:v>
                </c:pt>
                <c:pt idx="5">
                  <c:v>0</c:v>
                </c:pt>
                <c:pt idx="6">
                  <c:v>0.11764705882352941</c:v>
                </c:pt>
                <c:pt idx="7">
                  <c:v>0.18823529411764706</c:v>
                </c:pt>
                <c:pt idx="8">
                  <c:v>0.18823529411764706</c:v>
                </c:pt>
                <c:pt idx="9">
                  <c:v>0.50588235294117645</c:v>
                </c:pt>
                <c:pt idx="10">
                  <c:v>0</c:v>
                </c:pt>
                <c:pt idx="11">
                  <c:v>3.5294117647058823E-2</c:v>
                </c:pt>
                <c:pt idx="12">
                  <c:v>7.0588235294117646E-2</c:v>
                </c:pt>
              </c:numCache>
            </c:numRef>
          </c:val>
          <c:extLst>
            <c:ext xmlns:c16="http://schemas.microsoft.com/office/drawing/2014/chart" uri="{C3380CC4-5D6E-409C-BE32-E72D297353CC}">
              <c16:uniqueId val="{00000000-04DB-4B87-9EEE-CD4F4483DF2C}"/>
            </c:ext>
          </c:extLst>
        </c:ser>
        <c:ser>
          <c:idx val="1"/>
          <c:order val="1"/>
          <c:tx>
            <c:strRef>
              <c:f>'SUMMARY - Competency Matrix'!$Y$6:$Y$7</c:f>
              <c:strCache>
                <c:ptCount val="1"/>
                <c:pt idx="0">
                  <c:v>0</c:v>
                </c:pt>
              </c:strCache>
            </c:strRef>
          </c:tx>
          <c:spPr>
            <a:solidFill>
              <a:schemeClr val="accent2"/>
            </a:solidFill>
            <a:ln>
              <a:noFill/>
            </a:ln>
            <a:effectLst/>
          </c:spPr>
          <c:invertIfNegative val="0"/>
          <c:cat>
            <c:strRef>
              <c:f>'SUMMARY - Competency Matrix'!$W$8:$W$21</c:f>
              <c:strCache>
                <c:ptCount val="13"/>
                <c:pt idx="0">
                  <c:v>Delivery &amp; Consulting</c:v>
                </c:pt>
                <c:pt idx="1">
                  <c:v>DQ-Specific Functional</c:v>
                </c:pt>
                <c:pt idx="2">
                  <c:v>DQ-Specific Technical</c:v>
                </c:pt>
                <c:pt idx="3">
                  <c:v>SAP Data Functional</c:v>
                </c:pt>
                <c:pt idx="4">
                  <c:v>Squad-Cloud Data Quality</c:v>
                </c:pt>
                <c:pt idx="5">
                  <c:v>Squad-Dashboarding &amp; Analytics</c:v>
                </c:pt>
                <c:pt idx="6">
                  <c:v>Squad-Delivery Excellence</c:v>
                </c:pt>
                <c:pt idx="7">
                  <c:v>Squad-dqOps</c:v>
                </c:pt>
                <c:pt idx="8">
                  <c:v>Squad-Harmonization</c:v>
                </c:pt>
                <c:pt idx="9">
                  <c:v>Squad-Source Cleansing</c:v>
                </c:pt>
                <c:pt idx="10">
                  <c:v>Squad-Specialized and AI Driven</c:v>
                </c:pt>
                <c:pt idx="11">
                  <c:v>Syniti Platform: Technical (ADM)</c:v>
                </c:pt>
                <c:pt idx="12">
                  <c:v>Syniti Platform: Technical (ADM-M)</c:v>
                </c:pt>
              </c:strCache>
            </c:strRef>
          </c:cat>
          <c:val>
            <c:numRef>
              <c:f>'SUMMARY - Competency Matrix'!$Y$8:$Y$21</c:f>
              <c:numCache>
                <c:formatCode>0.00%</c:formatCode>
                <c:ptCount val="13"/>
                <c:pt idx="0">
                  <c:v>0.66470588235294115</c:v>
                </c:pt>
                <c:pt idx="1">
                  <c:v>0.74117647058823533</c:v>
                </c:pt>
                <c:pt idx="2">
                  <c:v>0.71764705882352942</c:v>
                </c:pt>
                <c:pt idx="3">
                  <c:v>0.8</c:v>
                </c:pt>
                <c:pt idx="4">
                  <c:v>0.50588235294117645</c:v>
                </c:pt>
                <c:pt idx="5">
                  <c:v>0.37647058823529411</c:v>
                </c:pt>
                <c:pt idx="6">
                  <c:v>0.68235294117647061</c:v>
                </c:pt>
                <c:pt idx="7">
                  <c:v>0.77647058823529413</c:v>
                </c:pt>
                <c:pt idx="8">
                  <c:v>0.76470588235294112</c:v>
                </c:pt>
                <c:pt idx="9">
                  <c:v>0.49411764705882355</c:v>
                </c:pt>
                <c:pt idx="10">
                  <c:v>0.23529411764705882</c:v>
                </c:pt>
                <c:pt idx="11">
                  <c:v>0.8</c:v>
                </c:pt>
                <c:pt idx="12">
                  <c:v>0.6470588235294118</c:v>
                </c:pt>
              </c:numCache>
            </c:numRef>
          </c:val>
          <c:extLst>
            <c:ext xmlns:c16="http://schemas.microsoft.com/office/drawing/2014/chart" uri="{C3380CC4-5D6E-409C-BE32-E72D297353CC}">
              <c16:uniqueId val="{00000001-04DB-4B87-9EEE-CD4F4483DF2C}"/>
            </c:ext>
          </c:extLst>
        </c:ser>
        <c:ser>
          <c:idx val="2"/>
          <c:order val="2"/>
          <c:tx>
            <c:strRef>
              <c:f>'SUMMARY - Competency Matrix'!$Z$6:$Z$7</c:f>
              <c:strCache>
                <c:ptCount val="1"/>
                <c:pt idx="0">
                  <c:v>&gt;=+2</c:v>
                </c:pt>
              </c:strCache>
            </c:strRef>
          </c:tx>
          <c:spPr>
            <a:solidFill>
              <a:schemeClr val="accent3"/>
            </a:solidFill>
            <a:ln>
              <a:noFill/>
            </a:ln>
            <a:effectLst/>
          </c:spPr>
          <c:invertIfNegative val="0"/>
          <c:cat>
            <c:strRef>
              <c:f>'SUMMARY - Competency Matrix'!$W$8:$W$21</c:f>
              <c:strCache>
                <c:ptCount val="13"/>
                <c:pt idx="0">
                  <c:v>Delivery &amp; Consulting</c:v>
                </c:pt>
                <c:pt idx="1">
                  <c:v>DQ-Specific Functional</c:v>
                </c:pt>
                <c:pt idx="2">
                  <c:v>DQ-Specific Technical</c:v>
                </c:pt>
                <c:pt idx="3">
                  <c:v>SAP Data Functional</c:v>
                </c:pt>
                <c:pt idx="4">
                  <c:v>Squad-Cloud Data Quality</c:v>
                </c:pt>
                <c:pt idx="5">
                  <c:v>Squad-Dashboarding &amp; Analytics</c:v>
                </c:pt>
                <c:pt idx="6">
                  <c:v>Squad-Delivery Excellence</c:v>
                </c:pt>
                <c:pt idx="7">
                  <c:v>Squad-dqOps</c:v>
                </c:pt>
                <c:pt idx="8">
                  <c:v>Squad-Harmonization</c:v>
                </c:pt>
                <c:pt idx="9">
                  <c:v>Squad-Source Cleansing</c:v>
                </c:pt>
                <c:pt idx="10">
                  <c:v>Squad-Specialized and AI Driven</c:v>
                </c:pt>
                <c:pt idx="11">
                  <c:v>Syniti Platform: Technical (ADM)</c:v>
                </c:pt>
                <c:pt idx="12">
                  <c:v>Syniti Platform: Technical (ADM-M)</c:v>
                </c:pt>
              </c:strCache>
            </c:strRef>
          </c:cat>
          <c:val>
            <c:numRef>
              <c:f>'SUMMARY - Competency Matrix'!$Z$8:$Z$21</c:f>
              <c:numCache>
                <c:formatCode>0.00%</c:formatCode>
                <c:ptCount val="13"/>
                <c:pt idx="0">
                  <c:v>0</c:v>
                </c:pt>
                <c:pt idx="1">
                  <c:v>0</c:v>
                </c:pt>
                <c:pt idx="2">
                  <c:v>0.10588235294117647</c:v>
                </c:pt>
                <c:pt idx="3">
                  <c:v>0</c:v>
                </c:pt>
                <c:pt idx="4">
                  <c:v>0</c:v>
                </c:pt>
                <c:pt idx="5">
                  <c:v>3.5294117647058823E-2</c:v>
                </c:pt>
                <c:pt idx="6">
                  <c:v>1.1764705882352941E-2</c:v>
                </c:pt>
                <c:pt idx="7">
                  <c:v>0</c:v>
                </c:pt>
                <c:pt idx="8">
                  <c:v>0</c:v>
                </c:pt>
                <c:pt idx="9">
                  <c:v>0</c:v>
                </c:pt>
                <c:pt idx="10">
                  <c:v>0.17647058823529413</c:v>
                </c:pt>
                <c:pt idx="11">
                  <c:v>1.7647058823529412E-2</c:v>
                </c:pt>
                <c:pt idx="12">
                  <c:v>6.4705882352941183E-2</c:v>
                </c:pt>
              </c:numCache>
            </c:numRef>
          </c:val>
          <c:extLst>
            <c:ext xmlns:c16="http://schemas.microsoft.com/office/drawing/2014/chart" uri="{C3380CC4-5D6E-409C-BE32-E72D297353CC}">
              <c16:uniqueId val="{00000002-04DB-4B87-9EEE-CD4F4483DF2C}"/>
            </c:ext>
          </c:extLst>
        </c:ser>
        <c:ser>
          <c:idx val="3"/>
          <c:order val="3"/>
          <c:tx>
            <c:strRef>
              <c:f>'SUMMARY - Competency Matrix'!$AA$6:$AA$7</c:f>
              <c:strCache>
                <c:ptCount val="1"/>
                <c:pt idx="0">
                  <c:v>&lt;=-2</c:v>
                </c:pt>
              </c:strCache>
            </c:strRef>
          </c:tx>
          <c:spPr>
            <a:solidFill>
              <a:schemeClr val="accent4"/>
            </a:solidFill>
            <a:ln>
              <a:noFill/>
            </a:ln>
            <a:effectLst/>
          </c:spPr>
          <c:invertIfNegative val="0"/>
          <c:cat>
            <c:strRef>
              <c:f>'SUMMARY - Competency Matrix'!$W$8:$W$21</c:f>
              <c:strCache>
                <c:ptCount val="13"/>
                <c:pt idx="0">
                  <c:v>Delivery &amp; Consulting</c:v>
                </c:pt>
                <c:pt idx="1">
                  <c:v>DQ-Specific Functional</c:v>
                </c:pt>
                <c:pt idx="2">
                  <c:v>DQ-Specific Technical</c:v>
                </c:pt>
                <c:pt idx="3">
                  <c:v>SAP Data Functional</c:v>
                </c:pt>
                <c:pt idx="4">
                  <c:v>Squad-Cloud Data Quality</c:v>
                </c:pt>
                <c:pt idx="5">
                  <c:v>Squad-Dashboarding &amp; Analytics</c:v>
                </c:pt>
                <c:pt idx="6">
                  <c:v>Squad-Delivery Excellence</c:v>
                </c:pt>
                <c:pt idx="7">
                  <c:v>Squad-dqOps</c:v>
                </c:pt>
                <c:pt idx="8">
                  <c:v>Squad-Harmonization</c:v>
                </c:pt>
                <c:pt idx="9">
                  <c:v>Squad-Source Cleansing</c:v>
                </c:pt>
                <c:pt idx="10">
                  <c:v>Squad-Specialized and AI Driven</c:v>
                </c:pt>
                <c:pt idx="11">
                  <c:v>Syniti Platform: Technical (ADM)</c:v>
                </c:pt>
                <c:pt idx="12">
                  <c:v>Syniti Platform: Technical (ADM-M)</c:v>
                </c:pt>
              </c:strCache>
            </c:strRef>
          </c:cat>
          <c:val>
            <c:numRef>
              <c:f>'SUMMARY - Competency Matrix'!$AA$8:$AA$21</c:f>
              <c:numCache>
                <c:formatCode>0.00%</c:formatCode>
                <c:ptCount val="13"/>
                <c:pt idx="0">
                  <c:v>0</c:v>
                </c:pt>
                <c:pt idx="1">
                  <c:v>0</c:v>
                </c:pt>
                <c:pt idx="2">
                  <c:v>0</c:v>
                </c:pt>
                <c:pt idx="3">
                  <c:v>0</c:v>
                </c:pt>
                <c:pt idx="4">
                  <c:v>0.30588235294117649</c:v>
                </c:pt>
                <c:pt idx="5">
                  <c:v>0.58823529411764708</c:v>
                </c:pt>
                <c:pt idx="6">
                  <c:v>0</c:v>
                </c:pt>
                <c:pt idx="7">
                  <c:v>0</c:v>
                </c:pt>
                <c:pt idx="8">
                  <c:v>0</c:v>
                </c:pt>
                <c:pt idx="9">
                  <c:v>0</c:v>
                </c:pt>
                <c:pt idx="10">
                  <c:v>0.58823529411764708</c:v>
                </c:pt>
                <c:pt idx="11">
                  <c:v>0</c:v>
                </c:pt>
                <c:pt idx="12">
                  <c:v>0</c:v>
                </c:pt>
              </c:numCache>
            </c:numRef>
          </c:val>
          <c:extLst>
            <c:ext xmlns:c16="http://schemas.microsoft.com/office/drawing/2014/chart" uri="{C3380CC4-5D6E-409C-BE32-E72D297353CC}">
              <c16:uniqueId val="{00000006-04DB-4B87-9EEE-CD4F4483DF2C}"/>
            </c:ext>
          </c:extLst>
        </c:ser>
        <c:ser>
          <c:idx val="4"/>
          <c:order val="4"/>
          <c:tx>
            <c:strRef>
              <c:f>'SUMMARY - Competency Matrix'!$AB$6:$AB$7</c:f>
              <c:strCache>
                <c:ptCount val="1"/>
                <c:pt idx="0">
                  <c:v>+1</c:v>
                </c:pt>
              </c:strCache>
            </c:strRef>
          </c:tx>
          <c:spPr>
            <a:solidFill>
              <a:schemeClr val="accent5"/>
            </a:solidFill>
            <a:ln>
              <a:noFill/>
            </a:ln>
            <a:effectLst/>
          </c:spPr>
          <c:invertIfNegative val="0"/>
          <c:cat>
            <c:strRef>
              <c:f>'SUMMARY - Competency Matrix'!$W$8:$W$21</c:f>
              <c:strCache>
                <c:ptCount val="13"/>
                <c:pt idx="0">
                  <c:v>Delivery &amp; Consulting</c:v>
                </c:pt>
                <c:pt idx="1">
                  <c:v>DQ-Specific Functional</c:v>
                </c:pt>
                <c:pt idx="2">
                  <c:v>DQ-Specific Technical</c:v>
                </c:pt>
                <c:pt idx="3">
                  <c:v>SAP Data Functional</c:v>
                </c:pt>
                <c:pt idx="4">
                  <c:v>Squad-Cloud Data Quality</c:v>
                </c:pt>
                <c:pt idx="5">
                  <c:v>Squad-Dashboarding &amp; Analytics</c:v>
                </c:pt>
                <c:pt idx="6">
                  <c:v>Squad-Delivery Excellence</c:v>
                </c:pt>
                <c:pt idx="7">
                  <c:v>Squad-dqOps</c:v>
                </c:pt>
                <c:pt idx="8">
                  <c:v>Squad-Harmonization</c:v>
                </c:pt>
                <c:pt idx="9">
                  <c:v>Squad-Source Cleansing</c:v>
                </c:pt>
                <c:pt idx="10">
                  <c:v>Squad-Specialized and AI Driven</c:v>
                </c:pt>
                <c:pt idx="11">
                  <c:v>Syniti Platform: Technical (ADM)</c:v>
                </c:pt>
                <c:pt idx="12">
                  <c:v>Syniti Platform: Technical (ADM-M)</c:v>
                </c:pt>
              </c:strCache>
            </c:strRef>
          </c:cat>
          <c:val>
            <c:numRef>
              <c:f>'SUMMARY - Competency Matrix'!$AB$8:$AB$21</c:f>
              <c:numCache>
                <c:formatCode>0.00%</c:formatCode>
                <c:ptCount val="13"/>
                <c:pt idx="0">
                  <c:v>5.8823529411764705E-2</c:v>
                </c:pt>
                <c:pt idx="1">
                  <c:v>0.12941176470588237</c:v>
                </c:pt>
                <c:pt idx="2">
                  <c:v>5.8823529411764705E-2</c:v>
                </c:pt>
                <c:pt idx="3">
                  <c:v>0.15294117647058825</c:v>
                </c:pt>
                <c:pt idx="4">
                  <c:v>2.3529411764705882E-2</c:v>
                </c:pt>
                <c:pt idx="5">
                  <c:v>0</c:v>
                </c:pt>
                <c:pt idx="6">
                  <c:v>0.18823529411764706</c:v>
                </c:pt>
                <c:pt idx="7">
                  <c:v>3.5294117647058823E-2</c:v>
                </c:pt>
                <c:pt idx="8">
                  <c:v>4.7058823529411764E-2</c:v>
                </c:pt>
                <c:pt idx="9">
                  <c:v>0</c:v>
                </c:pt>
                <c:pt idx="10">
                  <c:v>0</c:v>
                </c:pt>
                <c:pt idx="11">
                  <c:v>0.14705882352941177</c:v>
                </c:pt>
                <c:pt idx="12">
                  <c:v>0.21764705882352942</c:v>
                </c:pt>
              </c:numCache>
            </c:numRef>
          </c:val>
          <c:extLst>
            <c:ext xmlns:c16="http://schemas.microsoft.com/office/drawing/2014/chart" uri="{C3380CC4-5D6E-409C-BE32-E72D297353CC}">
              <c16:uniqueId val="{00000007-04DB-4B87-9EEE-CD4F4483DF2C}"/>
            </c:ext>
          </c:extLst>
        </c:ser>
        <c:dLbls>
          <c:showLegendKey val="0"/>
          <c:showVal val="0"/>
          <c:showCatName val="0"/>
          <c:showSerName val="0"/>
          <c:showPercent val="0"/>
          <c:showBubbleSize val="0"/>
        </c:dLbls>
        <c:gapWidth val="150"/>
        <c:overlap val="100"/>
        <c:axId val="387302560"/>
        <c:axId val="387319360"/>
      </c:barChart>
      <c:catAx>
        <c:axId val="387302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319360"/>
        <c:crosses val="autoZero"/>
        <c:auto val="1"/>
        <c:lblAlgn val="ctr"/>
        <c:lblOffset val="100"/>
        <c:noMultiLvlLbl val="0"/>
      </c:catAx>
      <c:valAx>
        <c:axId val="387319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30256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ocumenttasks/documenttask1.xml><?xml version="1.0" encoding="utf-8"?>
<Tasks xmlns="http://schemas.microsoft.com/office/tasks/2019/documenttasks">
  <Task id="{A309E76A-CE31-8E42-AD28-2CBD3E33FEFE}">
    <Anchor>
      <Comment id="{5A80C831-1B71-5443-B28A-159213221743}"/>
    </Anchor>
    <History>
      <Event time="2026-01-20T11:20:11.35" id="{22E0CB8B-B3A2-F84D-8116-5C3297297645}">
        <Attribution userId="S::Truwayne.Gordon@syniti.com::ee15688f-6fff-418c-991a-e2328dc1b31e" userName="Truwayne Gordon" userProvider="AD"/>
        <Anchor>
          <Comment id="{5A80C831-1B71-5443-B28A-159213221743}"/>
        </Anchor>
        <Create/>
      </Event>
      <Event time="2026-01-20T11:20:11.35" id="{7126BF3C-365C-8543-AA07-1CE23361EF39}">
        <Attribution userId="S::Truwayne.Gordon@syniti.com::ee15688f-6fff-418c-991a-e2328dc1b31e" userName="Truwayne Gordon" userProvider="AD"/>
        <Anchor>
          <Comment id="{5A80C831-1B71-5443-B28A-159213221743}"/>
        </Anchor>
        <Assign userId="S::alejandro.belloti@syniti.com::490f2471-27b4-451e-9176-f63e7d63032e" userName="Alejandro Belloti" userProvider="AD"/>
      </Event>
      <Event time="2026-01-20T11:20:11.35" id="{574F8F68-B470-D84E-88A1-8197EFFC5220}">
        <Attribution userId="S::Truwayne.Gordon@syniti.com::ee15688f-6fff-418c-991a-e2328dc1b31e" userName="Truwayne Gordon" userProvider="AD"/>
        <Anchor>
          <Comment id="{5A80C831-1B71-5443-B28A-159213221743}"/>
        </Anchor>
        <SetTitle title="@Alejandro Belloti@Gaurav Kalwani - please update competencies G26-G30 for all people not assigned to me"/>
      </Event>
    </History>
  </Task>
  <Task id="{3E607D9D-15CA-5C4A-82A1-6514A4058B58}">
    <Anchor>
      <Comment id="{615E6ED9-5AAE-D942-9560-251F5DB9FDAA}"/>
    </Anchor>
    <History>
      <Event time="2026-01-20T11:19:55.83" id="{3986F7A6-C904-FF4E-A111-AD326D05D0AE}">
        <Attribution userId="S::Truwayne.Gordon@syniti.com::ee15688f-6fff-418c-991a-e2328dc1b31e" userName="Truwayne Gordon" userProvider="AD"/>
        <Anchor>
          <Comment id="{615E6ED9-5AAE-D942-9560-251F5DB9FDAA}"/>
        </Anchor>
        <Create/>
      </Event>
      <Event time="2026-01-20T11:19:55.83" id="{91358C24-EB49-BE4D-AEB6-A26E62050A30}">
        <Attribution userId="S::Truwayne.Gordon@syniti.com::ee15688f-6fff-418c-991a-e2328dc1b31e" userName="Truwayne Gordon" userProvider="AD"/>
        <Anchor>
          <Comment id="{615E6ED9-5AAE-D942-9560-251F5DB9FDAA}"/>
        </Anchor>
        <Assign userId="S::gaurav.kalwani@syniti.com::dc2865b0-f30e-460b-9d59-73ad637e2566" userName="Gaurav Kalwani" userProvider="AD"/>
      </Event>
      <Event time="2026-01-20T11:19:55.83" id="{37C59662-8FA6-7546-952E-F3358F61910A}">
        <Attribution userId="S::Truwayne.Gordon@syniti.com::ee15688f-6fff-418c-991a-e2328dc1b31e" userName="Truwayne Gordon" userProvider="AD"/>
        <Anchor>
          <Comment id="{615E6ED9-5AAE-D942-9560-251F5DB9FDAA}"/>
        </Anchor>
        <SetTitle title="@Gaurav Kalwani - please update competencies G26-G30 for all people not assigned to me"/>
      </Event>
    </History>
  </Task>
  <Task id="{3AA6F0D5-8FC3-AB48-899E-8A7C88CE5A45}">
    <Anchor>
      <Comment id="{CCB8CFE3-874A-A549-8B30-9B5AC59CA736}"/>
    </Anchor>
    <History>
      <Event time="2026-01-20T11:21:00.38" id="{23AEC531-7322-314C-9070-A4B33076BC54}">
        <Attribution userId="S::Truwayne.Gordon@syniti.com::ee15688f-6fff-418c-991a-e2328dc1b31e" userName="Truwayne Gordon" userProvider="AD"/>
        <Anchor>
          <Comment id="{CCB8CFE3-874A-A549-8B30-9B5AC59CA736}"/>
        </Anchor>
        <Create/>
      </Event>
      <Event time="2026-01-20T11:21:00.38" id="{FA680FA8-12C7-D44D-BE75-1846A9AC8990}">
        <Attribution userId="S::Truwayne.Gordon@syniti.com::ee15688f-6fff-418c-991a-e2328dc1b31e" userName="Truwayne Gordon" userProvider="AD"/>
        <Anchor>
          <Comment id="{CCB8CFE3-874A-A549-8B30-9B5AC59CA736}"/>
        </Anchor>
        <Assign userId="S::Elisabet.Rovira@syniti.com::86b81c1b-7e3c-4eea-9a2c-8dd252629916" userName="Elisabet Rovira" userProvider="AD"/>
      </Event>
      <Event time="2026-01-20T11:21:00.38" id="{57B86C04-C863-6E44-B482-6C8BECBD6A36}">
        <Attribution userId="S::Truwayne.Gordon@syniti.com::ee15688f-6fff-418c-991a-e2328dc1b31e" userName="Truwayne Gordon" userProvider="AD"/>
        <Anchor>
          <Comment id="{CCB8CFE3-874A-A549-8B30-9B5AC59CA736}"/>
        </Anchor>
        <SetTitle title="@Elisabet Rovira please update competencies G16-G20 for all people not assigned to me"/>
      </Event>
    </History>
  </Task>
</Tasks>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23</xdr:col>
      <xdr:colOff>1144719</xdr:colOff>
      <xdr:row>101</xdr:row>
      <xdr:rowOff>227879</xdr:rowOff>
    </xdr:from>
    <xdr:to>
      <xdr:col>35</xdr:col>
      <xdr:colOff>626926</xdr:colOff>
      <xdr:row>174</xdr:row>
      <xdr:rowOff>143773</xdr:rowOff>
    </xdr:to>
    <xdr:graphicFrame macro="">
      <xdr:nvGraphicFramePr>
        <xdr:cNvPr id="2" name="Chart 1">
          <a:extLst>
            <a:ext uri="{FF2B5EF4-FFF2-40B4-BE49-F238E27FC236}">
              <a16:creationId xmlns:a16="http://schemas.microsoft.com/office/drawing/2014/main" id="{5D75BF9B-9C03-81D6-F870-ACA7110119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27102</xdr:colOff>
      <xdr:row>23</xdr:row>
      <xdr:rowOff>11568</xdr:rowOff>
    </xdr:from>
    <xdr:to>
      <xdr:col>11</xdr:col>
      <xdr:colOff>69273</xdr:colOff>
      <xdr:row>46</xdr:row>
      <xdr:rowOff>34637</xdr:rowOff>
    </xdr:to>
    <xdr:graphicFrame macro="">
      <xdr:nvGraphicFramePr>
        <xdr:cNvPr id="3" name="Chart 2">
          <a:extLst>
            <a:ext uri="{FF2B5EF4-FFF2-40B4-BE49-F238E27FC236}">
              <a16:creationId xmlns:a16="http://schemas.microsoft.com/office/drawing/2014/main" id="{2281AC02-7817-028D-9A27-45E3F6C0B5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1490134</xdr:colOff>
      <xdr:row>3</xdr:row>
      <xdr:rowOff>287867</xdr:rowOff>
    </xdr:from>
    <xdr:to>
      <xdr:col>7</xdr:col>
      <xdr:colOff>543984</xdr:colOff>
      <xdr:row>6</xdr:row>
      <xdr:rowOff>632883</xdr:rowOff>
    </xdr:to>
    <xdr:sp macro="" textlink="">
      <xdr:nvSpPr>
        <xdr:cNvPr id="2" name="Rounded Rectangle 1">
          <a:extLst>
            <a:ext uri="{FF2B5EF4-FFF2-40B4-BE49-F238E27FC236}">
              <a16:creationId xmlns:a16="http://schemas.microsoft.com/office/drawing/2014/main" id="{F9E63A0A-B5ED-5440-95B6-13D2D9880388}"/>
            </a:ext>
          </a:extLst>
        </xdr:cNvPr>
        <xdr:cNvSpPr/>
      </xdr:nvSpPr>
      <xdr:spPr>
        <a:xfrm>
          <a:off x="3649134" y="872067"/>
          <a:ext cx="3100917" cy="649816"/>
        </a:xfrm>
        <a:prstGeom prst="roundRect">
          <a:avLst/>
        </a:prstGeom>
        <a:solidFill>
          <a:srgbClr val="881A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Click on the competency</a:t>
          </a:r>
          <a:r>
            <a:rPr lang="en-US" sz="1100" baseline="0"/>
            <a:t> to view the Title and Description. Do Not Edit Please</a:t>
          </a:r>
          <a:endParaRPr lang="en-US" sz="1100"/>
        </a:p>
      </xdr:txBody>
    </xdr:sp>
    <xdr:clientData/>
  </xdr:twoCellAnchor>
  <xdr:twoCellAnchor>
    <xdr:from>
      <xdr:col>0</xdr:col>
      <xdr:colOff>228601</xdr:colOff>
      <xdr:row>1</xdr:row>
      <xdr:rowOff>16934</xdr:rowOff>
    </xdr:from>
    <xdr:to>
      <xdr:col>3</xdr:col>
      <xdr:colOff>1170518</xdr:colOff>
      <xdr:row>6</xdr:row>
      <xdr:rowOff>736600</xdr:rowOff>
    </xdr:to>
    <xdr:sp macro="" textlink="">
      <xdr:nvSpPr>
        <xdr:cNvPr id="3" name="Rounded Rectangle 2">
          <a:extLst>
            <a:ext uri="{FF2B5EF4-FFF2-40B4-BE49-F238E27FC236}">
              <a16:creationId xmlns:a16="http://schemas.microsoft.com/office/drawing/2014/main" id="{B0C65637-FD6A-7448-89D5-2849EEEC2CD9}"/>
            </a:ext>
          </a:extLst>
        </xdr:cNvPr>
        <xdr:cNvSpPr/>
      </xdr:nvSpPr>
      <xdr:spPr>
        <a:xfrm>
          <a:off x="228601" y="220134"/>
          <a:ext cx="3854450" cy="1405466"/>
        </a:xfrm>
        <a:prstGeom prst="roundRect">
          <a:avLst>
            <a:gd name="adj" fmla="val 11848"/>
          </a:avLst>
        </a:prstGeom>
        <a:solidFill>
          <a:srgbClr val="881A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b="1"/>
            <a:t>Instructions:</a:t>
          </a:r>
        </a:p>
        <a:p>
          <a:pPr algn="l"/>
          <a:r>
            <a:rPr lang="en-US" sz="800"/>
            <a:t>This sheet cannot be protected due to</a:t>
          </a:r>
          <a:r>
            <a:rPr lang="en-US" sz="800" baseline="0"/>
            <a:t> the VBA used.  Therefore, please edit only cells in Grey.  All others should NOTbe changed</a:t>
          </a:r>
        </a:p>
        <a:p>
          <a:pPr algn="l"/>
          <a:endParaRPr lang="en-US" sz="800" baseline="0"/>
        </a:p>
        <a:p>
          <a:pPr algn="l"/>
          <a:r>
            <a:rPr lang="en-US" sz="800" baseline="0"/>
            <a:t>Rating should be your best guess, but if not comfortable, please let it blank.</a:t>
          </a:r>
        </a:p>
        <a:p>
          <a:pPr algn="l"/>
          <a:r>
            <a:rPr lang="en-US" sz="800" baseline="0"/>
            <a:t>Rating is 1-5, and is not C-Level specific.  i.e. 5 would be a rating of highest competency individual we have today.  This will shift over time, where we have lower level instruments to "grade"</a:t>
          </a:r>
          <a:endParaRPr lang="en-US" sz="8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13</xdr:col>
      <xdr:colOff>1028700</xdr:colOff>
      <xdr:row>10</xdr:row>
      <xdr:rowOff>44450</xdr:rowOff>
    </xdr:from>
    <xdr:ext cx="2247900" cy="183640"/>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A68B7E8A-0679-1B47-8A7D-EBF528BEA6D4}"/>
                </a:ext>
              </a:extLst>
            </xdr:cNvPr>
            <xdr:cNvSpPr txBox="1"/>
          </xdr:nvSpPr>
          <xdr:spPr>
            <a:xfrm>
              <a:off x="5257800" y="3816350"/>
              <a:ext cx="2247900" cy="183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left"/>
                  </m:oMathParaPr>
                  <m:oMath xmlns:m="http://schemas.openxmlformats.org/officeDocument/2006/math">
                    <m:r>
                      <m:rPr>
                        <m:nor/>
                      </m:rPr>
                      <a:rPr lang="el-GR" sz="1200" b="0" i="0">
                        <a:solidFill>
                          <a:schemeClr val="tx1"/>
                        </a:solidFill>
                        <a:effectLst/>
                        <a:latin typeface="+mn-lt"/>
                        <a:ea typeface="+mn-ea"/>
                        <a:cs typeface="+mn-cs"/>
                      </a:rPr>
                      <m:t>1</m:t>
                    </m:r>
                    <m:r>
                      <m:rPr>
                        <m:nor/>
                      </m:rPr>
                      <a:rPr lang="en-US" sz="1200" b="0" i="0">
                        <a:solidFill>
                          <a:schemeClr val="tx1"/>
                        </a:solidFill>
                        <a:effectLst/>
                        <a:latin typeface="+mn-lt"/>
                        <a:ea typeface="+mn-ea"/>
                        <a:cs typeface="+mn-cs"/>
                      </a:rPr>
                      <m:t> </m:t>
                    </m:r>
                    <m:r>
                      <m:rPr>
                        <m:nor/>
                      </m:rPr>
                      <a:rPr lang="el-GR" sz="1200" b="0" i="0">
                        <a:solidFill>
                          <a:schemeClr val="tx1"/>
                        </a:solidFill>
                        <a:effectLst/>
                        <a:latin typeface="+mn-lt"/>
                        <a:ea typeface="+mn-ea"/>
                        <a:cs typeface="+mn-cs"/>
                      </a:rPr>
                      <m:t>+</m:t>
                    </m:r>
                    <m:r>
                      <m:rPr>
                        <m:nor/>
                      </m:rPr>
                      <a:rPr lang="en-US" sz="1200" b="0" i="0">
                        <a:solidFill>
                          <a:schemeClr val="tx1"/>
                        </a:solidFill>
                        <a:effectLst/>
                        <a:latin typeface="+mn-lt"/>
                        <a:ea typeface="+mn-ea"/>
                        <a:cs typeface="+mn-cs"/>
                      </a:rPr>
                      <m:t> </m:t>
                    </m:r>
                    <m:r>
                      <m:rPr>
                        <m:nor/>
                      </m:rPr>
                      <a:rPr lang="el-GR" sz="1200" b="0" i="1">
                        <a:solidFill>
                          <a:schemeClr val="tx1"/>
                        </a:solidFill>
                        <a:effectLst/>
                        <a:latin typeface="+mn-lt"/>
                        <a:ea typeface="+mn-ea"/>
                        <a:cs typeface="+mn-cs"/>
                      </a:rPr>
                      <m:t>α</m:t>
                    </m:r>
                    <m:r>
                      <m:rPr>
                        <m:nor/>
                      </m:rPr>
                      <a:rPr lang="en-US" sz="1200" b="0" i="1">
                        <a:solidFill>
                          <a:schemeClr val="tx1"/>
                        </a:solidFill>
                        <a:effectLst/>
                        <a:latin typeface="+mn-lt"/>
                        <a:ea typeface="+mn-ea"/>
                        <a:cs typeface="+mn-cs"/>
                      </a:rPr>
                      <m:t> </m:t>
                    </m:r>
                    <m:r>
                      <m:rPr>
                        <m:nor/>
                      </m:rPr>
                      <a:rPr lang="el-GR" sz="1200" b="0" i="0">
                        <a:solidFill>
                          <a:schemeClr val="tx1"/>
                        </a:solidFill>
                        <a:effectLst/>
                        <a:latin typeface="+mn-lt"/>
                        <a:ea typeface="+mn-ea"/>
                        <a:cs typeface="+mn-cs"/>
                      </a:rPr>
                      <m:t>×</m:t>
                    </m:r>
                    <m:r>
                      <m:rPr>
                        <m:nor/>
                      </m:rPr>
                      <a:rPr lang="en-US" sz="1200" b="0" i="0">
                        <a:solidFill>
                          <a:schemeClr val="tx1"/>
                        </a:solidFill>
                        <a:effectLst/>
                        <a:latin typeface="+mn-lt"/>
                        <a:ea typeface="+mn-ea"/>
                        <a:cs typeface="+mn-cs"/>
                      </a:rPr>
                      <m:t> </m:t>
                    </m:r>
                    <m:r>
                      <m:rPr>
                        <m:nor/>
                      </m:rPr>
                      <a:rPr lang="en-US" sz="1200" b="0" i="0">
                        <a:solidFill>
                          <a:schemeClr val="tx1"/>
                        </a:solidFill>
                        <a:effectLst/>
                        <a:latin typeface="+mn-lt"/>
                        <a:ea typeface="+mn-ea"/>
                        <a:cs typeface="+mn-cs"/>
                      </a:rPr>
                      <m:t>tanh</m:t>
                    </m:r>
                    <m:r>
                      <m:rPr>
                        <m:nor/>
                      </m:rPr>
                      <a:rPr lang="en-US" sz="1200" b="0" i="0">
                        <a:solidFill>
                          <a:schemeClr val="tx1"/>
                        </a:solidFill>
                        <a:effectLst/>
                        <a:latin typeface="+mn-lt"/>
                        <a:ea typeface="+mn-ea"/>
                        <a:cs typeface="+mn-cs"/>
                      </a:rPr>
                      <m:t>(</m:t>
                    </m:r>
                    <m:r>
                      <m:rPr>
                        <m:nor/>
                      </m:rPr>
                      <a:rPr lang="el-GR" sz="1200" b="0" i="1">
                        <a:solidFill>
                          <a:schemeClr val="tx1"/>
                        </a:solidFill>
                        <a:effectLst/>
                        <a:latin typeface="+mn-lt"/>
                        <a:ea typeface="+mn-ea"/>
                        <a:cs typeface="+mn-cs"/>
                      </a:rPr>
                      <m:t>β</m:t>
                    </m:r>
                    <m:r>
                      <m:rPr>
                        <m:nor/>
                      </m:rPr>
                      <a:rPr lang="el-GR" sz="1200" b="0" i="0">
                        <a:solidFill>
                          <a:schemeClr val="tx1"/>
                        </a:solidFill>
                        <a:effectLst/>
                        <a:latin typeface="+mn-lt"/>
                        <a:ea typeface="+mn-ea"/>
                        <a:cs typeface="+mn-cs"/>
                      </a:rPr>
                      <m:t>×</m:t>
                    </m:r>
                    <m:r>
                      <m:rPr>
                        <m:nor/>
                      </m:rPr>
                      <a:rPr lang="en-US" sz="1200" b="0" i="0">
                        <a:solidFill>
                          <a:schemeClr val="tx1"/>
                        </a:solidFill>
                        <a:effectLst/>
                        <a:latin typeface="+mn-lt"/>
                        <a:ea typeface="+mn-ea"/>
                        <a:cs typeface="+mn-cs"/>
                      </a:rPr>
                      <m:t>diff</m:t>
                    </m:r>
                    <m:r>
                      <m:rPr>
                        <m:nor/>
                      </m:rPr>
                      <a:rPr lang="en-US" sz="1200" b="0" i="0">
                        <a:solidFill>
                          <a:schemeClr val="tx1"/>
                        </a:solidFill>
                        <a:effectLst/>
                        <a:latin typeface="+mn-lt"/>
                        <a:ea typeface="+mn-ea"/>
                        <a:cs typeface="+mn-cs"/>
                      </a:rPr>
                      <m:t>)</m:t>
                    </m:r>
                  </m:oMath>
                </m:oMathPara>
              </a14:m>
              <a:endParaRPr lang="en-US" sz="1200"/>
            </a:p>
          </xdr:txBody>
        </xdr:sp>
      </mc:Choice>
      <mc:Fallback xmlns="">
        <xdr:sp macro="" textlink="">
          <xdr:nvSpPr>
            <xdr:cNvPr id="3" name="TextBox 2">
              <a:extLst>
                <a:ext uri="{FF2B5EF4-FFF2-40B4-BE49-F238E27FC236}">
                  <a16:creationId xmlns:a16="http://schemas.microsoft.com/office/drawing/2014/main" id="{A68B7E8A-0679-1B47-8A7D-EBF528BEA6D4}"/>
                </a:ext>
              </a:extLst>
            </xdr:cNvPr>
            <xdr:cNvSpPr txBox="1"/>
          </xdr:nvSpPr>
          <xdr:spPr>
            <a:xfrm>
              <a:off x="5257800" y="3816350"/>
              <a:ext cx="2247900" cy="183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l-GR" sz="1200" b="0" i="0">
                  <a:solidFill>
                    <a:schemeClr val="tx1"/>
                  </a:solidFill>
                  <a:effectLst/>
                  <a:latin typeface="Cambria Math" panose="02040503050406030204" pitchFamily="18" charset="0"/>
                  <a:ea typeface="+mn-ea"/>
                  <a:cs typeface="+mn-cs"/>
                </a:rPr>
                <a:t>"1</a:t>
              </a:r>
              <a:r>
                <a:rPr lang="en-US" sz="1200" b="0" i="0">
                  <a:solidFill>
                    <a:schemeClr val="tx1"/>
                  </a:solidFill>
                  <a:effectLst/>
                  <a:latin typeface="Cambria Math" panose="02040503050406030204" pitchFamily="18" charset="0"/>
                  <a:ea typeface="+mn-ea"/>
                  <a:cs typeface="+mn-cs"/>
                </a:rPr>
                <a:t> </a:t>
              </a:r>
              <a:r>
                <a:rPr lang="el-GR" sz="1200" b="0" i="0">
                  <a:solidFill>
                    <a:schemeClr val="tx1"/>
                  </a:solidFill>
                  <a:effectLst/>
                  <a:latin typeface="Cambria Math" panose="02040503050406030204" pitchFamily="18" charset="0"/>
                  <a:ea typeface="+mn-ea"/>
                  <a:cs typeface="+mn-cs"/>
                </a:rPr>
                <a:t>+</a:t>
              </a:r>
              <a:r>
                <a:rPr lang="en-US" sz="1200" b="0" i="0">
                  <a:solidFill>
                    <a:schemeClr val="tx1"/>
                  </a:solidFill>
                  <a:effectLst/>
                  <a:latin typeface="Cambria Math" panose="02040503050406030204" pitchFamily="18" charset="0"/>
                  <a:ea typeface="+mn-ea"/>
                  <a:cs typeface="+mn-cs"/>
                </a:rPr>
                <a:t> </a:t>
              </a:r>
              <a:r>
                <a:rPr lang="el-GR" sz="1200" b="0" i="0">
                  <a:solidFill>
                    <a:schemeClr val="tx1"/>
                  </a:solidFill>
                  <a:effectLst/>
                  <a:latin typeface="Cambria Math" panose="02040503050406030204" pitchFamily="18" charset="0"/>
                  <a:ea typeface="+mn-ea"/>
                  <a:cs typeface="+mn-cs"/>
                </a:rPr>
                <a:t>α</a:t>
              </a:r>
              <a:r>
                <a:rPr lang="en-US" sz="1200" b="0" i="0">
                  <a:solidFill>
                    <a:schemeClr val="tx1"/>
                  </a:solidFill>
                  <a:effectLst/>
                  <a:latin typeface="Cambria Math" panose="02040503050406030204" pitchFamily="18" charset="0"/>
                  <a:ea typeface="+mn-ea"/>
                  <a:cs typeface="+mn-cs"/>
                </a:rPr>
                <a:t> </a:t>
              </a:r>
              <a:r>
                <a:rPr lang="el-GR" sz="1200" b="0" i="0">
                  <a:solidFill>
                    <a:schemeClr val="tx1"/>
                  </a:solidFill>
                  <a:effectLst/>
                  <a:latin typeface="Cambria Math" panose="02040503050406030204" pitchFamily="18" charset="0"/>
                  <a:ea typeface="+mn-ea"/>
                  <a:cs typeface="+mn-cs"/>
                </a:rPr>
                <a:t>×</a:t>
              </a:r>
              <a:r>
                <a:rPr lang="en-US" sz="1200" b="0" i="0">
                  <a:solidFill>
                    <a:schemeClr val="tx1"/>
                  </a:solidFill>
                  <a:effectLst/>
                  <a:latin typeface="Cambria Math" panose="02040503050406030204" pitchFamily="18" charset="0"/>
                  <a:ea typeface="+mn-ea"/>
                  <a:cs typeface="+mn-cs"/>
                </a:rPr>
                <a:t> tanh(</a:t>
              </a:r>
              <a:r>
                <a:rPr lang="el-GR" sz="1200" b="0" i="0">
                  <a:solidFill>
                    <a:schemeClr val="tx1"/>
                  </a:solidFill>
                  <a:effectLst/>
                  <a:latin typeface="Cambria Math" panose="02040503050406030204" pitchFamily="18" charset="0"/>
                  <a:ea typeface="+mn-ea"/>
                  <a:cs typeface="+mn-cs"/>
                </a:rPr>
                <a:t>β×</a:t>
              </a:r>
              <a:r>
                <a:rPr lang="en-US" sz="1200" b="0" i="0">
                  <a:solidFill>
                    <a:schemeClr val="tx1"/>
                  </a:solidFill>
                  <a:effectLst/>
                  <a:latin typeface="Cambria Math" panose="02040503050406030204" pitchFamily="18" charset="0"/>
                  <a:ea typeface="+mn-ea"/>
                  <a:cs typeface="+mn-cs"/>
                </a:rPr>
                <a:t>diff)</a:t>
              </a:r>
              <a:r>
                <a:rPr lang="en-GB" sz="1200" b="0" i="0">
                  <a:solidFill>
                    <a:schemeClr val="tx1"/>
                  </a:solidFill>
                  <a:effectLst/>
                  <a:latin typeface="+mn-lt"/>
                  <a:ea typeface="+mn-ea"/>
                  <a:cs typeface="+mn-cs"/>
                </a:rPr>
                <a:t>"</a:t>
              </a:r>
              <a:endParaRPr lang="en-US" sz="1200"/>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twoCellAnchor editAs="absolute">
    <xdr:from>
      <xdr:col>21</xdr:col>
      <xdr:colOff>22470</xdr:colOff>
      <xdr:row>3</xdr:row>
      <xdr:rowOff>28461</xdr:rowOff>
    </xdr:from>
    <xdr:to>
      <xdr:col>24</xdr:col>
      <xdr:colOff>244745</xdr:colOff>
      <xdr:row>16</xdr:row>
      <xdr:rowOff>111810</xdr:rowOff>
    </xdr:to>
    <mc:AlternateContent xmlns:mc="http://schemas.openxmlformats.org/markup-compatibility/2006" xmlns:sle15="http://schemas.microsoft.com/office/drawing/2012/slicer">
      <mc:Choice Requires="sle15">
        <xdr:graphicFrame macro="">
          <xdr:nvGraphicFramePr>
            <xdr:cNvPr id="2" name="Competency Area">
              <a:extLst>
                <a:ext uri="{FF2B5EF4-FFF2-40B4-BE49-F238E27FC236}">
                  <a16:creationId xmlns:a16="http://schemas.microsoft.com/office/drawing/2014/main" id="{4B8AF362-F99A-D77B-2969-6FBDE93EC0BF}"/>
                </a:ext>
              </a:extLst>
            </xdr:cNvPr>
            <xdr:cNvGraphicFramePr/>
          </xdr:nvGraphicFramePr>
          <xdr:xfrm>
            <a:off x="0" y="0"/>
            <a:ext cx="0" cy="0"/>
          </xdr:xfrm>
          <a:graphic>
            <a:graphicData uri="http://schemas.microsoft.com/office/drawing/2010/slicer">
              <sle:slicer xmlns:sle="http://schemas.microsoft.com/office/drawing/2010/slicer" name="Competency Area"/>
            </a:graphicData>
          </a:graphic>
        </xdr:graphicFrame>
      </mc:Choice>
      <mc:Fallback xmlns="">
        <xdr:sp macro="" textlink="">
          <xdr:nvSpPr>
            <xdr:cNvPr id="0" name=""/>
            <xdr:cNvSpPr>
              <a:spLocks noTextEdit="1"/>
            </xdr:cNvSpPr>
          </xdr:nvSpPr>
          <xdr:spPr>
            <a:xfrm>
              <a:off x="26975418" y="933336"/>
              <a:ext cx="3938270" cy="414031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21</xdr:col>
      <xdr:colOff>31377</xdr:colOff>
      <xdr:row>16</xdr:row>
      <xdr:rowOff>162610</xdr:rowOff>
    </xdr:from>
    <xdr:to>
      <xdr:col>24</xdr:col>
      <xdr:colOff>253652</xdr:colOff>
      <xdr:row>17</xdr:row>
      <xdr:rowOff>387537</xdr:rowOff>
    </xdr:to>
    <mc:AlternateContent xmlns:mc="http://schemas.openxmlformats.org/markup-compatibility/2006" xmlns:sle15="http://schemas.microsoft.com/office/drawing/2012/slicer">
      <mc:Choice Requires="sle15">
        <xdr:graphicFrame macro="">
          <xdr:nvGraphicFramePr>
            <xdr:cNvPr id="4" name="DQ Developer">
              <a:extLst>
                <a:ext uri="{FF2B5EF4-FFF2-40B4-BE49-F238E27FC236}">
                  <a16:creationId xmlns:a16="http://schemas.microsoft.com/office/drawing/2014/main" id="{768446B9-CFBA-7E00-1AC4-FC68EC4CF80E}"/>
                </a:ext>
              </a:extLst>
            </xdr:cNvPr>
            <xdr:cNvGraphicFramePr/>
          </xdr:nvGraphicFramePr>
          <xdr:xfrm>
            <a:off x="0" y="0"/>
            <a:ext cx="0" cy="0"/>
          </xdr:xfrm>
          <a:graphic>
            <a:graphicData uri="http://schemas.microsoft.com/office/drawing/2010/slicer">
              <sle:slicer xmlns:sle="http://schemas.microsoft.com/office/drawing/2010/slicer" name="DQ Developer"/>
            </a:graphicData>
          </a:graphic>
        </xdr:graphicFrame>
      </mc:Choice>
      <mc:Fallback xmlns="">
        <xdr:sp macro="" textlink="">
          <xdr:nvSpPr>
            <xdr:cNvPr id="0" name=""/>
            <xdr:cNvSpPr>
              <a:spLocks noTextEdit="1"/>
            </xdr:cNvSpPr>
          </xdr:nvSpPr>
          <xdr:spPr>
            <a:xfrm>
              <a:off x="26984325" y="5124450"/>
              <a:ext cx="3938270" cy="600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21</xdr:col>
      <xdr:colOff>31376</xdr:colOff>
      <xdr:row>19</xdr:row>
      <xdr:rowOff>91219</xdr:rowOff>
    </xdr:from>
    <xdr:to>
      <xdr:col>24</xdr:col>
      <xdr:colOff>253651</xdr:colOff>
      <xdr:row>21</xdr:row>
      <xdr:rowOff>38030</xdr:rowOff>
    </xdr:to>
    <mc:AlternateContent xmlns:mc="http://schemas.openxmlformats.org/markup-compatibility/2006" xmlns:sle15="http://schemas.microsoft.com/office/drawing/2012/slicer">
      <mc:Choice Requires="sle15">
        <xdr:graphicFrame macro="">
          <xdr:nvGraphicFramePr>
            <xdr:cNvPr id="5" name="DQ Snr. Developer">
              <a:extLst>
                <a:ext uri="{FF2B5EF4-FFF2-40B4-BE49-F238E27FC236}">
                  <a16:creationId xmlns:a16="http://schemas.microsoft.com/office/drawing/2014/main" id="{D4CAE804-AA82-67B6-6D3C-72A52F73BC0C}"/>
                </a:ext>
              </a:extLst>
            </xdr:cNvPr>
            <xdr:cNvGraphicFramePr/>
          </xdr:nvGraphicFramePr>
          <xdr:xfrm>
            <a:off x="0" y="0"/>
            <a:ext cx="0" cy="0"/>
          </xdr:xfrm>
          <a:graphic>
            <a:graphicData uri="http://schemas.microsoft.com/office/drawing/2010/slicer">
              <sle:slicer xmlns:sle="http://schemas.microsoft.com/office/drawing/2010/slicer" name="DQ Snr. Developer"/>
            </a:graphicData>
          </a:graphic>
        </xdr:graphicFrame>
      </mc:Choice>
      <mc:Fallback xmlns="">
        <xdr:sp macro="" textlink="">
          <xdr:nvSpPr>
            <xdr:cNvPr id="0" name=""/>
            <xdr:cNvSpPr>
              <a:spLocks noTextEdit="1"/>
            </xdr:cNvSpPr>
          </xdr:nvSpPr>
          <xdr:spPr>
            <a:xfrm>
              <a:off x="26984324" y="5964782"/>
              <a:ext cx="3938270" cy="64717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21</xdr:col>
      <xdr:colOff>31377</xdr:colOff>
      <xdr:row>21</xdr:row>
      <xdr:rowOff>114246</xdr:rowOff>
    </xdr:from>
    <xdr:to>
      <xdr:col>24</xdr:col>
      <xdr:colOff>253652</xdr:colOff>
      <xdr:row>23</xdr:row>
      <xdr:rowOff>62364</xdr:rowOff>
    </xdr:to>
    <mc:AlternateContent xmlns:mc="http://schemas.openxmlformats.org/markup-compatibility/2006" xmlns:sle15="http://schemas.microsoft.com/office/drawing/2012/slicer">
      <mc:Choice Requires="sle15">
        <xdr:graphicFrame macro="">
          <xdr:nvGraphicFramePr>
            <xdr:cNvPr id="6" name="Technical Architect">
              <a:extLst>
                <a:ext uri="{FF2B5EF4-FFF2-40B4-BE49-F238E27FC236}">
                  <a16:creationId xmlns:a16="http://schemas.microsoft.com/office/drawing/2014/main" id="{423C456D-2E3E-F033-DDC9-54FD38493779}"/>
                </a:ext>
              </a:extLst>
            </xdr:cNvPr>
            <xdr:cNvGraphicFramePr/>
          </xdr:nvGraphicFramePr>
          <xdr:xfrm>
            <a:off x="0" y="0"/>
            <a:ext cx="0" cy="0"/>
          </xdr:xfrm>
          <a:graphic>
            <a:graphicData uri="http://schemas.microsoft.com/office/drawing/2010/slicer">
              <sle:slicer xmlns:sle="http://schemas.microsoft.com/office/drawing/2010/slicer" name="Technical Architect"/>
            </a:graphicData>
          </a:graphic>
        </xdr:graphicFrame>
      </mc:Choice>
      <mc:Fallback xmlns="">
        <xdr:sp macro="" textlink="">
          <xdr:nvSpPr>
            <xdr:cNvPr id="0" name=""/>
            <xdr:cNvSpPr>
              <a:spLocks noTextEdit="1"/>
            </xdr:cNvSpPr>
          </xdr:nvSpPr>
          <xdr:spPr>
            <a:xfrm>
              <a:off x="26984325" y="6852218"/>
              <a:ext cx="3938270" cy="64717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21</xdr:col>
      <xdr:colOff>31376</xdr:colOff>
      <xdr:row>25</xdr:row>
      <xdr:rowOff>38598</xdr:rowOff>
    </xdr:from>
    <xdr:to>
      <xdr:col>24</xdr:col>
      <xdr:colOff>253651</xdr:colOff>
      <xdr:row>27</xdr:row>
      <xdr:rowOff>186686</xdr:rowOff>
    </xdr:to>
    <mc:AlternateContent xmlns:mc="http://schemas.openxmlformats.org/markup-compatibility/2006" xmlns:sle15="http://schemas.microsoft.com/office/drawing/2012/slicer">
      <mc:Choice Requires="sle15">
        <xdr:graphicFrame macro="">
          <xdr:nvGraphicFramePr>
            <xdr:cNvPr id="7" name="Solution Architect">
              <a:extLst>
                <a:ext uri="{FF2B5EF4-FFF2-40B4-BE49-F238E27FC236}">
                  <a16:creationId xmlns:a16="http://schemas.microsoft.com/office/drawing/2014/main" id="{49451EDB-B44B-4BBE-1834-2ABD5D44820E}"/>
                </a:ext>
              </a:extLst>
            </xdr:cNvPr>
            <xdr:cNvGraphicFramePr/>
          </xdr:nvGraphicFramePr>
          <xdr:xfrm>
            <a:off x="0" y="0"/>
            <a:ext cx="0" cy="0"/>
          </xdr:xfrm>
          <a:graphic>
            <a:graphicData uri="http://schemas.microsoft.com/office/drawing/2010/slicer">
              <sle:slicer xmlns:sle="http://schemas.microsoft.com/office/drawing/2010/slicer" name="Solution Architect"/>
            </a:graphicData>
          </a:graphic>
        </xdr:graphicFrame>
      </mc:Choice>
      <mc:Fallback xmlns="">
        <xdr:sp macro="" textlink="">
          <xdr:nvSpPr>
            <xdr:cNvPr id="0" name=""/>
            <xdr:cNvSpPr>
              <a:spLocks noTextEdit="1"/>
            </xdr:cNvSpPr>
          </xdr:nvSpPr>
          <xdr:spPr>
            <a:xfrm>
              <a:off x="26984324" y="7742829"/>
              <a:ext cx="3938270" cy="65926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21</xdr:col>
      <xdr:colOff>31376</xdr:colOff>
      <xdr:row>28</xdr:row>
      <xdr:rowOff>166594</xdr:rowOff>
    </xdr:from>
    <xdr:to>
      <xdr:col>24</xdr:col>
      <xdr:colOff>253651</xdr:colOff>
      <xdr:row>31</xdr:row>
      <xdr:rowOff>79807</xdr:rowOff>
    </xdr:to>
    <mc:AlternateContent xmlns:mc="http://schemas.openxmlformats.org/markup-compatibility/2006" xmlns:sle15="http://schemas.microsoft.com/office/drawing/2012/slicer">
      <mc:Choice Requires="sle15">
        <xdr:graphicFrame macro="">
          <xdr:nvGraphicFramePr>
            <xdr:cNvPr id="8" name="Implementation Lead">
              <a:extLst>
                <a:ext uri="{FF2B5EF4-FFF2-40B4-BE49-F238E27FC236}">
                  <a16:creationId xmlns:a16="http://schemas.microsoft.com/office/drawing/2014/main" id="{70E1D9FE-B396-1227-BEC1-8E8E8E76ED0C}"/>
                </a:ext>
              </a:extLst>
            </xdr:cNvPr>
            <xdr:cNvGraphicFramePr/>
          </xdr:nvGraphicFramePr>
          <xdr:xfrm>
            <a:off x="0" y="0"/>
            <a:ext cx="0" cy="0"/>
          </xdr:xfrm>
          <a:graphic>
            <a:graphicData uri="http://schemas.microsoft.com/office/drawing/2010/slicer">
              <sle:slicer xmlns:sle="http://schemas.microsoft.com/office/drawing/2010/slicer" name="Implementation Lead"/>
            </a:graphicData>
          </a:graphic>
        </xdr:graphicFrame>
      </mc:Choice>
      <mc:Fallback xmlns="">
        <xdr:sp macro="" textlink="">
          <xdr:nvSpPr>
            <xdr:cNvPr id="0" name=""/>
            <xdr:cNvSpPr>
              <a:spLocks noTextEdit="1"/>
            </xdr:cNvSpPr>
          </xdr:nvSpPr>
          <xdr:spPr>
            <a:xfrm>
              <a:off x="26984324" y="8645525"/>
              <a:ext cx="3938270" cy="67708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6</xdr:col>
      <xdr:colOff>243416</xdr:colOff>
      <xdr:row>1</xdr:row>
      <xdr:rowOff>735541</xdr:rowOff>
    </xdr:from>
    <xdr:to>
      <xdr:col>7</xdr:col>
      <xdr:colOff>0</xdr:colOff>
      <xdr:row>1</xdr:row>
      <xdr:rowOff>740833</xdr:rowOff>
    </xdr:to>
    <xdr:cxnSp macro="">
      <xdr:nvCxnSpPr>
        <xdr:cNvPr id="4" name="Straight Arrow Connector 3">
          <a:extLst>
            <a:ext uri="{FF2B5EF4-FFF2-40B4-BE49-F238E27FC236}">
              <a16:creationId xmlns:a16="http://schemas.microsoft.com/office/drawing/2014/main" id="{8E25255E-1C5B-406B-B40B-3C3882750DDC}"/>
            </a:ext>
          </a:extLst>
        </xdr:cNvPr>
        <xdr:cNvCxnSpPr/>
      </xdr:nvCxnSpPr>
      <xdr:spPr>
        <a:xfrm>
          <a:off x="5888566" y="246591"/>
          <a:ext cx="620184" cy="0"/>
        </a:xfrm>
        <a:prstGeom prst="straightConnector1">
          <a:avLst/>
        </a:prstGeom>
        <a:ln>
          <a:tailEnd type="triangle"/>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3</xdr:col>
      <xdr:colOff>222249</xdr:colOff>
      <xdr:row>1</xdr:row>
      <xdr:rowOff>465666</xdr:rowOff>
    </xdr:from>
    <xdr:to>
      <xdr:col>6</xdr:col>
      <xdr:colOff>243416</xdr:colOff>
      <xdr:row>1</xdr:row>
      <xdr:rowOff>1005416</xdr:rowOff>
    </xdr:to>
    <xdr:sp macro="" textlink="">
      <xdr:nvSpPr>
        <xdr:cNvPr id="5" name="Rounded Rectangle 1">
          <a:extLst>
            <a:ext uri="{FF2B5EF4-FFF2-40B4-BE49-F238E27FC236}">
              <a16:creationId xmlns:a16="http://schemas.microsoft.com/office/drawing/2014/main" id="{9C658AF2-7C0B-46F2-B3D6-BEBE4EEB9612}"/>
            </a:ext>
          </a:extLst>
        </xdr:cNvPr>
        <xdr:cNvSpPr/>
      </xdr:nvSpPr>
      <xdr:spPr>
        <a:xfrm>
          <a:off x="2978149" y="249766"/>
          <a:ext cx="2910417" cy="0"/>
        </a:xfrm>
        <a:prstGeom prst="roundRect">
          <a:avLst/>
        </a:prstGeom>
        <a:solidFill>
          <a:srgbClr val="881A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Click on the competency</a:t>
          </a:r>
          <a:r>
            <a:rPr lang="en-US" sz="1100" baseline="0"/>
            <a:t> to view the Title and Description</a:t>
          </a:r>
          <a:endParaRPr lang="en-US" sz="1100"/>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Carole" id="{87909359-7235-5749-8EFD-1C2397041C6E}" userId="Carole.Popp@syniti.com" providerId="PeoplePicker"/>
  <person displayName="Gaurav Kalwani" id="{9BA5115C-8815-D241-9327-7F730226605E}" userId="gaurav.kalwani@syniti.com" providerId="PeoplePicker"/>
  <person displayName="Elisabet Rovira" id="{0DCF2B07-7487-D84E-89D1-4F9BEA7A2F0B}" userId="Elisabet.Rovira@syniti.com" providerId="PeoplePicker"/>
  <person displayName="Alejandro Belloti" id="{071C068C-B903-1147-8393-FE767D3B7778}" userId="alejandro.belloti@syniti.com" providerId="PeoplePicker"/>
  <person displayName="Luis Miguel Garcia" id="{8D730C36-94B0-6749-B80A-505FF3CAA5CC}" userId="Luis.Miguel.Garcia@syniti.com" providerId="PeoplePicker"/>
  <person displayName="Truwayne Gordon" id="{3103C3FA-DE67-DE41-8E0D-97AD84CFF99C}" userId="S::Truwayne.Gordon@syniti.com::ee15688f-6fff-418c-991a-e2328dc1b31e" providerId="AD"/>
</personList>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e Antonio Garcia de Castro Valero" refreshedDate="46020.615090277781" backgroundQuery="1" createdVersion="8" refreshedVersion="8" minRefreshableVersion="3" recordCount="0" supportSubquery="1" supportAdvancedDrill="1" xr:uid="{B9DF5030-BAF5-4D92-B425-6508B0BDB3E5}">
  <cacheSource type="external" connectionId="7"/>
  <cacheFields count="11">
    <cacheField name="[Model].[Competency].[Competency]" caption="Competency" numFmtId="0" hierarchy="2" level="1">
      <sharedItems count="80">
        <s v="F1"/>
        <s v="F10"/>
        <s v="F2"/>
        <s v="F3"/>
        <s v="F4"/>
        <s v="F5"/>
        <s v="F6"/>
        <s v="F7"/>
        <s v="F8"/>
        <s v="F9"/>
        <s v="D1"/>
        <s v="D2"/>
        <s v="D3"/>
        <s v="D4"/>
        <s v="D5"/>
        <s v="C1"/>
        <s v="C2"/>
        <s v="C3"/>
        <s v="C4"/>
        <s v="C5"/>
        <s v="E1"/>
        <s v="E2"/>
        <s v="E3"/>
        <s v="E4"/>
        <s v="E5"/>
        <s v="G21"/>
        <s v="G22"/>
        <s v="G23"/>
        <s v="G24"/>
        <s v="G25"/>
        <s v="G26"/>
        <s v="G27"/>
        <s v="G28"/>
        <s v="G29"/>
        <s v="G30"/>
        <s v="G1"/>
        <s v="G2"/>
        <s v="G3"/>
        <s v="G4"/>
        <s v="G5"/>
        <s v="G10"/>
        <s v="G6"/>
        <s v="G7"/>
        <s v="G8"/>
        <s v="G9"/>
        <s v="G11"/>
        <s v="G12"/>
        <s v="G13"/>
        <s v="G14"/>
        <s v="G15"/>
        <s v="G16"/>
        <s v="G17"/>
        <s v="G18"/>
        <s v="G19"/>
        <s v="G20"/>
        <s v="G31"/>
        <s v="G32"/>
        <s v="G33"/>
        <s v="G34"/>
        <s v="G35"/>
        <s v="A1"/>
        <s v="A10"/>
        <s v="A2"/>
        <s v="A3"/>
        <s v="A4"/>
        <s v="A5"/>
        <s v="A6"/>
        <s v="A7"/>
        <s v="A8"/>
        <s v="A9"/>
        <s v="B1"/>
        <s v="B10"/>
        <s v="B2"/>
        <s v="B3"/>
        <s v="B4"/>
        <s v="B5"/>
        <s v="B6"/>
        <s v="B7"/>
        <s v="B8"/>
        <s v="B9"/>
      </sharedItems>
    </cacheField>
    <cacheField name="[Model].[C-Level].[C-Level]" caption="C-Level" numFmtId="0" hierarchy="1" level="1">
      <sharedItems count="6">
        <s v="C2"/>
        <s v="C3"/>
        <s v="C4-S"/>
        <s v="C5-S"/>
        <s v="C6-M"/>
        <s v="C6-S"/>
      </sharedItems>
    </cacheField>
    <cacheField name="[Measures].[Average of AbsDelta]" caption="Average of AbsDelta" numFmtId="0" hierarchy="15" level="32767"/>
    <cacheField name="[Measures].[Average of MaterialFlag]" caption="Average of MaterialFlag" numFmtId="0" hierarchy="19" level="32767"/>
    <cacheField name="[Measures].[Average of Delta]" caption="Average of Delta" numFmtId="0" hierarchy="17" level="32767"/>
    <cacheField name="[Measures].[Average of Regular]" caption="Average of Regular" numFmtId="0" hierarchy="22" level="32767"/>
    <cacheField name="[Measures].[Average of Weighted]" caption="Average of Weighted" numFmtId="0" hierarchy="24" level="32767"/>
    <cacheField name="[Measures].[Average of OverFlag]" caption="Average of OverFlag" numFmtId="0" hierarchy="26" level="32767"/>
    <cacheField name="[Measures].[Average of UnderFlag]" caption="Average of UnderFlag" numFmtId="0" hierarchy="28" level="32767"/>
    <cacheField name="[Model].[REF].[REF]" caption="REF" numFmtId="0" level="1">
      <sharedItems count="17">
        <s v="ABe"/>
        <s v="ABu"/>
        <s v="AJe"/>
        <s v="AMa"/>
        <s v="BFr"/>
        <s v="CPo"/>
        <s v="CSa"/>
        <s v="CSt"/>
        <s v="ERo"/>
        <s v="GKa"/>
        <s v="JFl"/>
        <s v="JFu"/>
        <s v="JPi"/>
        <s v="KSr"/>
        <s v="LGa"/>
        <s v="MGr"/>
        <s v="NMa"/>
      </sharedItems>
    </cacheField>
    <cacheField name="[Model].[Competency Area].[Competency Area]" caption="Competency Area" numFmtId="0" hierarchy="11" level="1">
      <sharedItems count="13">
        <s v="Delivery &amp; Consulting"/>
        <s v="DQ-Specific Functional"/>
        <s v="DQ-Specific Technical"/>
        <s v="SAP Data Functional"/>
        <s v="Squad-Cloud Data Quality"/>
        <s v="Squad-Dashboarding &amp; Analytics"/>
        <s v="Squad-Delivery Excellence"/>
        <s v="Squad-dqOps"/>
        <s v="Squad-Harmonization"/>
        <s v="Squad-Source Cleansing"/>
        <s v="Squad-Specialized and AI Driven"/>
        <s v="Syniti Platform: Technical (ADM)"/>
        <s v="Syniti Platform: Technical (ADM-M)"/>
      </sharedItems>
    </cacheField>
  </cacheFields>
  <cacheHierarchies count="29">
    <cacheHierarchy uniqueName="[Model].[REF]" caption="REF" attribute="1" defaultMemberUniqueName="[Model].[REF].[All]" allUniqueName="[Model].[REF].[All]" dimensionUniqueName="[Model]" displayFolder="" count="2" memberValueDatatype="130" unbalanced="0">
      <fieldsUsage count="2">
        <fieldUsage x="-1"/>
        <fieldUsage x="9"/>
      </fieldsUsage>
    </cacheHierarchy>
    <cacheHierarchy uniqueName="[Model].[C-Level]" caption="C-Level" attribute="1" defaultMemberUniqueName="[Model].[C-Level].[All]" allUniqueName="[Model].[C-Level].[All]" dimensionUniqueName="[Model]" displayFolder="" count="2" memberValueDatatype="130" unbalanced="0">
      <fieldsUsage count="2">
        <fieldUsage x="-1"/>
        <fieldUsage x="1"/>
      </fieldsUsage>
    </cacheHierarchy>
    <cacheHierarchy uniqueName="[Model].[Competency]" caption="Competency" attribute="1" defaultMemberUniqueName="[Model].[Competency].[All]" allUniqueName="[Model].[Competency].[All]" dimensionUniqueName="[Model]" displayFolder="" count="2" memberValueDatatype="130" unbalanced="0">
      <fieldsUsage count="2">
        <fieldUsage x="-1"/>
        <fieldUsage x="0"/>
      </fieldsUsage>
    </cacheHierarchy>
    <cacheHierarchy uniqueName="[Model].[Regular]" caption="Regular" attribute="1" defaultMemberUniqueName="[Model].[Regular].[All]" allUniqueName="[Model].[Regular].[All]" dimensionUniqueName="[Model]" displayFolder="" count="0" memberValueDatatype="20" unbalanced="0"/>
    <cacheHierarchy uniqueName="[Model].[Weighted]" caption="Weighted" attribute="1" defaultMemberUniqueName="[Model].[Weighted].[All]" allUniqueName="[Model].[Weighted].[All]" dimensionUniqueName="[Model]" displayFolder="" count="0" memberValueDatatype="5" unbalanced="0"/>
    <cacheHierarchy uniqueName="[Model].[Delta]" caption="Delta" attribute="1" defaultMemberUniqueName="[Model].[Delta].[All]" allUniqueName="[Model].[Delta].[All]" dimensionUniqueName="[Model]" displayFolder="" count="0" memberValueDatatype="5" unbalanced="0"/>
    <cacheHierarchy uniqueName="[Model].[AbsDelta]" caption="AbsDelta" attribute="1" defaultMemberUniqueName="[Model].[AbsDelta].[All]" allUniqueName="[Model].[AbsDelta].[All]" dimensionUniqueName="[Model]" displayFolder="" count="0" memberValueDatatype="5" unbalanced="0"/>
    <cacheHierarchy uniqueName="[Model].[OverFlag]" caption="OverFlag" attribute="1" defaultMemberUniqueName="[Model].[OverFlag].[All]" allUniqueName="[Model].[OverFlag].[All]" dimensionUniqueName="[Model]" displayFolder="" count="0" memberValueDatatype="20" unbalanced="0"/>
    <cacheHierarchy uniqueName="[Model].[UnderFlag]" caption="UnderFlag" attribute="1" defaultMemberUniqueName="[Model].[UnderFlag].[All]" allUniqueName="[Model].[UnderFlag].[All]" dimensionUniqueName="[Model]" displayFolder="" count="0" memberValueDatatype="20" unbalanced="0"/>
    <cacheHierarchy uniqueName="[Model].[MaterialFlag]" caption="MaterialFlag" attribute="1" defaultMemberUniqueName="[Model].[MaterialFlag].[All]" allUniqueName="[Model].[MaterialFlag].[All]" dimensionUniqueName="[Model]" displayFolder="" count="0" memberValueDatatype="20" unbalanced="0"/>
    <cacheHierarchy uniqueName="[Model].[BucketDelta]" caption="BucketDelta" attribute="1" defaultMemberUniqueName="[Model].[BucketDelta].[All]" allUniqueName="[Model].[BucketDelta].[All]" dimensionUniqueName="[Model]" displayFolder="" count="0" memberValueDatatype="130" unbalanced="0"/>
    <cacheHierarchy uniqueName="[Model].[Competency Area]" caption="Competency Area" attribute="1" defaultMemberUniqueName="[Model].[Competency Area].[All]" allUniqueName="[Model].[Competency Area].[All]" dimensionUniqueName="[Model]" displayFolder="" count="2" memberValueDatatype="130" unbalanced="0">
      <fieldsUsage count="2">
        <fieldUsage x="-1"/>
        <fieldUsage x="10"/>
      </fieldsUsage>
    </cacheHierarchy>
    <cacheHierarchy uniqueName="[Measures].[__XL_Count Model]" caption="__XL_Count Model" measure="1" displayFolder="" measureGroup="Model" count="0" hidden="1"/>
    <cacheHierarchy uniqueName="[Measures].[__No measures defined]" caption="__No measures defined" measure="1" displayFolder="" count="0" hidden="1"/>
    <cacheHierarchy uniqueName="[Measures].[Sum of AbsDelta]" caption="Sum of AbsDelta" measure="1" displayFolder="" measureGroup="Model" count="0" hidden="1">
      <extLst>
        <ext xmlns:x15="http://schemas.microsoft.com/office/spreadsheetml/2010/11/main" uri="{B97F6D7D-B522-45F9-BDA1-12C45D357490}">
          <x15:cacheHierarchy aggregatedColumn="6"/>
        </ext>
      </extLst>
    </cacheHierarchy>
    <cacheHierarchy uniqueName="[Measures].[Average of AbsDelta]" caption="Average of AbsDelta" measure="1" displayFolder="" measureGroup="Model" count="0" oneField="1" hidden="1">
      <fieldsUsage count="1">
        <fieldUsage x="2"/>
      </fieldsUsage>
      <extLst>
        <ext xmlns:x15="http://schemas.microsoft.com/office/spreadsheetml/2010/11/main" uri="{B97F6D7D-B522-45F9-BDA1-12C45D357490}">
          <x15:cacheHierarchy aggregatedColumn="6"/>
        </ext>
      </extLst>
    </cacheHierarchy>
    <cacheHierarchy uniqueName="[Measures].[Sum of Delta]" caption="Sum of Delta" measure="1" displayFolder="" measureGroup="Model" count="0" hidden="1">
      <extLst>
        <ext xmlns:x15="http://schemas.microsoft.com/office/spreadsheetml/2010/11/main" uri="{B97F6D7D-B522-45F9-BDA1-12C45D357490}">
          <x15:cacheHierarchy aggregatedColumn="5"/>
        </ext>
      </extLst>
    </cacheHierarchy>
    <cacheHierarchy uniqueName="[Measures].[Average of Delta]" caption="Average of Delta" measure="1" displayFolder="" measureGroup="Model" count="0" oneField="1" hidden="1">
      <fieldsUsage count="1">
        <fieldUsage x="4"/>
      </fieldsUsage>
      <extLst>
        <ext xmlns:x15="http://schemas.microsoft.com/office/spreadsheetml/2010/11/main" uri="{B97F6D7D-B522-45F9-BDA1-12C45D357490}">
          <x15:cacheHierarchy aggregatedColumn="5"/>
        </ext>
      </extLst>
    </cacheHierarchy>
    <cacheHierarchy uniqueName="[Measures].[Sum of MaterialFlag]" caption="Sum of MaterialFlag" measure="1" displayFolder="" measureGroup="Model" count="0" hidden="1">
      <extLst>
        <ext xmlns:x15="http://schemas.microsoft.com/office/spreadsheetml/2010/11/main" uri="{B97F6D7D-B522-45F9-BDA1-12C45D357490}">
          <x15:cacheHierarchy aggregatedColumn="9"/>
        </ext>
      </extLst>
    </cacheHierarchy>
    <cacheHierarchy uniqueName="[Measures].[Average of MaterialFlag]" caption="Average of MaterialFlag" measure="1" displayFolder="" measureGroup="Model" count="0" oneField="1" hidden="1">
      <fieldsUsage count="1">
        <fieldUsage x="3"/>
      </fieldsUsage>
      <extLst>
        <ext xmlns:x15="http://schemas.microsoft.com/office/spreadsheetml/2010/11/main" uri="{B97F6D7D-B522-45F9-BDA1-12C45D357490}">
          <x15:cacheHierarchy aggregatedColumn="9"/>
        </ext>
      </extLst>
    </cacheHierarchy>
    <cacheHierarchy uniqueName="[Measures].[Count of REF]" caption="Count of REF" measure="1" displayFolder="" measureGroup="Model" count="0" hidden="1">
      <extLst>
        <ext xmlns:x15="http://schemas.microsoft.com/office/spreadsheetml/2010/11/main" uri="{B97F6D7D-B522-45F9-BDA1-12C45D357490}">
          <x15:cacheHierarchy aggregatedColumn="0"/>
        </ext>
      </extLst>
    </cacheHierarchy>
    <cacheHierarchy uniqueName="[Measures].[Sum of Regular]" caption="Sum of Regular" measure="1" displayFolder="" measureGroup="Model" count="0" hidden="1">
      <extLst>
        <ext xmlns:x15="http://schemas.microsoft.com/office/spreadsheetml/2010/11/main" uri="{B97F6D7D-B522-45F9-BDA1-12C45D357490}">
          <x15:cacheHierarchy aggregatedColumn="3"/>
        </ext>
      </extLst>
    </cacheHierarchy>
    <cacheHierarchy uniqueName="[Measures].[Average of Regular]" caption="Average of Regular" measure="1" displayFolder="" measureGroup="Model" count="0" oneField="1" hidden="1">
      <fieldsUsage count="1">
        <fieldUsage x="5"/>
      </fieldsUsage>
      <extLst>
        <ext xmlns:x15="http://schemas.microsoft.com/office/spreadsheetml/2010/11/main" uri="{B97F6D7D-B522-45F9-BDA1-12C45D357490}">
          <x15:cacheHierarchy aggregatedColumn="3"/>
        </ext>
      </extLst>
    </cacheHierarchy>
    <cacheHierarchy uniqueName="[Measures].[Sum of Weighted]" caption="Sum of Weighted" measure="1" displayFolder="" measureGroup="Model" count="0" hidden="1">
      <extLst>
        <ext xmlns:x15="http://schemas.microsoft.com/office/spreadsheetml/2010/11/main" uri="{B97F6D7D-B522-45F9-BDA1-12C45D357490}">
          <x15:cacheHierarchy aggregatedColumn="4"/>
        </ext>
      </extLst>
    </cacheHierarchy>
    <cacheHierarchy uniqueName="[Measures].[Average of Weighted]" caption="Average of Weighted" measure="1" displayFolder="" measureGroup="Model" count="0" oneField="1" hidden="1">
      <fieldsUsage count="1">
        <fieldUsage x="6"/>
      </fieldsUsage>
      <extLst>
        <ext xmlns:x15="http://schemas.microsoft.com/office/spreadsheetml/2010/11/main" uri="{B97F6D7D-B522-45F9-BDA1-12C45D357490}">
          <x15:cacheHierarchy aggregatedColumn="4"/>
        </ext>
      </extLst>
    </cacheHierarchy>
    <cacheHierarchy uniqueName="[Measures].[Sum of OverFlag]" caption="Sum of OverFlag" measure="1" displayFolder="" measureGroup="Model" count="0" hidden="1">
      <extLst>
        <ext xmlns:x15="http://schemas.microsoft.com/office/spreadsheetml/2010/11/main" uri="{B97F6D7D-B522-45F9-BDA1-12C45D357490}">
          <x15:cacheHierarchy aggregatedColumn="7"/>
        </ext>
      </extLst>
    </cacheHierarchy>
    <cacheHierarchy uniqueName="[Measures].[Average of OverFlag]" caption="Average of OverFlag" measure="1" displayFolder="" measureGroup="Model" count="0" oneField="1" hidden="1">
      <fieldsUsage count="1">
        <fieldUsage x="7"/>
      </fieldsUsage>
      <extLst>
        <ext xmlns:x15="http://schemas.microsoft.com/office/spreadsheetml/2010/11/main" uri="{B97F6D7D-B522-45F9-BDA1-12C45D357490}">
          <x15:cacheHierarchy aggregatedColumn="7"/>
        </ext>
      </extLst>
    </cacheHierarchy>
    <cacheHierarchy uniqueName="[Measures].[Sum of UnderFlag]" caption="Sum of UnderFlag" measure="1" displayFolder="" measureGroup="Model" count="0" hidden="1">
      <extLst>
        <ext xmlns:x15="http://schemas.microsoft.com/office/spreadsheetml/2010/11/main" uri="{B97F6D7D-B522-45F9-BDA1-12C45D357490}">
          <x15:cacheHierarchy aggregatedColumn="8"/>
        </ext>
      </extLst>
    </cacheHierarchy>
    <cacheHierarchy uniqueName="[Measures].[Average of UnderFlag]" caption="Average of UnderFlag" measure="1" displayFolder="" measureGroup="Model" count="0" oneField="1" hidden="1">
      <fieldsUsage count="1">
        <fieldUsage x="8"/>
      </fieldsUsage>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Model" uniqueName="[Model]" caption="Model"/>
  </dimensions>
  <measureGroups count="1">
    <measureGroup name="Model" caption="Model"/>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e Antonio Garcia de Castro Valero" refreshedDate="46020.617180439818" backgroundQuery="1" createdVersion="8" refreshedVersion="8" minRefreshableVersion="3" recordCount="0" supportSubquery="1" supportAdvancedDrill="1" xr:uid="{0F80ED92-276A-42F8-A78B-08D171997717}">
  <cacheSource type="external" connectionId="7"/>
  <cacheFields count="6">
    <cacheField name="[Model].[Competency].[Competency]" caption="Competency" numFmtId="0" hierarchy="2" level="1">
      <sharedItems count="80">
        <s v="F1"/>
        <s v="F10"/>
        <s v="F2"/>
        <s v="F3"/>
        <s v="F4"/>
        <s v="F5"/>
        <s v="F6"/>
        <s v="F7"/>
        <s v="F8"/>
        <s v="F9"/>
        <s v="D1"/>
        <s v="D2"/>
        <s v="D3"/>
        <s v="D4"/>
        <s v="D5"/>
        <s v="C1"/>
        <s v="C2"/>
        <s v="C3"/>
        <s v="C4"/>
        <s v="C5"/>
        <s v="E1" u="1"/>
        <s v="E2" u="1"/>
        <s v="E3" u="1"/>
        <s v="E4" u="1"/>
        <s v="E5" u="1"/>
        <s v="G21" u="1"/>
        <s v="G22" u="1"/>
        <s v="G23" u="1"/>
        <s v="G24" u="1"/>
        <s v="G25" u="1"/>
        <s v="G26" u="1"/>
        <s v="G27" u="1"/>
        <s v="G28" u="1"/>
        <s v="G29" u="1"/>
        <s v="G30" u="1"/>
        <s v="G1" u="1"/>
        <s v="G2" u="1"/>
        <s v="G3" u="1"/>
        <s v="G4" u="1"/>
        <s v="G5" u="1"/>
        <s v="G10" u="1"/>
        <s v="G6" u="1"/>
        <s v="G7" u="1"/>
        <s v="G8" u="1"/>
        <s v="G9" u="1"/>
        <s v="G11" u="1"/>
        <s v="G12" u="1"/>
        <s v="G13" u="1"/>
        <s v="G14" u="1"/>
        <s v="G15" u="1"/>
        <s v="G16" u="1"/>
        <s v="G17" u="1"/>
        <s v="G18" u="1"/>
        <s v="G19" u="1"/>
        <s v="G20" u="1"/>
        <s v="G31" u="1"/>
        <s v="G32" u="1"/>
        <s v="G33" u="1"/>
        <s v="G34" u="1"/>
        <s v="G35" u="1"/>
        <s v="A1" u="1"/>
        <s v="A10" u="1"/>
        <s v="A2" u="1"/>
        <s v="A3" u="1"/>
        <s v="A4" u="1"/>
        <s v="A5" u="1"/>
        <s v="A6" u="1"/>
        <s v="A7" u="1"/>
        <s v="A8" u="1"/>
        <s v="A9" u="1"/>
        <s v="B1" u="1"/>
        <s v="B10" u="1"/>
        <s v="B2" u="1"/>
        <s v="B3" u="1"/>
        <s v="B4" u="1"/>
        <s v="B5" u="1"/>
        <s v="B6" u="1"/>
        <s v="B7" u="1"/>
        <s v="B8" u="1"/>
        <s v="B9" u="1"/>
      </sharedItems>
    </cacheField>
    <cacheField name="[Model].[C-Level].[C-Level]" caption="C-Level" numFmtId="0" hierarchy="1" level="1">
      <sharedItems count="6">
        <s v="C2"/>
        <s v="C3"/>
        <s v="C4-S"/>
        <s v="C5-S"/>
        <s v="C6-M"/>
        <s v="C6-S"/>
      </sharedItems>
    </cacheField>
    <cacheField name="[Measures].[Average of AbsDelta]" caption="Average of AbsDelta" numFmtId="0" hierarchy="15" level="32767"/>
    <cacheField name="[Measures].[Average of MaterialFlag]" caption="Average of MaterialFlag" numFmtId="0" hierarchy="19" level="32767"/>
    <cacheField name="[Measures].[Average of Delta]" caption="Average of Delta" numFmtId="0" hierarchy="17" level="32767"/>
    <cacheField name="[Model].[Competency Area].[Competency Area]" caption="Competency Area" numFmtId="0" hierarchy="11" level="1">
      <sharedItems count="10">
        <s v="Delivery &amp; Consulting"/>
        <s v="DQ-Specific Functional"/>
        <s v="DQ-Specific Technical"/>
        <s v="Squad-Cloud Data Quality"/>
        <s v="Squad-Dashboarding &amp; Analytics"/>
        <s v="Squad-Delivery Excellence"/>
        <s v="Squad-dqOps"/>
        <s v="Squad-Source Cleansing"/>
        <s v="Squad-Specialized and AI Driven"/>
        <s v="Syniti Platform: Technical (ADM-M)"/>
      </sharedItems>
    </cacheField>
  </cacheFields>
  <cacheHierarchies count="29">
    <cacheHierarchy uniqueName="[Model].[REF]" caption="REF" attribute="1" defaultMemberUniqueName="[Model].[REF].[All]" allUniqueName="[Model].[REF].[All]" dimensionUniqueName="[Model]" displayFolder="" count="0" memberValueDatatype="130" unbalanced="0"/>
    <cacheHierarchy uniqueName="[Model].[C-Level]" caption="C-Level" attribute="1" defaultMemberUniqueName="[Model].[C-Level].[All]" allUniqueName="[Model].[C-Level].[All]" dimensionUniqueName="[Model]" displayFolder="" count="2" memberValueDatatype="130" unbalanced="0">
      <fieldsUsage count="2">
        <fieldUsage x="-1"/>
        <fieldUsage x="1"/>
      </fieldsUsage>
    </cacheHierarchy>
    <cacheHierarchy uniqueName="[Model].[Competency]" caption="Competency" attribute="1" defaultMemberUniqueName="[Model].[Competency].[All]" allUniqueName="[Model].[Competency].[All]" dimensionUniqueName="[Model]" displayFolder="" count="2" memberValueDatatype="130" unbalanced="0">
      <fieldsUsage count="2">
        <fieldUsage x="-1"/>
        <fieldUsage x="0"/>
      </fieldsUsage>
    </cacheHierarchy>
    <cacheHierarchy uniqueName="[Model].[Regular]" caption="Regular" attribute="1" defaultMemberUniqueName="[Model].[Regular].[All]" allUniqueName="[Model].[Regular].[All]" dimensionUniqueName="[Model]" displayFolder="" count="0" memberValueDatatype="20" unbalanced="0"/>
    <cacheHierarchy uniqueName="[Model].[Weighted]" caption="Weighted" attribute="1" defaultMemberUniqueName="[Model].[Weighted].[All]" allUniqueName="[Model].[Weighted].[All]" dimensionUniqueName="[Model]" displayFolder="" count="0" memberValueDatatype="5" unbalanced="0"/>
    <cacheHierarchy uniqueName="[Model].[Delta]" caption="Delta" attribute="1" defaultMemberUniqueName="[Model].[Delta].[All]" allUniqueName="[Model].[Delta].[All]" dimensionUniqueName="[Model]" displayFolder="" count="0" memberValueDatatype="5" unbalanced="0"/>
    <cacheHierarchy uniqueName="[Model].[AbsDelta]" caption="AbsDelta" attribute="1" defaultMemberUniqueName="[Model].[AbsDelta].[All]" allUniqueName="[Model].[AbsDelta].[All]" dimensionUniqueName="[Model]" displayFolder="" count="0" memberValueDatatype="5" unbalanced="0"/>
    <cacheHierarchy uniqueName="[Model].[OverFlag]" caption="OverFlag" attribute="1" defaultMemberUniqueName="[Model].[OverFlag].[All]" allUniqueName="[Model].[OverFlag].[All]" dimensionUniqueName="[Model]" displayFolder="" count="0" memberValueDatatype="20" unbalanced="0"/>
    <cacheHierarchy uniqueName="[Model].[UnderFlag]" caption="UnderFlag" attribute="1" defaultMemberUniqueName="[Model].[UnderFlag].[All]" allUniqueName="[Model].[UnderFlag].[All]" dimensionUniqueName="[Model]" displayFolder="" count="0" memberValueDatatype="20" unbalanced="0"/>
    <cacheHierarchy uniqueName="[Model].[MaterialFlag]" caption="MaterialFlag" attribute="1" defaultMemberUniqueName="[Model].[MaterialFlag].[All]" allUniqueName="[Model].[MaterialFlag].[All]" dimensionUniqueName="[Model]" displayFolder="" count="0" memberValueDatatype="20" unbalanced="0"/>
    <cacheHierarchy uniqueName="[Model].[BucketDelta]" caption="BucketDelta" attribute="1" defaultMemberUniqueName="[Model].[BucketDelta].[All]" allUniqueName="[Model].[BucketDelta].[All]" dimensionUniqueName="[Model]" displayFolder="" count="0" memberValueDatatype="130" unbalanced="0"/>
    <cacheHierarchy uniqueName="[Model].[Competency Area]" caption="Competency Area" attribute="1" defaultMemberUniqueName="[Model].[Competency Area].[All]" allUniqueName="[Model].[Competency Area].[All]" dimensionUniqueName="[Model]" displayFolder="" count="2" memberValueDatatype="130" unbalanced="0">
      <fieldsUsage count="2">
        <fieldUsage x="-1"/>
        <fieldUsage x="5"/>
      </fieldsUsage>
    </cacheHierarchy>
    <cacheHierarchy uniqueName="[Measures].[__XL_Count Model]" caption="__XL_Count Model" measure="1" displayFolder="" measureGroup="Model" count="0" hidden="1"/>
    <cacheHierarchy uniqueName="[Measures].[__No measures defined]" caption="__No measures defined" measure="1" displayFolder="" count="0" hidden="1"/>
    <cacheHierarchy uniqueName="[Measures].[Sum of AbsDelta]" caption="Sum of AbsDelta" measure="1" displayFolder="" measureGroup="Model" count="0" hidden="1">
      <extLst>
        <ext xmlns:x15="http://schemas.microsoft.com/office/spreadsheetml/2010/11/main" uri="{B97F6D7D-B522-45F9-BDA1-12C45D357490}">
          <x15:cacheHierarchy aggregatedColumn="6"/>
        </ext>
      </extLst>
    </cacheHierarchy>
    <cacheHierarchy uniqueName="[Measures].[Average of AbsDelta]" caption="Average of AbsDelta" measure="1" displayFolder="" measureGroup="Model" count="0" oneField="1" hidden="1">
      <fieldsUsage count="1">
        <fieldUsage x="2"/>
      </fieldsUsage>
      <extLst>
        <ext xmlns:x15="http://schemas.microsoft.com/office/spreadsheetml/2010/11/main" uri="{B97F6D7D-B522-45F9-BDA1-12C45D357490}">
          <x15:cacheHierarchy aggregatedColumn="6"/>
        </ext>
      </extLst>
    </cacheHierarchy>
    <cacheHierarchy uniqueName="[Measures].[Sum of Delta]" caption="Sum of Delta" measure="1" displayFolder="" measureGroup="Model" count="0" hidden="1">
      <extLst>
        <ext xmlns:x15="http://schemas.microsoft.com/office/spreadsheetml/2010/11/main" uri="{B97F6D7D-B522-45F9-BDA1-12C45D357490}">
          <x15:cacheHierarchy aggregatedColumn="5"/>
        </ext>
      </extLst>
    </cacheHierarchy>
    <cacheHierarchy uniqueName="[Measures].[Average of Delta]" caption="Average of Delta" measure="1" displayFolder="" measureGroup="Model" count="0" oneField="1" hidden="1">
      <fieldsUsage count="1">
        <fieldUsage x="4"/>
      </fieldsUsage>
      <extLst>
        <ext xmlns:x15="http://schemas.microsoft.com/office/spreadsheetml/2010/11/main" uri="{B97F6D7D-B522-45F9-BDA1-12C45D357490}">
          <x15:cacheHierarchy aggregatedColumn="5"/>
        </ext>
      </extLst>
    </cacheHierarchy>
    <cacheHierarchy uniqueName="[Measures].[Sum of MaterialFlag]" caption="Sum of MaterialFlag" measure="1" displayFolder="" measureGroup="Model" count="0" hidden="1">
      <extLst>
        <ext xmlns:x15="http://schemas.microsoft.com/office/spreadsheetml/2010/11/main" uri="{B97F6D7D-B522-45F9-BDA1-12C45D357490}">
          <x15:cacheHierarchy aggregatedColumn="9"/>
        </ext>
      </extLst>
    </cacheHierarchy>
    <cacheHierarchy uniqueName="[Measures].[Average of MaterialFlag]" caption="Average of MaterialFlag" measure="1" displayFolder="" measureGroup="Model" count="0" oneField="1" hidden="1">
      <fieldsUsage count="1">
        <fieldUsage x="3"/>
      </fieldsUsage>
      <extLst>
        <ext xmlns:x15="http://schemas.microsoft.com/office/spreadsheetml/2010/11/main" uri="{B97F6D7D-B522-45F9-BDA1-12C45D357490}">
          <x15:cacheHierarchy aggregatedColumn="9"/>
        </ext>
      </extLst>
    </cacheHierarchy>
    <cacheHierarchy uniqueName="[Measures].[Count of REF]" caption="Count of REF" measure="1" displayFolder="" measureGroup="Model" count="0" hidden="1">
      <extLst>
        <ext xmlns:x15="http://schemas.microsoft.com/office/spreadsheetml/2010/11/main" uri="{B97F6D7D-B522-45F9-BDA1-12C45D357490}">
          <x15:cacheHierarchy aggregatedColumn="0"/>
        </ext>
      </extLst>
    </cacheHierarchy>
    <cacheHierarchy uniqueName="[Measures].[Sum of Regular]" caption="Sum of Regular" measure="1" displayFolder="" measureGroup="Model" count="0" hidden="1">
      <extLst>
        <ext xmlns:x15="http://schemas.microsoft.com/office/spreadsheetml/2010/11/main" uri="{B97F6D7D-B522-45F9-BDA1-12C45D357490}">
          <x15:cacheHierarchy aggregatedColumn="3"/>
        </ext>
      </extLst>
    </cacheHierarchy>
    <cacheHierarchy uniqueName="[Measures].[Average of Regular]" caption="Average of Regular" measure="1" displayFolder="" measureGroup="Model" count="0" hidden="1">
      <extLst>
        <ext xmlns:x15="http://schemas.microsoft.com/office/spreadsheetml/2010/11/main" uri="{B97F6D7D-B522-45F9-BDA1-12C45D357490}">
          <x15:cacheHierarchy aggregatedColumn="3"/>
        </ext>
      </extLst>
    </cacheHierarchy>
    <cacheHierarchy uniqueName="[Measures].[Sum of Weighted]" caption="Sum of Weighted" measure="1" displayFolder="" measureGroup="Model" count="0" hidden="1">
      <extLst>
        <ext xmlns:x15="http://schemas.microsoft.com/office/spreadsheetml/2010/11/main" uri="{B97F6D7D-B522-45F9-BDA1-12C45D357490}">
          <x15:cacheHierarchy aggregatedColumn="4"/>
        </ext>
      </extLst>
    </cacheHierarchy>
    <cacheHierarchy uniqueName="[Measures].[Average of Weighted]" caption="Average of Weighted" measure="1" displayFolder="" measureGroup="Model" count="0" hidden="1">
      <extLst>
        <ext xmlns:x15="http://schemas.microsoft.com/office/spreadsheetml/2010/11/main" uri="{B97F6D7D-B522-45F9-BDA1-12C45D357490}">
          <x15:cacheHierarchy aggregatedColumn="4"/>
        </ext>
      </extLst>
    </cacheHierarchy>
    <cacheHierarchy uniqueName="[Measures].[Sum of OverFlag]" caption="Sum of OverFlag" measure="1" displayFolder="" measureGroup="Model" count="0" hidden="1">
      <extLst>
        <ext xmlns:x15="http://schemas.microsoft.com/office/spreadsheetml/2010/11/main" uri="{B97F6D7D-B522-45F9-BDA1-12C45D357490}">
          <x15:cacheHierarchy aggregatedColumn="7"/>
        </ext>
      </extLst>
    </cacheHierarchy>
    <cacheHierarchy uniqueName="[Measures].[Average of OverFlag]" caption="Average of OverFlag" measure="1" displayFolder="" measureGroup="Model" count="0" hidden="1">
      <extLst>
        <ext xmlns:x15="http://schemas.microsoft.com/office/spreadsheetml/2010/11/main" uri="{B97F6D7D-B522-45F9-BDA1-12C45D357490}">
          <x15:cacheHierarchy aggregatedColumn="7"/>
        </ext>
      </extLst>
    </cacheHierarchy>
    <cacheHierarchy uniqueName="[Measures].[Sum of UnderFlag]" caption="Sum of UnderFlag" measure="1" displayFolder="" measureGroup="Model" count="0" hidden="1">
      <extLst>
        <ext xmlns:x15="http://schemas.microsoft.com/office/spreadsheetml/2010/11/main" uri="{B97F6D7D-B522-45F9-BDA1-12C45D357490}">
          <x15:cacheHierarchy aggregatedColumn="8"/>
        </ext>
      </extLst>
    </cacheHierarchy>
    <cacheHierarchy uniqueName="[Measures].[Average of UnderFlag]" caption="Average of UnderFlag" measure="1" displayFolder="" measureGroup="Model"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Model" uniqueName="[Model]" caption="Model"/>
  </dimensions>
  <measureGroups count="1">
    <measureGroup name="Model" caption="Model"/>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e Antonio Garcia de Castro Valero" refreshedDate="46020.617306250002" backgroundQuery="1" createdVersion="8" refreshedVersion="8" minRefreshableVersion="3" recordCount="0" supportSubquery="1" supportAdvancedDrill="1" xr:uid="{CCEC5768-E653-40E1-8010-C86DBA7D0C2D}">
  <cacheSource type="external" connectionId="7"/>
  <cacheFields count="4">
    <cacheField name="[Model].[Competency].[Competency]" caption="Competency" numFmtId="0" hierarchy="2" level="1">
      <sharedItems count="80">
        <s v="F1"/>
        <s v="F10"/>
        <s v="F2"/>
        <s v="F3"/>
        <s v="F4"/>
        <s v="F5"/>
        <s v="F6"/>
        <s v="F7"/>
        <s v="F8"/>
        <s v="F9"/>
        <s v="D1"/>
        <s v="D2"/>
        <s v="D3"/>
        <s v="D4"/>
        <s v="D5"/>
        <s v="C1"/>
        <s v="C2"/>
        <s v="C3"/>
        <s v="C4"/>
        <s v="C5"/>
        <s v="E1"/>
        <s v="E2"/>
        <s v="E3"/>
        <s v="E4"/>
        <s v="E5"/>
        <s v="G21"/>
        <s v="G22"/>
        <s v="G23"/>
        <s v="G24"/>
        <s v="G25"/>
        <s v="G26"/>
        <s v="G27"/>
        <s v="G28"/>
        <s v="G29"/>
        <s v="G30"/>
        <s v="G1"/>
        <s v="G2"/>
        <s v="G3"/>
        <s v="G4"/>
        <s v="G5"/>
        <s v="G10"/>
        <s v="G6"/>
        <s v="G7"/>
        <s v="G8"/>
        <s v="G9"/>
        <s v="G11"/>
        <s v="G12"/>
        <s v="G13"/>
        <s v="G14"/>
        <s v="G15"/>
        <s v="G16"/>
        <s v="G17"/>
        <s v="G18"/>
        <s v="G19"/>
        <s v="G20"/>
        <s v="G31"/>
        <s v="G32"/>
        <s v="G33"/>
        <s v="G34"/>
        <s v="G35"/>
        <s v="A1"/>
        <s v="A10"/>
        <s v="A2"/>
        <s v="A3"/>
        <s v="A4"/>
        <s v="A5"/>
        <s v="A6"/>
        <s v="A7"/>
        <s v="A8"/>
        <s v="A9"/>
        <s v="B1"/>
        <s v="B10"/>
        <s v="B2"/>
        <s v="B3"/>
        <s v="B4"/>
        <s v="B5"/>
        <s v="B6"/>
        <s v="B7"/>
        <s v="B8"/>
        <s v="B9"/>
      </sharedItems>
    </cacheField>
    <cacheField name="[Model].[C-Level].[C-Level]" caption="C-Level" numFmtId="0" hierarchy="1" level="1">
      <sharedItems count="6">
        <s v="C2"/>
        <s v="C3"/>
        <s v="C4-S"/>
        <s v="C5-S"/>
        <s v="C6-M"/>
        <s v="C6-S"/>
      </sharedItems>
    </cacheField>
    <cacheField name="[Measures].[Average of AbsDelta]" caption="Average of AbsDelta" numFmtId="0" hierarchy="15" level="32767"/>
    <cacheField name="[Model].[Competency Area].[Competency Area]" caption="Competency Area" numFmtId="0" hierarchy="11" level="1">
      <sharedItems count="13">
        <s v="Delivery &amp; Consulting"/>
        <s v="DQ-Specific Functional"/>
        <s v="DQ-Specific Technical"/>
        <s v="SAP Data Functional"/>
        <s v="Squad-Cloud Data Quality"/>
        <s v="Squad-Dashboarding &amp; Analytics"/>
        <s v="Squad-Delivery Excellence"/>
        <s v="Squad-dqOps"/>
        <s v="Squad-Harmonization"/>
        <s v="Squad-Source Cleansing"/>
        <s v="Squad-Specialized and AI Driven"/>
        <s v="Syniti Platform: Technical (ADM)"/>
        <s v="Syniti Platform: Technical (ADM-M)"/>
      </sharedItems>
    </cacheField>
  </cacheFields>
  <cacheHierarchies count="29">
    <cacheHierarchy uniqueName="[Model].[REF]" caption="REF" attribute="1" defaultMemberUniqueName="[Model].[REF].[All]" allUniqueName="[Model].[REF].[All]" dimensionUniqueName="[Model]" displayFolder="" count="2" memberValueDatatype="130" unbalanced="0"/>
    <cacheHierarchy uniqueName="[Model].[C-Level]" caption="C-Level" attribute="1" defaultMemberUniqueName="[Model].[C-Level].[All]" allUniqueName="[Model].[C-Level].[All]" dimensionUniqueName="[Model]" displayFolder="" count="2" memberValueDatatype="130" unbalanced="0">
      <fieldsUsage count="2">
        <fieldUsage x="-1"/>
        <fieldUsage x="1"/>
      </fieldsUsage>
    </cacheHierarchy>
    <cacheHierarchy uniqueName="[Model].[Competency]" caption="Competency" attribute="1" defaultMemberUniqueName="[Model].[Competency].[All]" allUniqueName="[Model].[Competency].[All]" dimensionUniqueName="[Model]" displayFolder="" count="2" memberValueDatatype="130" unbalanced="0">
      <fieldsUsage count="2">
        <fieldUsage x="-1"/>
        <fieldUsage x="0"/>
      </fieldsUsage>
    </cacheHierarchy>
    <cacheHierarchy uniqueName="[Model].[Regular]" caption="Regular" attribute="1" defaultMemberUniqueName="[Model].[Regular].[All]" allUniqueName="[Model].[Regular].[All]" dimensionUniqueName="[Model]" displayFolder="" count="0" memberValueDatatype="20" unbalanced="0"/>
    <cacheHierarchy uniqueName="[Model].[Weighted]" caption="Weighted" attribute="1" defaultMemberUniqueName="[Model].[Weighted].[All]" allUniqueName="[Model].[Weighted].[All]" dimensionUniqueName="[Model]" displayFolder="" count="0" memberValueDatatype="5" unbalanced="0"/>
    <cacheHierarchy uniqueName="[Model].[Delta]" caption="Delta" attribute="1" defaultMemberUniqueName="[Model].[Delta].[All]" allUniqueName="[Model].[Delta].[All]" dimensionUniqueName="[Model]" displayFolder="" count="0" memberValueDatatype="5" unbalanced="0"/>
    <cacheHierarchy uniqueName="[Model].[AbsDelta]" caption="AbsDelta" attribute="1" defaultMemberUniqueName="[Model].[AbsDelta].[All]" allUniqueName="[Model].[AbsDelta].[All]" dimensionUniqueName="[Model]" displayFolder="" count="0" memberValueDatatype="5" unbalanced="0"/>
    <cacheHierarchy uniqueName="[Model].[OverFlag]" caption="OverFlag" attribute="1" defaultMemberUniqueName="[Model].[OverFlag].[All]" allUniqueName="[Model].[OverFlag].[All]" dimensionUniqueName="[Model]" displayFolder="" count="0" memberValueDatatype="20" unbalanced="0"/>
    <cacheHierarchy uniqueName="[Model].[UnderFlag]" caption="UnderFlag" attribute="1" defaultMemberUniqueName="[Model].[UnderFlag].[All]" allUniqueName="[Model].[UnderFlag].[All]" dimensionUniqueName="[Model]" displayFolder="" count="0" memberValueDatatype="20" unbalanced="0"/>
    <cacheHierarchy uniqueName="[Model].[MaterialFlag]" caption="MaterialFlag" attribute="1" defaultMemberUniqueName="[Model].[MaterialFlag].[All]" allUniqueName="[Model].[MaterialFlag].[All]" dimensionUniqueName="[Model]" displayFolder="" count="0" memberValueDatatype="20" unbalanced="0"/>
    <cacheHierarchy uniqueName="[Model].[BucketDelta]" caption="BucketDelta" attribute="1" defaultMemberUniqueName="[Model].[BucketDelta].[All]" allUniqueName="[Model].[BucketDelta].[All]" dimensionUniqueName="[Model]" displayFolder="" count="0" memberValueDatatype="130" unbalanced="0"/>
    <cacheHierarchy uniqueName="[Model].[Competency Area]" caption="Competency Area" attribute="1" defaultMemberUniqueName="[Model].[Competency Area].[All]" allUniqueName="[Model].[Competency Area].[All]" dimensionUniqueName="[Model]" displayFolder="" count="2" memberValueDatatype="130" unbalanced="0">
      <fieldsUsage count="2">
        <fieldUsage x="-1"/>
        <fieldUsage x="3"/>
      </fieldsUsage>
    </cacheHierarchy>
    <cacheHierarchy uniqueName="[Measures].[__XL_Count Model]" caption="__XL_Count Model" measure="1" displayFolder="" measureGroup="Model" count="0" hidden="1"/>
    <cacheHierarchy uniqueName="[Measures].[__No measures defined]" caption="__No measures defined" measure="1" displayFolder="" count="0" hidden="1"/>
    <cacheHierarchy uniqueName="[Measures].[Sum of AbsDelta]" caption="Sum of AbsDelta" measure="1" displayFolder="" measureGroup="Model" count="0" hidden="1">
      <extLst>
        <ext xmlns:x15="http://schemas.microsoft.com/office/spreadsheetml/2010/11/main" uri="{B97F6D7D-B522-45F9-BDA1-12C45D357490}">
          <x15:cacheHierarchy aggregatedColumn="6"/>
        </ext>
      </extLst>
    </cacheHierarchy>
    <cacheHierarchy uniqueName="[Measures].[Average of AbsDelta]" caption="Average of AbsDelta" measure="1" displayFolder="" measureGroup="Model" count="0" oneField="1" hidden="1">
      <fieldsUsage count="1">
        <fieldUsage x="2"/>
      </fieldsUsage>
      <extLst>
        <ext xmlns:x15="http://schemas.microsoft.com/office/spreadsheetml/2010/11/main" uri="{B97F6D7D-B522-45F9-BDA1-12C45D357490}">
          <x15:cacheHierarchy aggregatedColumn="6"/>
        </ext>
      </extLst>
    </cacheHierarchy>
    <cacheHierarchy uniqueName="[Measures].[Sum of Delta]" caption="Sum of Delta" measure="1" displayFolder="" measureGroup="Model" count="0" hidden="1">
      <extLst>
        <ext xmlns:x15="http://schemas.microsoft.com/office/spreadsheetml/2010/11/main" uri="{B97F6D7D-B522-45F9-BDA1-12C45D357490}">
          <x15:cacheHierarchy aggregatedColumn="5"/>
        </ext>
      </extLst>
    </cacheHierarchy>
    <cacheHierarchy uniqueName="[Measures].[Average of Delta]" caption="Average of Delta" measure="1" displayFolder="" measureGroup="Model" count="0" hidden="1">
      <extLst>
        <ext xmlns:x15="http://schemas.microsoft.com/office/spreadsheetml/2010/11/main" uri="{B97F6D7D-B522-45F9-BDA1-12C45D357490}">
          <x15:cacheHierarchy aggregatedColumn="5"/>
        </ext>
      </extLst>
    </cacheHierarchy>
    <cacheHierarchy uniqueName="[Measures].[Sum of MaterialFlag]" caption="Sum of MaterialFlag" measure="1" displayFolder="" measureGroup="Model" count="0" hidden="1">
      <extLst>
        <ext xmlns:x15="http://schemas.microsoft.com/office/spreadsheetml/2010/11/main" uri="{B97F6D7D-B522-45F9-BDA1-12C45D357490}">
          <x15:cacheHierarchy aggregatedColumn="9"/>
        </ext>
      </extLst>
    </cacheHierarchy>
    <cacheHierarchy uniqueName="[Measures].[Average of MaterialFlag]" caption="Average of MaterialFlag" measure="1" displayFolder="" measureGroup="Model" count="0" hidden="1">
      <extLst>
        <ext xmlns:x15="http://schemas.microsoft.com/office/spreadsheetml/2010/11/main" uri="{B97F6D7D-B522-45F9-BDA1-12C45D357490}">
          <x15:cacheHierarchy aggregatedColumn="9"/>
        </ext>
      </extLst>
    </cacheHierarchy>
    <cacheHierarchy uniqueName="[Measures].[Count of REF]" caption="Count of REF" measure="1" displayFolder="" measureGroup="Model" count="0" hidden="1">
      <extLst>
        <ext xmlns:x15="http://schemas.microsoft.com/office/spreadsheetml/2010/11/main" uri="{B97F6D7D-B522-45F9-BDA1-12C45D357490}">
          <x15:cacheHierarchy aggregatedColumn="0"/>
        </ext>
      </extLst>
    </cacheHierarchy>
    <cacheHierarchy uniqueName="[Measures].[Sum of Regular]" caption="Sum of Regular" measure="1" displayFolder="" measureGroup="Model" count="0" hidden="1">
      <extLst>
        <ext xmlns:x15="http://schemas.microsoft.com/office/spreadsheetml/2010/11/main" uri="{B97F6D7D-B522-45F9-BDA1-12C45D357490}">
          <x15:cacheHierarchy aggregatedColumn="3"/>
        </ext>
      </extLst>
    </cacheHierarchy>
    <cacheHierarchy uniqueName="[Measures].[Average of Regular]" caption="Average of Regular" measure="1" displayFolder="" measureGroup="Model" count="0" hidden="1">
      <extLst>
        <ext xmlns:x15="http://schemas.microsoft.com/office/spreadsheetml/2010/11/main" uri="{B97F6D7D-B522-45F9-BDA1-12C45D357490}">
          <x15:cacheHierarchy aggregatedColumn="3"/>
        </ext>
      </extLst>
    </cacheHierarchy>
    <cacheHierarchy uniqueName="[Measures].[Sum of Weighted]" caption="Sum of Weighted" measure="1" displayFolder="" measureGroup="Model" count="0" hidden="1">
      <extLst>
        <ext xmlns:x15="http://schemas.microsoft.com/office/spreadsheetml/2010/11/main" uri="{B97F6D7D-B522-45F9-BDA1-12C45D357490}">
          <x15:cacheHierarchy aggregatedColumn="4"/>
        </ext>
      </extLst>
    </cacheHierarchy>
    <cacheHierarchy uniqueName="[Measures].[Average of Weighted]" caption="Average of Weighted" measure="1" displayFolder="" measureGroup="Model" count="0" hidden="1">
      <extLst>
        <ext xmlns:x15="http://schemas.microsoft.com/office/spreadsheetml/2010/11/main" uri="{B97F6D7D-B522-45F9-BDA1-12C45D357490}">
          <x15:cacheHierarchy aggregatedColumn="4"/>
        </ext>
      </extLst>
    </cacheHierarchy>
    <cacheHierarchy uniqueName="[Measures].[Sum of OverFlag]" caption="Sum of OverFlag" measure="1" displayFolder="" measureGroup="Model" count="0" hidden="1">
      <extLst>
        <ext xmlns:x15="http://schemas.microsoft.com/office/spreadsheetml/2010/11/main" uri="{B97F6D7D-B522-45F9-BDA1-12C45D357490}">
          <x15:cacheHierarchy aggregatedColumn="7"/>
        </ext>
      </extLst>
    </cacheHierarchy>
    <cacheHierarchy uniqueName="[Measures].[Average of OverFlag]" caption="Average of OverFlag" measure="1" displayFolder="" measureGroup="Model" count="0" hidden="1">
      <extLst>
        <ext xmlns:x15="http://schemas.microsoft.com/office/spreadsheetml/2010/11/main" uri="{B97F6D7D-B522-45F9-BDA1-12C45D357490}">
          <x15:cacheHierarchy aggregatedColumn="7"/>
        </ext>
      </extLst>
    </cacheHierarchy>
    <cacheHierarchy uniqueName="[Measures].[Sum of UnderFlag]" caption="Sum of UnderFlag" measure="1" displayFolder="" measureGroup="Model" count="0" hidden="1">
      <extLst>
        <ext xmlns:x15="http://schemas.microsoft.com/office/spreadsheetml/2010/11/main" uri="{B97F6D7D-B522-45F9-BDA1-12C45D357490}">
          <x15:cacheHierarchy aggregatedColumn="8"/>
        </ext>
      </extLst>
    </cacheHierarchy>
    <cacheHierarchy uniqueName="[Measures].[Average of UnderFlag]" caption="Average of UnderFlag" measure="1" displayFolder="" measureGroup="Model"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Model" uniqueName="[Model]" caption="Model"/>
  </dimensions>
  <measureGroups count="1">
    <measureGroup name="Model" caption="Model"/>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e Antonio Garcia de Castro Valero" refreshedDate="46020.617411458334" backgroundQuery="1" createdVersion="8" refreshedVersion="8" minRefreshableVersion="3" recordCount="0" supportSubquery="1" supportAdvancedDrill="1" xr:uid="{629CAA47-E6CF-4154-B747-83B3549AAE37}">
  <cacheSource type="external" connectionId="7"/>
  <cacheFields count="4">
    <cacheField name="[Model].[Competency].[Competency]" caption="Competency" numFmtId="0" hierarchy="2" level="1">
      <sharedItems count="80">
        <s v="F1"/>
        <s v="F10"/>
        <s v="F2"/>
        <s v="F3"/>
        <s v="F4"/>
        <s v="F5"/>
        <s v="F6"/>
        <s v="F7"/>
        <s v="F8"/>
        <s v="F9"/>
        <s v="D1"/>
        <s v="D2"/>
        <s v="D3"/>
        <s v="D4"/>
        <s v="D5"/>
        <s v="C1"/>
        <s v="C2"/>
        <s v="C3"/>
        <s v="C4"/>
        <s v="C5"/>
        <s v="E1"/>
        <s v="E2"/>
        <s v="E3"/>
        <s v="E4"/>
        <s v="E5"/>
        <s v="G21"/>
        <s v="G22"/>
        <s v="G23"/>
        <s v="G24"/>
        <s v="G25"/>
        <s v="G26"/>
        <s v="G27"/>
        <s v="G28"/>
        <s v="G29"/>
        <s v="G30"/>
        <s v="G1"/>
        <s v="G2"/>
        <s v="G3"/>
        <s v="G4"/>
        <s v="G5"/>
        <s v="G10"/>
        <s v="G6"/>
        <s v="G7"/>
        <s v="G8"/>
        <s v="G9"/>
        <s v="G11"/>
        <s v="G12"/>
        <s v="G13"/>
        <s v="G14"/>
        <s v="G15"/>
        <s v="G16"/>
        <s v="G17"/>
        <s v="G18"/>
        <s v="G19"/>
        <s v="G20"/>
        <s v="G31"/>
        <s v="G32"/>
        <s v="G33"/>
        <s v="G34"/>
        <s v="G35"/>
        <s v="A1"/>
        <s v="A10"/>
        <s v="A2"/>
        <s v="A3"/>
        <s v="A4"/>
        <s v="A5"/>
        <s v="A6"/>
        <s v="A7"/>
        <s v="A8"/>
        <s v="A9"/>
        <s v="B1"/>
        <s v="B10"/>
        <s v="B2"/>
        <s v="B3"/>
        <s v="B4"/>
        <s v="B5"/>
        <s v="B6"/>
        <s v="B7"/>
        <s v="B8"/>
        <s v="B9"/>
      </sharedItems>
    </cacheField>
    <cacheField name="[Model].[C-Level].[C-Level]" caption="C-Level" numFmtId="0" hierarchy="1" level="1">
      <sharedItems count="6">
        <s v="C2"/>
        <s v="C3"/>
        <s v="C4-S"/>
        <s v="C5-S"/>
        <s v="C6-M"/>
        <s v="C6-S"/>
      </sharedItems>
    </cacheField>
    <cacheField name="[Measures].[Average of Delta]" caption="Average of Delta" numFmtId="0" hierarchy="17" level="32767"/>
    <cacheField name="[Model].[Competency Area].[Competency Area]" caption="Competency Area" numFmtId="0" hierarchy="11" level="1">
      <sharedItems count="13">
        <s v="Delivery &amp; Consulting"/>
        <s v="DQ-Specific Functional"/>
        <s v="DQ-Specific Technical"/>
        <s v="SAP Data Functional"/>
        <s v="Squad-Cloud Data Quality"/>
        <s v="Squad-Dashboarding &amp; Analytics"/>
        <s v="Squad-Delivery Excellence"/>
        <s v="Squad-dqOps"/>
        <s v="Squad-Harmonization"/>
        <s v="Squad-Source Cleansing"/>
        <s v="Squad-Specialized and AI Driven"/>
        <s v="Syniti Platform: Technical (ADM)"/>
        <s v="Syniti Platform: Technical (ADM-M)"/>
      </sharedItems>
    </cacheField>
  </cacheFields>
  <cacheHierarchies count="29">
    <cacheHierarchy uniqueName="[Model].[REF]" caption="REF" attribute="1" defaultMemberUniqueName="[Model].[REF].[All]" allUniqueName="[Model].[REF].[All]" dimensionUniqueName="[Model]" displayFolder="" count="0" memberValueDatatype="130" unbalanced="0"/>
    <cacheHierarchy uniqueName="[Model].[C-Level]" caption="C-Level" attribute="1" defaultMemberUniqueName="[Model].[C-Level].[All]" allUniqueName="[Model].[C-Level].[All]" dimensionUniqueName="[Model]" displayFolder="" count="2" memberValueDatatype="130" unbalanced="0">
      <fieldsUsage count="2">
        <fieldUsage x="-1"/>
        <fieldUsage x="1"/>
      </fieldsUsage>
    </cacheHierarchy>
    <cacheHierarchy uniqueName="[Model].[Competency]" caption="Competency" attribute="1" defaultMemberUniqueName="[Model].[Competency].[All]" allUniqueName="[Model].[Competency].[All]" dimensionUniqueName="[Model]" displayFolder="" count="2" memberValueDatatype="130" unbalanced="0">
      <fieldsUsage count="2">
        <fieldUsage x="-1"/>
        <fieldUsage x="0"/>
      </fieldsUsage>
    </cacheHierarchy>
    <cacheHierarchy uniqueName="[Model].[Regular]" caption="Regular" attribute="1" defaultMemberUniqueName="[Model].[Regular].[All]" allUniqueName="[Model].[Regular].[All]" dimensionUniqueName="[Model]" displayFolder="" count="0" memberValueDatatype="20" unbalanced="0"/>
    <cacheHierarchy uniqueName="[Model].[Weighted]" caption="Weighted" attribute="1" defaultMemberUniqueName="[Model].[Weighted].[All]" allUniqueName="[Model].[Weighted].[All]" dimensionUniqueName="[Model]" displayFolder="" count="0" memberValueDatatype="5" unbalanced="0"/>
    <cacheHierarchy uniqueName="[Model].[Delta]" caption="Delta" attribute="1" defaultMemberUniqueName="[Model].[Delta].[All]" allUniqueName="[Model].[Delta].[All]" dimensionUniqueName="[Model]" displayFolder="" count="0" memberValueDatatype="5" unbalanced="0"/>
    <cacheHierarchy uniqueName="[Model].[AbsDelta]" caption="AbsDelta" attribute="1" defaultMemberUniqueName="[Model].[AbsDelta].[All]" allUniqueName="[Model].[AbsDelta].[All]" dimensionUniqueName="[Model]" displayFolder="" count="0" memberValueDatatype="5" unbalanced="0"/>
    <cacheHierarchy uniqueName="[Model].[OverFlag]" caption="OverFlag" attribute="1" defaultMemberUniqueName="[Model].[OverFlag].[All]" allUniqueName="[Model].[OverFlag].[All]" dimensionUniqueName="[Model]" displayFolder="" count="0" memberValueDatatype="20" unbalanced="0"/>
    <cacheHierarchy uniqueName="[Model].[UnderFlag]" caption="UnderFlag" attribute="1" defaultMemberUniqueName="[Model].[UnderFlag].[All]" allUniqueName="[Model].[UnderFlag].[All]" dimensionUniqueName="[Model]" displayFolder="" count="0" memberValueDatatype="20" unbalanced="0"/>
    <cacheHierarchy uniqueName="[Model].[MaterialFlag]" caption="MaterialFlag" attribute="1" defaultMemberUniqueName="[Model].[MaterialFlag].[All]" allUniqueName="[Model].[MaterialFlag].[All]" dimensionUniqueName="[Model]" displayFolder="" count="0" memberValueDatatype="20" unbalanced="0"/>
    <cacheHierarchy uniqueName="[Model].[BucketDelta]" caption="BucketDelta" attribute="1" defaultMemberUniqueName="[Model].[BucketDelta].[All]" allUniqueName="[Model].[BucketDelta].[All]" dimensionUniqueName="[Model]" displayFolder="" count="0" memberValueDatatype="130" unbalanced="0"/>
    <cacheHierarchy uniqueName="[Model].[Competency Area]" caption="Competency Area" attribute="1" defaultMemberUniqueName="[Model].[Competency Area].[All]" allUniqueName="[Model].[Competency Area].[All]" dimensionUniqueName="[Model]" displayFolder="" count="2" memberValueDatatype="130" unbalanced="0">
      <fieldsUsage count="2">
        <fieldUsage x="-1"/>
        <fieldUsage x="3"/>
      </fieldsUsage>
    </cacheHierarchy>
    <cacheHierarchy uniqueName="[Measures].[__XL_Count Model]" caption="__XL_Count Model" measure="1" displayFolder="" measureGroup="Model" count="0" hidden="1"/>
    <cacheHierarchy uniqueName="[Measures].[__No measures defined]" caption="__No measures defined" measure="1" displayFolder="" count="0" hidden="1"/>
    <cacheHierarchy uniqueName="[Measures].[Sum of AbsDelta]" caption="Sum of AbsDelta" measure="1" displayFolder="" measureGroup="Model" count="0" hidden="1">
      <extLst>
        <ext xmlns:x15="http://schemas.microsoft.com/office/spreadsheetml/2010/11/main" uri="{B97F6D7D-B522-45F9-BDA1-12C45D357490}">
          <x15:cacheHierarchy aggregatedColumn="6"/>
        </ext>
      </extLst>
    </cacheHierarchy>
    <cacheHierarchy uniqueName="[Measures].[Average of AbsDelta]" caption="Average of AbsDelta" measure="1" displayFolder="" measureGroup="Model" count="0" hidden="1">
      <extLst>
        <ext xmlns:x15="http://schemas.microsoft.com/office/spreadsheetml/2010/11/main" uri="{B97F6D7D-B522-45F9-BDA1-12C45D357490}">
          <x15:cacheHierarchy aggregatedColumn="6"/>
        </ext>
      </extLst>
    </cacheHierarchy>
    <cacheHierarchy uniqueName="[Measures].[Sum of Delta]" caption="Sum of Delta" measure="1" displayFolder="" measureGroup="Model" count="0" hidden="1">
      <extLst>
        <ext xmlns:x15="http://schemas.microsoft.com/office/spreadsheetml/2010/11/main" uri="{B97F6D7D-B522-45F9-BDA1-12C45D357490}">
          <x15:cacheHierarchy aggregatedColumn="5"/>
        </ext>
      </extLst>
    </cacheHierarchy>
    <cacheHierarchy uniqueName="[Measures].[Average of Delta]" caption="Average of Delta" measure="1" displayFolder="" measureGroup="Model" count="0" oneField="1" hidden="1">
      <fieldsUsage count="1">
        <fieldUsage x="2"/>
      </fieldsUsage>
      <extLst>
        <ext xmlns:x15="http://schemas.microsoft.com/office/spreadsheetml/2010/11/main" uri="{B97F6D7D-B522-45F9-BDA1-12C45D357490}">
          <x15:cacheHierarchy aggregatedColumn="5"/>
        </ext>
      </extLst>
    </cacheHierarchy>
    <cacheHierarchy uniqueName="[Measures].[Sum of MaterialFlag]" caption="Sum of MaterialFlag" measure="1" displayFolder="" measureGroup="Model" count="0" hidden="1">
      <extLst>
        <ext xmlns:x15="http://schemas.microsoft.com/office/spreadsheetml/2010/11/main" uri="{B97F6D7D-B522-45F9-BDA1-12C45D357490}">
          <x15:cacheHierarchy aggregatedColumn="9"/>
        </ext>
      </extLst>
    </cacheHierarchy>
    <cacheHierarchy uniqueName="[Measures].[Average of MaterialFlag]" caption="Average of MaterialFlag" measure="1" displayFolder="" measureGroup="Model" count="0" hidden="1">
      <extLst>
        <ext xmlns:x15="http://schemas.microsoft.com/office/spreadsheetml/2010/11/main" uri="{B97F6D7D-B522-45F9-BDA1-12C45D357490}">
          <x15:cacheHierarchy aggregatedColumn="9"/>
        </ext>
      </extLst>
    </cacheHierarchy>
    <cacheHierarchy uniqueName="[Measures].[Count of REF]" caption="Count of REF" measure="1" displayFolder="" measureGroup="Model" count="0" hidden="1">
      <extLst>
        <ext xmlns:x15="http://schemas.microsoft.com/office/spreadsheetml/2010/11/main" uri="{B97F6D7D-B522-45F9-BDA1-12C45D357490}">
          <x15:cacheHierarchy aggregatedColumn="0"/>
        </ext>
      </extLst>
    </cacheHierarchy>
    <cacheHierarchy uniqueName="[Measures].[Sum of Regular]" caption="Sum of Regular" measure="1" displayFolder="" measureGroup="Model" count="0" hidden="1">
      <extLst>
        <ext xmlns:x15="http://schemas.microsoft.com/office/spreadsheetml/2010/11/main" uri="{B97F6D7D-B522-45F9-BDA1-12C45D357490}">
          <x15:cacheHierarchy aggregatedColumn="3"/>
        </ext>
      </extLst>
    </cacheHierarchy>
    <cacheHierarchy uniqueName="[Measures].[Average of Regular]" caption="Average of Regular" measure="1" displayFolder="" measureGroup="Model" count="0" hidden="1">
      <extLst>
        <ext xmlns:x15="http://schemas.microsoft.com/office/spreadsheetml/2010/11/main" uri="{B97F6D7D-B522-45F9-BDA1-12C45D357490}">
          <x15:cacheHierarchy aggregatedColumn="3"/>
        </ext>
      </extLst>
    </cacheHierarchy>
    <cacheHierarchy uniqueName="[Measures].[Sum of Weighted]" caption="Sum of Weighted" measure="1" displayFolder="" measureGroup="Model" count="0" hidden="1">
      <extLst>
        <ext xmlns:x15="http://schemas.microsoft.com/office/spreadsheetml/2010/11/main" uri="{B97F6D7D-B522-45F9-BDA1-12C45D357490}">
          <x15:cacheHierarchy aggregatedColumn="4"/>
        </ext>
      </extLst>
    </cacheHierarchy>
    <cacheHierarchy uniqueName="[Measures].[Average of Weighted]" caption="Average of Weighted" measure="1" displayFolder="" measureGroup="Model" count="0" hidden="1">
      <extLst>
        <ext xmlns:x15="http://schemas.microsoft.com/office/spreadsheetml/2010/11/main" uri="{B97F6D7D-B522-45F9-BDA1-12C45D357490}">
          <x15:cacheHierarchy aggregatedColumn="4"/>
        </ext>
      </extLst>
    </cacheHierarchy>
    <cacheHierarchy uniqueName="[Measures].[Sum of OverFlag]" caption="Sum of OverFlag" measure="1" displayFolder="" measureGroup="Model" count="0" hidden="1">
      <extLst>
        <ext xmlns:x15="http://schemas.microsoft.com/office/spreadsheetml/2010/11/main" uri="{B97F6D7D-B522-45F9-BDA1-12C45D357490}">
          <x15:cacheHierarchy aggregatedColumn="7"/>
        </ext>
      </extLst>
    </cacheHierarchy>
    <cacheHierarchy uniqueName="[Measures].[Average of OverFlag]" caption="Average of OverFlag" measure="1" displayFolder="" measureGroup="Model" count="0" hidden="1">
      <extLst>
        <ext xmlns:x15="http://schemas.microsoft.com/office/spreadsheetml/2010/11/main" uri="{B97F6D7D-B522-45F9-BDA1-12C45D357490}">
          <x15:cacheHierarchy aggregatedColumn="7"/>
        </ext>
      </extLst>
    </cacheHierarchy>
    <cacheHierarchy uniqueName="[Measures].[Sum of UnderFlag]" caption="Sum of UnderFlag" measure="1" displayFolder="" measureGroup="Model" count="0" hidden="1">
      <extLst>
        <ext xmlns:x15="http://schemas.microsoft.com/office/spreadsheetml/2010/11/main" uri="{B97F6D7D-B522-45F9-BDA1-12C45D357490}">
          <x15:cacheHierarchy aggregatedColumn="8"/>
        </ext>
      </extLst>
    </cacheHierarchy>
    <cacheHierarchy uniqueName="[Measures].[Average of UnderFlag]" caption="Average of UnderFlag" measure="1" displayFolder="" measureGroup="Model"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Model" uniqueName="[Model]" caption="Model"/>
  </dimensions>
  <measureGroups count="1">
    <measureGroup name="Model" caption="Model"/>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e Antonio Garcia de Castro Valero" refreshedDate="46020.617556018522" backgroundQuery="1" createdVersion="8" refreshedVersion="8" minRefreshableVersion="3" recordCount="0" supportSubquery="1" supportAdvancedDrill="1" xr:uid="{23ECB6C1-3CE0-4892-8BD3-3479061B3CF2}">
  <cacheSource type="external" connectionId="7"/>
  <cacheFields count="4">
    <cacheField name="[Model].[Competency].[Competency]" caption="Competency" numFmtId="0" hierarchy="2" level="1">
      <sharedItems count="80">
        <s v="F1"/>
        <s v="F10"/>
        <s v="F2"/>
        <s v="F3"/>
        <s v="F4"/>
        <s v="F5"/>
        <s v="F6"/>
        <s v="F7"/>
        <s v="F8"/>
        <s v="F9"/>
        <s v="D1"/>
        <s v="D2"/>
        <s v="D3"/>
        <s v="D4"/>
        <s v="D5"/>
        <s v="C1"/>
        <s v="C2"/>
        <s v="C3"/>
        <s v="C4"/>
        <s v="C5"/>
        <s v="E1"/>
        <s v="E2"/>
        <s v="E3"/>
        <s v="E4"/>
        <s v="E5"/>
        <s v="G21"/>
        <s v="G22"/>
        <s v="G23"/>
        <s v="G24"/>
        <s v="G25"/>
        <s v="G26"/>
        <s v="G27"/>
        <s v="G28"/>
        <s v="G29"/>
        <s v="G30"/>
        <s v="G1"/>
        <s v="G2"/>
        <s v="G3"/>
        <s v="G4"/>
        <s v="G5"/>
        <s v="G10"/>
        <s v="G6"/>
        <s v="G7"/>
        <s v="G8"/>
        <s v="G9"/>
        <s v="G11"/>
        <s v="G12"/>
        <s v="G13"/>
        <s v="G14"/>
        <s v="G15"/>
        <s v="G16"/>
        <s v="G17"/>
        <s v="G18"/>
        <s v="G19"/>
        <s v="G20"/>
        <s v="G31"/>
        <s v="G32"/>
        <s v="G33"/>
        <s v="G34"/>
        <s v="G35"/>
        <s v="A1"/>
        <s v="A10"/>
        <s v="A2"/>
        <s v="A3"/>
        <s v="A4"/>
        <s v="A5"/>
        <s v="A6"/>
        <s v="A7"/>
        <s v="A8"/>
        <s v="A9"/>
        <s v="B1"/>
        <s v="B10"/>
        <s v="B2"/>
        <s v="B3"/>
        <s v="B4"/>
        <s v="B5"/>
        <s v="B6"/>
        <s v="B7"/>
        <s v="B8"/>
        <s v="B9"/>
      </sharedItems>
    </cacheField>
    <cacheField name="[Model].[BucketDelta].[BucketDelta]" caption="BucketDelta" numFmtId="0" hierarchy="10" level="1">
      <sharedItems count="5">
        <s v="+1"/>
        <s v="&lt;=-2"/>
        <s v="&gt;=+2"/>
        <s v="0"/>
        <s v="-1"/>
      </sharedItems>
    </cacheField>
    <cacheField name="[Measures].[Count of REF]" caption="Count of REF" numFmtId="0" hierarchy="20" level="32767"/>
    <cacheField name="[Model].[Competency Area].[Competency Area]" caption="Competency Area" numFmtId="0" hierarchy="11" level="1">
      <sharedItems count="13">
        <s v="Delivery &amp; Consulting"/>
        <s v="DQ-Specific Functional"/>
        <s v="DQ-Specific Technical"/>
        <s v="SAP Data Functional"/>
        <s v="Squad-Cloud Data Quality"/>
        <s v="Squad-Dashboarding &amp; Analytics"/>
        <s v="Squad-Delivery Excellence"/>
        <s v="Squad-dqOps"/>
        <s v="Squad-Harmonization"/>
        <s v="Squad-Source Cleansing"/>
        <s v="Squad-Specialized and AI Driven"/>
        <s v="Syniti Platform: Technical (ADM)"/>
        <s v="Syniti Platform: Technical (ADM-M)"/>
      </sharedItems>
    </cacheField>
  </cacheFields>
  <cacheHierarchies count="29">
    <cacheHierarchy uniqueName="[Model].[REF]" caption="REF" attribute="1" defaultMemberUniqueName="[Model].[REF].[All]" allUniqueName="[Model].[REF].[All]" dimensionUniqueName="[Model]" displayFolder="" count="0" memberValueDatatype="130" unbalanced="0"/>
    <cacheHierarchy uniqueName="[Model].[C-Level]" caption="C-Level" attribute="1" defaultMemberUniqueName="[Model].[C-Level].[All]" allUniqueName="[Model].[C-Level].[All]" dimensionUniqueName="[Model]" displayFolder="" count="0" memberValueDatatype="130" unbalanced="0"/>
    <cacheHierarchy uniqueName="[Model].[Competency]" caption="Competency" attribute="1" defaultMemberUniqueName="[Model].[Competency].[All]" allUniqueName="[Model].[Competency].[All]" dimensionUniqueName="[Model]" displayFolder="" count="2" memberValueDatatype="130" unbalanced="0">
      <fieldsUsage count="2">
        <fieldUsage x="-1"/>
        <fieldUsage x="0"/>
      </fieldsUsage>
    </cacheHierarchy>
    <cacheHierarchy uniqueName="[Model].[Regular]" caption="Regular" attribute="1" defaultMemberUniqueName="[Model].[Regular].[All]" allUniqueName="[Model].[Regular].[All]" dimensionUniqueName="[Model]" displayFolder="" count="0" memberValueDatatype="20" unbalanced="0"/>
    <cacheHierarchy uniqueName="[Model].[Weighted]" caption="Weighted" attribute="1" defaultMemberUniqueName="[Model].[Weighted].[All]" allUniqueName="[Model].[Weighted].[All]" dimensionUniqueName="[Model]" displayFolder="" count="0" memberValueDatatype="5" unbalanced="0"/>
    <cacheHierarchy uniqueName="[Model].[Delta]" caption="Delta" attribute="1" defaultMemberUniqueName="[Model].[Delta].[All]" allUniqueName="[Model].[Delta].[All]" dimensionUniqueName="[Model]" displayFolder="" count="0" memberValueDatatype="5" unbalanced="0"/>
    <cacheHierarchy uniqueName="[Model].[AbsDelta]" caption="AbsDelta" attribute="1" defaultMemberUniqueName="[Model].[AbsDelta].[All]" allUniqueName="[Model].[AbsDelta].[All]" dimensionUniqueName="[Model]" displayFolder="" count="0" memberValueDatatype="5" unbalanced="0"/>
    <cacheHierarchy uniqueName="[Model].[OverFlag]" caption="OverFlag" attribute="1" defaultMemberUniqueName="[Model].[OverFlag].[All]" allUniqueName="[Model].[OverFlag].[All]" dimensionUniqueName="[Model]" displayFolder="" count="0" memberValueDatatype="20" unbalanced="0"/>
    <cacheHierarchy uniqueName="[Model].[UnderFlag]" caption="UnderFlag" attribute="1" defaultMemberUniqueName="[Model].[UnderFlag].[All]" allUniqueName="[Model].[UnderFlag].[All]" dimensionUniqueName="[Model]" displayFolder="" count="0" memberValueDatatype="20" unbalanced="0"/>
    <cacheHierarchy uniqueName="[Model].[MaterialFlag]" caption="MaterialFlag" attribute="1" defaultMemberUniqueName="[Model].[MaterialFlag].[All]" allUniqueName="[Model].[MaterialFlag].[All]" dimensionUniqueName="[Model]" displayFolder="" count="0" memberValueDatatype="20" unbalanced="0"/>
    <cacheHierarchy uniqueName="[Model].[BucketDelta]" caption="BucketDelta" attribute="1" defaultMemberUniqueName="[Model].[BucketDelta].[All]" allUniqueName="[Model].[BucketDelta].[All]" dimensionUniqueName="[Model]" displayFolder="" count="2" memberValueDatatype="130" unbalanced="0">
      <fieldsUsage count="2">
        <fieldUsage x="-1"/>
        <fieldUsage x="1"/>
      </fieldsUsage>
    </cacheHierarchy>
    <cacheHierarchy uniqueName="[Model].[Competency Area]" caption="Competency Area" attribute="1" defaultMemberUniqueName="[Model].[Competency Area].[All]" allUniqueName="[Model].[Competency Area].[All]" dimensionUniqueName="[Model]" displayFolder="" count="2" memberValueDatatype="130" unbalanced="0">
      <fieldsUsage count="2">
        <fieldUsage x="-1"/>
        <fieldUsage x="3"/>
      </fieldsUsage>
    </cacheHierarchy>
    <cacheHierarchy uniqueName="[Measures].[__XL_Count Model]" caption="__XL_Count Model" measure="1" displayFolder="" measureGroup="Model" count="0" hidden="1"/>
    <cacheHierarchy uniqueName="[Measures].[__No measures defined]" caption="__No measures defined" measure="1" displayFolder="" count="0" hidden="1"/>
    <cacheHierarchy uniqueName="[Measures].[Sum of AbsDelta]" caption="Sum of AbsDelta" measure="1" displayFolder="" measureGroup="Model" count="0" hidden="1">
      <extLst>
        <ext xmlns:x15="http://schemas.microsoft.com/office/spreadsheetml/2010/11/main" uri="{B97F6D7D-B522-45F9-BDA1-12C45D357490}">
          <x15:cacheHierarchy aggregatedColumn="6"/>
        </ext>
      </extLst>
    </cacheHierarchy>
    <cacheHierarchy uniqueName="[Measures].[Average of AbsDelta]" caption="Average of AbsDelta" measure="1" displayFolder="" measureGroup="Model" count="0" hidden="1">
      <extLst>
        <ext xmlns:x15="http://schemas.microsoft.com/office/spreadsheetml/2010/11/main" uri="{B97F6D7D-B522-45F9-BDA1-12C45D357490}">
          <x15:cacheHierarchy aggregatedColumn="6"/>
        </ext>
      </extLst>
    </cacheHierarchy>
    <cacheHierarchy uniqueName="[Measures].[Sum of Delta]" caption="Sum of Delta" measure="1" displayFolder="" measureGroup="Model" count="0" hidden="1">
      <extLst>
        <ext xmlns:x15="http://schemas.microsoft.com/office/spreadsheetml/2010/11/main" uri="{B97F6D7D-B522-45F9-BDA1-12C45D357490}">
          <x15:cacheHierarchy aggregatedColumn="5"/>
        </ext>
      </extLst>
    </cacheHierarchy>
    <cacheHierarchy uniqueName="[Measures].[Average of Delta]" caption="Average of Delta" measure="1" displayFolder="" measureGroup="Model" count="0" hidden="1">
      <extLst>
        <ext xmlns:x15="http://schemas.microsoft.com/office/spreadsheetml/2010/11/main" uri="{B97F6D7D-B522-45F9-BDA1-12C45D357490}">
          <x15:cacheHierarchy aggregatedColumn="5"/>
        </ext>
      </extLst>
    </cacheHierarchy>
    <cacheHierarchy uniqueName="[Measures].[Sum of MaterialFlag]" caption="Sum of MaterialFlag" measure="1" displayFolder="" measureGroup="Model" count="0" hidden="1">
      <extLst>
        <ext xmlns:x15="http://schemas.microsoft.com/office/spreadsheetml/2010/11/main" uri="{B97F6D7D-B522-45F9-BDA1-12C45D357490}">
          <x15:cacheHierarchy aggregatedColumn="9"/>
        </ext>
      </extLst>
    </cacheHierarchy>
    <cacheHierarchy uniqueName="[Measures].[Average of MaterialFlag]" caption="Average of MaterialFlag" measure="1" displayFolder="" measureGroup="Model" count="0" hidden="1">
      <extLst>
        <ext xmlns:x15="http://schemas.microsoft.com/office/spreadsheetml/2010/11/main" uri="{B97F6D7D-B522-45F9-BDA1-12C45D357490}">
          <x15:cacheHierarchy aggregatedColumn="9"/>
        </ext>
      </extLst>
    </cacheHierarchy>
    <cacheHierarchy uniqueName="[Measures].[Count of REF]" caption="Count of REF" measure="1" displayFolder="" measureGroup="Model" count="0" oneField="1" hidden="1">
      <fieldsUsage count="1">
        <fieldUsage x="2"/>
      </fieldsUsage>
      <extLst>
        <ext xmlns:x15="http://schemas.microsoft.com/office/spreadsheetml/2010/11/main" uri="{B97F6D7D-B522-45F9-BDA1-12C45D357490}">
          <x15:cacheHierarchy aggregatedColumn="0"/>
        </ext>
      </extLst>
    </cacheHierarchy>
    <cacheHierarchy uniqueName="[Measures].[Sum of Regular]" caption="Sum of Regular" measure="1" displayFolder="" measureGroup="Model" count="0" hidden="1">
      <extLst>
        <ext xmlns:x15="http://schemas.microsoft.com/office/spreadsheetml/2010/11/main" uri="{B97F6D7D-B522-45F9-BDA1-12C45D357490}">
          <x15:cacheHierarchy aggregatedColumn="3"/>
        </ext>
      </extLst>
    </cacheHierarchy>
    <cacheHierarchy uniqueName="[Measures].[Average of Regular]" caption="Average of Regular" measure="1" displayFolder="" measureGroup="Model" count="0" hidden="1">
      <extLst>
        <ext xmlns:x15="http://schemas.microsoft.com/office/spreadsheetml/2010/11/main" uri="{B97F6D7D-B522-45F9-BDA1-12C45D357490}">
          <x15:cacheHierarchy aggregatedColumn="3"/>
        </ext>
      </extLst>
    </cacheHierarchy>
    <cacheHierarchy uniqueName="[Measures].[Sum of Weighted]" caption="Sum of Weighted" measure="1" displayFolder="" measureGroup="Model" count="0" hidden="1">
      <extLst>
        <ext xmlns:x15="http://schemas.microsoft.com/office/spreadsheetml/2010/11/main" uri="{B97F6D7D-B522-45F9-BDA1-12C45D357490}">
          <x15:cacheHierarchy aggregatedColumn="4"/>
        </ext>
      </extLst>
    </cacheHierarchy>
    <cacheHierarchy uniqueName="[Measures].[Average of Weighted]" caption="Average of Weighted" measure="1" displayFolder="" measureGroup="Model" count="0" hidden="1">
      <extLst>
        <ext xmlns:x15="http://schemas.microsoft.com/office/spreadsheetml/2010/11/main" uri="{B97F6D7D-B522-45F9-BDA1-12C45D357490}">
          <x15:cacheHierarchy aggregatedColumn="4"/>
        </ext>
      </extLst>
    </cacheHierarchy>
    <cacheHierarchy uniqueName="[Measures].[Sum of OverFlag]" caption="Sum of OverFlag" measure="1" displayFolder="" measureGroup="Model" count="0" hidden="1">
      <extLst>
        <ext xmlns:x15="http://schemas.microsoft.com/office/spreadsheetml/2010/11/main" uri="{B97F6D7D-B522-45F9-BDA1-12C45D357490}">
          <x15:cacheHierarchy aggregatedColumn="7"/>
        </ext>
      </extLst>
    </cacheHierarchy>
    <cacheHierarchy uniqueName="[Measures].[Average of OverFlag]" caption="Average of OverFlag" measure="1" displayFolder="" measureGroup="Model" count="0" hidden="1">
      <extLst>
        <ext xmlns:x15="http://schemas.microsoft.com/office/spreadsheetml/2010/11/main" uri="{B97F6D7D-B522-45F9-BDA1-12C45D357490}">
          <x15:cacheHierarchy aggregatedColumn="7"/>
        </ext>
      </extLst>
    </cacheHierarchy>
    <cacheHierarchy uniqueName="[Measures].[Sum of UnderFlag]" caption="Sum of UnderFlag" measure="1" displayFolder="" measureGroup="Model" count="0" hidden="1">
      <extLst>
        <ext xmlns:x15="http://schemas.microsoft.com/office/spreadsheetml/2010/11/main" uri="{B97F6D7D-B522-45F9-BDA1-12C45D357490}">
          <x15:cacheHierarchy aggregatedColumn="8"/>
        </ext>
      </extLst>
    </cacheHierarchy>
    <cacheHierarchy uniqueName="[Measures].[Average of UnderFlag]" caption="Average of UnderFlag" measure="1" displayFolder="" measureGroup="Model"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Model" uniqueName="[Model]" caption="Model"/>
  </dimensions>
  <measureGroups count="1">
    <measureGroup name="Model" caption="Model"/>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6021.69273923611" createdVersion="8" refreshedVersion="8" minRefreshableVersion="3" recordCount="86" xr:uid="{96286AFD-B874-8D4D-9349-9BD173F8EAA9}">
  <cacheSource type="worksheet">
    <worksheetSource name="Expectations"/>
  </cacheSource>
  <cacheFields count="19">
    <cacheField name="REF" numFmtId="0">
      <sharedItems/>
    </cacheField>
    <cacheField name="Competency Area" numFmtId="0">
      <sharedItems containsBlank="1" count="15">
        <s v="Syniti Platform: Technical (ADM)"/>
        <s v="Syniti Platform: Technical (ADM-M)"/>
        <s v="DQ-Specific Technical"/>
        <s v="DQ-Specific Functional"/>
        <s v="SAP Data Functional"/>
        <s v="Delivery &amp; Consulting"/>
        <s v="Squad-Delivery Excellence"/>
        <s v="Squad-dqOps"/>
        <s v="Squad-Harmonization"/>
        <s v="Squad-Source Cleansing"/>
        <s v="Squad-Cloud Data Quality"/>
        <s v="Squad-Dashboarding &amp; Analytics"/>
        <s v="Squad-Specialized and AI Driven"/>
        <m/>
        <s v="Syniti Platform: Technical" u="1"/>
      </sharedItems>
    </cacheField>
    <cacheField name="Comptetency" numFmtId="0">
      <sharedItems containsBlank="1"/>
    </cacheField>
    <cacheField name="Platform Component" numFmtId="0">
      <sharedItems containsBlank="1"/>
    </cacheField>
    <cacheField name="Description" numFmtId="0">
      <sharedItems containsBlank="1"/>
    </cacheField>
    <cacheField name="C1" numFmtId="1">
      <sharedItems containsString="0" containsBlank="1" containsNumber="1" containsInteger="1" minValue="0" maxValue="2"/>
    </cacheField>
    <cacheField name="C2" numFmtId="1">
      <sharedItems containsString="0" containsBlank="1" containsNumber="1" containsInteger="1" minValue="1" maxValue="2"/>
    </cacheField>
    <cacheField name="C3" numFmtId="1">
      <sharedItems containsString="0" containsBlank="1" containsNumber="1" containsInteger="1" minValue="1" maxValue="3"/>
    </cacheField>
    <cacheField name="C4-S" numFmtId="1">
      <sharedItems containsString="0" containsBlank="1" containsNumber="1" containsInteger="1" minValue="1" maxValue="4"/>
    </cacheField>
    <cacheField name="C4-M" numFmtId="1">
      <sharedItems containsString="0" containsBlank="1" containsNumber="1" containsInteger="1" minValue="1" maxValue="5"/>
    </cacheField>
    <cacheField name="C5-S" numFmtId="1">
      <sharedItems containsString="0" containsBlank="1" containsNumber="1" containsInteger="1" minValue="1" maxValue="5"/>
    </cacheField>
    <cacheField name="C5-M" numFmtId="1">
      <sharedItems containsString="0" containsBlank="1" containsNumber="1" containsInteger="1" minValue="1" maxValue="5"/>
    </cacheField>
    <cacheField name="C6-S" numFmtId="1">
      <sharedItems containsString="0" containsBlank="1" containsNumber="1" containsInteger="1" minValue="1" maxValue="5"/>
    </cacheField>
    <cacheField name="C6-M" numFmtId="1">
      <sharedItems containsString="0" containsBlank="1" containsNumber="1" containsInteger="1" minValue="1" maxValue="5"/>
    </cacheField>
    <cacheField name="DQ Developer" numFmtId="1">
      <sharedItems/>
    </cacheField>
    <cacheField name="DQ Snr. Developer" numFmtId="1">
      <sharedItems/>
    </cacheField>
    <cacheField name="Technical Architect" numFmtId="1">
      <sharedItems/>
    </cacheField>
    <cacheField name="Solution Architect" numFmtId="1">
      <sharedItems/>
    </cacheField>
    <cacheField name="Implementation Lead" numFmtId="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
  <r>
    <s v="A1"/>
    <x v="0"/>
    <s v="Data Prep: Collect"/>
    <s v="ADM"/>
    <s v="Gathering and organizing source system data for further processing and data quality activities."/>
    <n v="1"/>
    <n v="2"/>
    <n v="3"/>
    <n v="4"/>
    <n v="3"/>
    <n v="5"/>
    <n v="3"/>
    <n v="5"/>
    <n v="4"/>
    <b v="1"/>
    <b v="1"/>
    <b v="0"/>
    <b v="0"/>
    <b v="0"/>
  </r>
  <r>
    <s v="A2"/>
    <x v="0"/>
    <s v="Data Prep: Transform/Relevancy"/>
    <s v="ADM"/>
    <s v="Applying transformations and logic to ensure data is relevant and accurate for data quality."/>
    <n v="1"/>
    <n v="2"/>
    <n v="3"/>
    <n v="4"/>
    <n v="3"/>
    <n v="5"/>
    <n v="3"/>
    <n v="5"/>
    <n v="4"/>
    <b v="1"/>
    <b v="1"/>
    <b v="0"/>
    <b v="0"/>
    <b v="0"/>
  </r>
  <r>
    <s v="A3"/>
    <x v="0"/>
    <s v="DQ Dev: SQL View"/>
    <s v="ADM"/>
    <s v="Building SQL views to support data profiling, cleansing, and validation."/>
    <n v="2"/>
    <n v="2"/>
    <n v="3"/>
    <n v="4"/>
    <n v="3"/>
    <n v="5"/>
    <n v="3"/>
    <n v="5"/>
    <n v="4"/>
    <b v="1"/>
    <b v="1"/>
    <b v="0"/>
    <b v="0"/>
    <b v="0"/>
  </r>
  <r>
    <s v="A4"/>
    <x v="0"/>
    <s v="DQ Dev: DQ Components"/>
    <s v="ADM"/>
    <s v="Registering rules and configuring components such as notifications and thresholds for DQ."/>
    <n v="1"/>
    <n v="2"/>
    <n v="3"/>
    <n v="4"/>
    <n v="3"/>
    <n v="5"/>
    <n v="3"/>
    <n v="5"/>
    <n v="4"/>
    <b v="0"/>
    <b v="0"/>
    <b v="0"/>
    <b v="0"/>
    <b v="0"/>
  </r>
  <r>
    <s v="A5"/>
    <x v="0"/>
    <s v="DQ Dashboard: Scorecards"/>
    <s v="ADM"/>
    <s v="Adjusting thresholds and managing scorecard components for data quality metrics."/>
    <n v="1"/>
    <n v="2"/>
    <n v="3"/>
    <n v="4"/>
    <n v="3"/>
    <n v="5"/>
    <n v="3"/>
    <n v="5"/>
    <n v="4"/>
    <b v="0"/>
    <b v="0"/>
    <b v="0"/>
    <b v="0"/>
    <b v="0"/>
  </r>
  <r>
    <s v="A6"/>
    <x v="0"/>
    <s v="DQ Admin: ADM"/>
    <s v="ADM"/>
    <s v="Administering ADM settings for project governance and data operations."/>
    <n v="1"/>
    <n v="2"/>
    <n v="3"/>
    <n v="4"/>
    <n v="3"/>
    <n v="5"/>
    <n v="3"/>
    <n v="5"/>
    <n v="4"/>
    <b v="0"/>
    <b v="0"/>
    <b v="0"/>
    <b v="0"/>
    <b v="0"/>
  </r>
  <r>
    <s v="A7"/>
    <x v="0"/>
    <s v="ADM Architecture"/>
    <s v="ADM"/>
    <s v="Designing and maintaining the technical architecture of ADM solutions."/>
    <n v="1"/>
    <n v="2"/>
    <n v="3"/>
    <n v="4"/>
    <n v="3"/>
    <n v="5"/>
    <n v="3"/>
    <n v="5"/>
    <n v="4"/>
    <b v="0"/>
    <b v="0"/>
    <b v="0"/>
    <b v="0"/>
    <b v="0"/>
  </r>
  <r>
    <s v="A8"/>
    <x v="0"/>
    <s v="DQ Match: Syniti Match (Cortex)"/>
    <s v="Syniti Match"/>
    <s v="Configuring and deploying Syniti Match for deduplication and entity resolution using Cortex engine."/>
    <n v="1"/>
    <n v="2"/>
    <n v="3"/>
    <n v="4"/>
    <n v="3"/>
    <n v="5"/>
    <n v="3"/>
    <n v="5"/>
    <n v="4"/>
    <b v="0"/>
    <b v="0"/>
    <b v="0"/>
    <b v="0"/>
    <b v="0"/>
  </r>
  <r>
    <s v="A9"/>
    <x v="0"/>
    <s v="DQ Operate: Automate/Serv. page"/>
    <s v="ADM"/>
    <s v="Automating service tasks and workflows within ADM for efficient operations."/>
    <n v="1"/>
    <n v="2"/>
    <n v="3"/>
    <n v="4"/>
    <n v="3"/>
    <n v="5"/>
    <n v="3"/>
    <n v="5"/>
    <n v="4"/>
    <b v="0"/>
    <b v="0"/>
    <b v="0"/>
    <b v="0"/>
    <b v="0"/>
  </r>
  <r>
    <s v="A10"/>
    <x v="0"/>
    <s v="Construct - webApps"/>
    <s v="ADM"/>
    <s v="Creating, adapting, supporting customized solutions using Syniti Construct webApps"/>
    <n v="1"/>
    <n v="2"/>
    <n v="3"/>
    <n v="4"/>
    <n v="3"/>
    <n v="5"/>
    <n v="3"/>
    <n v="5"/>
    <n v="4"/>
    <b v="0"/>
    <b v="0"/>
    <b v="0"/>
    <b v="0"/>
    <b v="0"/>
  </r>
  <r>
    <s v="B1"/>
    <x v="1"/>
    <s v="Data Prep: Replicate/Snapshot"/>
    <s v="ADM-M"/>
    <s v="Creating and managing data replicas and snapshots to preserve source data state for data quality."/>
    <n v="1"/>
    <n v="2"/>
    <n v="3"/>
    <n v="4"/>
    <n v="3"/>
    <n v="5"/>
    <n v="3"/>
    <n v="5"/>
    <n v="4"/>
    <b v="0"/>
    <b v="0"/>
    <b v="0"/>
    <b v="0"/>
    <b v="0"/>
  </r>
  <r>
    <s v="B2"/>
    <x v="1"/>
    <s v="Data Prep: Migrate/Relevancy"/>
    <s v="ADM-M"/>
    <s v="Assessing and preparing data objects for data quality, focusing on relevance and data scope."/>
    <n v="1"/>
    <n v="2"/>
    <n v="3"/>
    <n v="4"/>
    <n v="3"/>
    <n v="5"/>
    <n v="3"/>
    <n v="5"/>
    <n v="4"/>
    <b v="0"/>
    <b v="0"/>
    <b v="0"/>
    <b v="0"/>
    <b v="0"/>
  </r>
  <r>
    <s v="B3"/>
    <x v="1"/>
    <s v="DQ Dev: SQL View"/>
    <s v="ADM-M"/>
    <s v="Designing SQL views to facilitate data profiling, cleansing, and transformation during data quality."/>
    <n v="2"/>
    <n v="2"/>
    <n v="3"/>
    <n v="4"/>
    <n v="3"/>
    <n v="5"/>
    <n v="3"/>
    <n v="5"/>
    <n v="4"/>
    <b v="0"/>
    <b v="0"/>
    <b v="0"/>
    <b v="0"/>
    <b v="0"/>
  </r>
  <r>
    <s v="B4"/>
    <x v="1"/>
    <s v="DQ Dev: DQ Components"/>
    <s v="ADM-M"/>
    <s v="Configuring data quality rules and related automation modules for data quality projects."/>
    <n v="1"/>
    <n v="2"/>
    <n v="3"/>
    <n v="4"/>
    <n v="3"/>
    <n v="5"/>
    <n v="3"/>
    <n v="5"/>
    <n v="4"/>
    <b v="0"/>
    <b v="0"/>
    <b v="0"/>
    <b v="0"/>
    <b v="0"/>
  </r>
  <r>
    <s v="B5"/>
    <x v="1"/>
    <s v="DQ Dashboard: Standard (Dataset)"/>
    <s v="ADM-M"/>
    <s v="Using the standard DQ dashboard to monitor, report, and analyze dataset-level quality metrics."/>
    <n v="1"/>
    <n v="2"/>
    <n v="3"/>
    <n v="4"/>
    <n v="3"/>
    <n v="5"/>
    <n v="3"/>
    <n v="5"/>
    <n v="4"/>
    <b v="0"/>
    <b v="0"/>
    <b v="0"/>
    <b v="0"/>
    <b v="0"/>
  </r>
  <r>
    <s v="B6"/>
    <x v="1"/>
    <s v="DQ Admin: ADM-M"/>
    <s v="ADM-M"/>
    <s v="Administering ADM-M project settings and data quality configurations for migration."/>
    <n v="1"/>
    <n v="2"/>
    <n v="3"/>
    <n v="4"/>
    <n v="3"/>
    <n v="5"/>
    <n v="3"/>
    <n v="5"/>
    <n v="4"/>
    <b v="0"/>
    <b v="0"/>
    <b v="0"/>
    <b v="0"/>
    <b v="0"/>
  </r>
  <r>
    <s v="B7"/>
    <x v="1"/>
    <s v="ADM-M Architecture"/>
    <s v="ADM-M"/>
    <s v="Designing and optimizing the ADM-M technical architecture for scalable data quality."/>
    <n v="1"/>
    <n v="2"/>
    <n v="3"/>
    <n v="4"/>
    <n v="3"/>
    <n v="5"/>
    <n v="3"/>
    <n v="5"/>
    <n v="4"/>
    <b v="0"/>
    <b v="0"/>
    <b v="0"/>
    <b v="0"/>
    <b v="0"/>
  </r>
  <r>
    <s v="B8"/>
    <x v="1"/>
    <s v="DQ Match: Cloud Match"/>
    <s v="ADM-M"/>
    <s v="Applying cloud-based matching capabilities to deduplicate and resolve entities across systems."/>
    <n v="1"/>
    <n v="2"/>
    <n v="3"/>
    <n v="4"/>
    <n v="3"/>
    <n v="5"/>
    <n v="3"/>
    <n v="5"/>
    <n v="4"/>
    <b v="0"/>
    <b v="0"/>
    <b v="0"/>
    <b v="0"/>
    <b v="0"/>
  </r>
  <r>
    <s v="B9"/>
    <x v="1"/>
    <s v="DQ Operate: Orchestrate"/>
    <s v="ADM-M"/>
    <s v="Automating and orchestrating sequences of data quality tasks in ADM-M."/>
    <n v="1"/>
    <n v="2"/>
    <n v="3"/>
    <n v="4"/>
    <n v="3"/>
    <n v="5"/>
    <n v="3"/>
    <n v="5"/>
    <n v="4"/>
    <b v="0"/>
    <b v="0"/>
    <b v="0"/>
    <b v="0"/>
    <b v="0"/>
  </r>
  <r>
    <s v="B10"/>
    <x v="1"/>
    <s v="Construct - webApps"/>
    <s v="ADM-M"/>
    <s v="Creating, adapting, supporting customized solutions using Syniti Construct webApps"/>
    <n v="1"/>
    <n v="2"/>
    <n v="3"/>
    <n v="4"/>
    <n v="3"/>
    <n v="5"/>
    <n v="3"/>
    <n v="5"/>
    <n v="4"/>
    <b v="0"/>
    <b v="0"/>
    <b v="0"/>
    <b v="0"/>
    <b v="0"/>
  </r>
  <r>
    <s v="C1"/>
    <x v="2"/>
    <s v="Data Profiling &amp; Analysis"/>
    <m/>
    <s v="Analyzing data sources to identify anomalies, patterns, and quality issues."/>
    <n v="1"/>
    <n v="2"/>
    <n v="3"/>
    <n v="4"/>
    <n v="3"/>
    <n v="5"/>
    <n v="3"/>
    <n v="5"/>
    <n v="4"/>
    <b v="0"/>
    <b v="0"/>
    <b v="0"/>
    <b v="0"/>
    <b v="0"/>
  </r>
  <r>
    <s v="C2"/>
    <x v="2"/>
    <s v="Exception Handling Mechanisms"/>
    <m/>
    <s v="Implementing processes to capture and manage data exceptions in DQ workflows."/>
    <n v="1"/>
    <n v="2"/>
    <n v="3"/>
    <n v="4"/>
    <n v="3"/>
    <n v="5"/>
    <n v="3"/>
    <n v="5"/>
    <n v="4"/>
    <b v="0"/>
    <b v="0"/>
    <b v="0"/>
    <b v="0"/>
    <b v="0"/>
  </r>
  <r>
    <s v="C3"/>
    <x v="2"/>
    <s v="Duplicate Detection Techniques"/>
    <m/>
    <s v="Utilizing algorithms and metadata to identify duplicate records across datasets."/>
    <n v="1"/>
    <n v="2"/>
    <n v="3"/>
    <n v="4"/>
    <n v="3"/>
    <n v="5"/>
    <n v="3"/>
    <n v="5"/>
    <n v="4"/>
    <b v="0"/>
    <b v="0"/>
    <b v="0"/>
    <b v="0"/>
    <b v="0"/>
  </r>
  <r>
    <s v="C4"/>
    <x v="2"/>
    <s v="Root Cause Analysis of DQ Issues"/>
    <m/>
    <s v="Systematically investigating the sources of data quality failures."/>
    <n v="1"/>
    <n v="2"/>
    <n v="3"/>
    <n v="4"/>
    <n v="3"/>
    <n v="5"/>
    <n v="3"/>
    <n v="5"/>
    <n v="4"/>
    <b v="0"/>
    <b v="0"/>
    <b v="0"/>
    <b v="0"/>
    <b v="0"/>
  </r>
  <r>
    <s v="C5"/>
    <x v="2"/>
    <s v="Data Models and Entity Relation"/>
    <m/>
    <s v="Designing relational models for master and transactional data."/>
    <n v="1"/>
    <n v="2"/>
    <n v="3"/>
    <n v="4"/>
    <n v="3"/>
    <n v="5"/>
    <n v="3"/>
    <n v="5"/>
    <n v="4"/>
    <b v="0"/>
    <b v="0"/>
    <b v="0"/>
    <b v="0"/>
    <b v="0"/>
  </r>
  <r>
    <s v="D1"/>
    <x v="3"/>
    <s v="Business Rules Gathering"/>
    <m/>
    <s v="Collecting and defining business requirements to shape DQ processes."/>
    <n v="1"/>
    <n v="2"/>
    <n v="2"/>
    <n v="3"/>
    <n v="5"/>
    <n v="5"/>
    <n v="5"/>
    <n v="5"/>
    <n v="5"/>
    <b v="0"/>
    <b v="0"/>
    <b v="0"/>
    <b v="0"/>
    <b v="0"/>
  </r>
  <r>
    <s v="D2"/>
    <x v="3"/>
    <s v="Data Standards Governance"/>
    <m/>
    <s v="Enforcing data standards and regulatory policies for compliance."/>
    <n v="1"/>
    <n v="2"/>
    <n v="2"/>
    <n v="3"/>
    <n v="5"/>
    <n v="5"/>
    <n v="5"/>
    <n v="5"/>
    <n v="5"/>
    <b v="0"/>
    <b v="0"/>
    <b v="0"/>
    <b v="0"/>
    <b v="0"/>
  </r>
  <r>
    <s v="D3"/>
    <x v="3"/>
    <s v="KPI Definition with Business"/>
    <m/>
    <s v="Collaborating with stakeholders to establish KPIs and DQ measurement frameworks."/>
    <n v="1"/>
    <n v="2"/>
    <n v="2"/>
    <n v="3"/>
    <n v="5"/>
    <n v="5"/>
    <n v="5"/>
    <n v="5"/>
    <n v="5"/>
    <b v="0"/>
    <b v="0"/>
    <b v="0"/>
    <b v="0"/>
    <b v="0"/>
  </r>
  <r>
    <s v="D4"/>
    <x v="3"/>
    <s v="DQ Policy Interpretation"/>
    <m/>
    <s v="Translating DQ policies into actionable operational procedures."/>
    <n v="1"/>
    <n v="2"/>
    <n v="2"/>
    <n v="3"/>
    <n v="5"/>
    <n v="5"/>
    <n v="5"/>
    <n v="5"/>
    <n v="5"/>
    <b v="0"/>
    <b v="0"/>
    <b v="0"/>
    <b v="0"/>
    <b v="0"/>
  </r>
  <r>
    <s v="D5"/>
    <x v="3"/>
    <s v="Common Data Tools (Excel)"/>
    <m/>
    <s v="Utilizing Excel and other tools for analysis and validation tasks."/>
    <n v="1"/>
    <n v="2"/>
    <n v="3"/>
    <n v="3"/>
    <n v="5"/>
    <n v="5"/>
    <n v="5"/>
    <n v="5"/>
    <n v="5"/>
    <b v="0"/>
    <b v="0"/>
    <b v="0"/>
    <b v="0"/>
    <b v="0"/>
  </r>
  <r>
    <s v="E1"/>
    <x v="4"/>
    <s v="Major SAP MD: Cus, Ven, Mat, Fin"/>
    <m/>
    <s v="Managing key SAP master data objects for customers, vendors, materials, and finance."/>
    <n v="1"/>
    <n v="2"/>
    <n v="3"/>
    <n v="4"/>
    <n v="4"/>
    <n v="4"/>
    <n v="5"/>
    <n v="5"/>
    <n v="5"/>
    <b v="0"/>
    <b v="0"/>
    <b v="0"/>
    <b v="0"/>
    <b v="0"/>
  </r>
  <r>
    <s v="E2"/>
    <x v="4"/>
    <s v="Major SAP BP:  OTC, P2P, MM, R2R"/>
    <m/>
    <s v="Handling core SAP business processes such as order-to-cash and procure-to-pay."/>
    <n v="1"/>
    <n v="2"/>
    <n v="3"/>
    <n v="4"/>
    <n v="4"/>
    <n v="4"/>
    <n v="5"/>
    <n v="5"/>
    <n v="5"/>
    <b v="0"/>
    <b v="0"/>
    <b v="0"/>
    <b v="0"/>
    <b v="0"/>
  </r>
  <r>
    <s v="E3"/>
    <x v="4"/>
    <s v="SAP Data Structures"/>
    <m/>
    <s v="Working with SAP tables, LSMW objects, IDOCs, and BAPI interfaces."/>
    <n v="1"/>
    <n v="2"/>
    <n v="3"/>
    <n v="4"/>
    <n v="4"/>
    <n v="4"/>
    <n v="5"/>
    <n v="5"/>
    <n v="5"/>
    <b v="0"/>
    <b v="0"/>
    <b v="0"/>
    <b v="0"/>
    <b v="0"/>
  </r>
  <r>
    <s v="E4"/>
    <x v="4"/>
    <s v="Source-to-Target Mapping for SAP"/>
    <m/>
    <s v="Defining and executing mappings between source and SAP target systems."/>
    <n v="1"/>
    <n v="2"/>
    <n v="3"/>
    <n v="4"/>
    <n v="4"/>
    <n v="4"/>
    <n v="5"/>
    <n v="5"/>
    <n v="5"/>
    <b v="0"/>
    <b v="0"/>
    <b v="0"/>
    <b v="0"/>
    <b v="0"/>
  </r>
  <r>
    <s v="E5"/>
    <x v="4"/>
    <s v="SAP Business Process Awareness"/>
    <m/>
    <s v="Understanding and adapting to SAP process requirements."/>
    <n v="1"/>
    <n v="2"/>
    <n v="3"/>
    <n v="4"/>
    <n v="4"/>
    <n v="4"/>
    <n v="5"/>
    <n v="5"/>
    <n v="5"/>
    <b v="0"/>
    <b v="0"/>
    <b v="0"/>
    <b v="0"/>
    <b v="0"/>
  </r>
  <r>
    <s v="F1"/>
    <x v="5"/>
    <s v="Stakeholder/Expectation Mgmt."/>
    <m/>
    <s v="Managing client and stakeholder expectations throughout deliverables."/>
    <n v="1"/>
    <n v="2"/>
    <n v="3"/>
    <n v="3"/>
    <n v="4"/>
    <n v="4"/>
    <n v="5"/>
    <n v="5"/>
    <n v="5"/>
    <b v="0"/>
    <b v="0"/>
    <b v="0"/>
    <b v="0"/>
    <b v="0"/>
  </r>
  <r>
    <s v="F2"/>
    <x v="5"/>
    <s v="Requirements Gathering/Clarif."/>
    <m/>
    <s v="Collecting and clarifying project requirements from business and technical users."/>
    <n v="1"/>
    <n v="2"/>
    <n v="3"/>
    <n v="3"/>
    <n v="4"/>
    <n v="4"/>
    <n v="5"/>
    <n v="5"/>
    <n v="5"/>
    <b v="0"/>
    <b v="0"/>
    <b v="0"/>
    <b v="0"/>
    <b v="0"/>
  </r>
  <r>
    <s v="F3"/>
    <x v="5"/>
    <s v="Facilitating Workshops/Meetings"/>
    <m/>
    <s v="Leading discussions and engagements to drive consensus and solutioning."/>
    <n v="1"/>
    <n v="2"/>
    <n v="3"/>
    <n v="3"/>
    <n v="4"/>
    <n v="4"/>
    <n v="5"/>
    <n v="5"/>
    <n v="5"/>
    <b v="0"/>
    <b v="0"/>
    <b v="0"/>
    <b v="0"/>
    <b v="0"/>
  </r>
  <r>
    <s v="F4"/>
    <x v="5"/>
    <s v="Collaborative Work Management"/>
    <m/>
    <s v="Coordinating across teams for effective project outcomes."/>
    <n v="1"/>
    <n v="2"/>
    <n v="3"/>
    <n v="3"/>
    <n v="4"/>
    <n v="4"/>
    <n v="5"/>
    <n v="5"/>
    <n v="5"/>
    <b v="0"/>
    <b v="0"/>
    <b v="0"/>
    <b v="0"/>
    <b v="0"/>
  </r>
  <r>
    <s v="F5"/>
    <x v="5"/>
    <s v="Conflict Resolution"/>
    <m/>
    <s v="Addressing team or stakeholder disputes constructively."/>
    <n v="1"/>
    <n v="2"/>
    <n v="3"/>
    <n v="3"/>
    <n v="4"/>
    <n v="4"/>
    <n v="5"/>
    <n v="5"/>
    <n v="5"/>
    <b v="0"/>
    <b v="0"/>
    <b v="0"/>
    <b v="0"/>
    <b v="0"/>
  </r>
  <r>
    <s v="F6"/>
    <x v="5"/>
    <s v="Solution Design Thinking"/>
    <m/>
    <s v="Applying structured methodologies to create optimal solutions."/>
    <n v="1"/>
    <n v="2"/>
    <n v="3"/>
    <n v="3"/>
    <n v="4"/>
    <n v="4"/>
    <n v="5"/>
    <n v="5"/>
    <n v="5"/>
    <b v="0"/>
    <b v="0"/>
    <b v="0"/>
    <b v="0"/>
    <b v="0"/>
  </r>
  <r>
    <s v="F7"/>
    <x v="5"/>
    <s v="Project Risk Awareness"/>
    <m/>
    <s v="Identifying, managing, and mitigating delivery risks."/>
    <n v="1"/>
    <n v="2"/>
    <n v="3"/>
    <n v="3"/>
    <n v="4"/>
    <n v="4"/>
    <n v="5"/>
    <n v="5"/>
    <n v="5"/>
    <b v="0"/>
    <b v="0"/>
    <b v="0"/>
    <b v="0"/>
    <b v="0"/>
  </r>
  <r>
    <s v="F8"/>
    <x v="5"/>
    <s v="Cross-functional Collaboration"/>
    <m/>
    <s v="Working effectively across functional boundaries."/>
    <n v="1"/>
    <n v="2"/>
    <n v="3"/>
    <n v="3"/>
    <n v="4"/>
    <n v="4"/>
    <n v="5"/>
    <n v="5"/>
    <n v="5"/>
    <b v="0"/>
    <b v="0"/>
    <b v="0"/>
    <b v="0"/>
    <b v="0"/>
  </r>
  <r>
    <s v="F9"/>
    <x v="5"/>
    <s v="Mentoring &amp; Coaching"/>
    <m/>
    <s v="Supporting team and individual development."/>
    <n v="1"/>
    <n v="2"/>
    <n v="3"/>
    <n v="3"/>
    <n v="4"/>
    <n v="4"/>
    <n v="5"/>
    <n v="5"/>
    <n v="5"/>
    <b v="0"/>
    <b v="0"/>
    <b v="0"/>
    <b v="0"/>
    <b v="0"/>
  </r>
  <r>
    <s v="F10"/>
    <x v="5"/>
    <s v="Ongoing Improvement/Innovation"/>
    <m/>
    <s v="Driving continuous process and solution enhancement."/>
    <n v="1"/>
    <n v="2"/>
    <n v="3"/>
    <n v="3"/>
    <n v="4"/>
    <n v="4"/>
    <n v="5"/>
    <n v="5"/>
    <n v="5"/>
    <b v="0"/>
    <b v="0"/>
    <b v="0"/>
    <b v="0"/>
    <b v="0"/>
  </r>
  <r>
    <s v="G1"/>
    <x v="6"/>
    <s v="Requirements to Proposal"/>
    <m/>
    <s v="Translating business requirements into detailed project proposals and solution approaches."/>
    <n v="0"/>
    <n v="1"/>
    <n v="2"/>
    <n v="3"/>
    <n v="3"/>
    <n v="4"/>
    <n v="4"/>
    <n v="5"/>
    <n v="5"/>
    <b v="0"/>
    <b v="0"/>
    <b v="0"/>
    <b v="0"/>
    <b v="0"/>
  </r>
  <r>
    <s v="G2"/>
    <x v="6"/>
    <s v="SoW and Resource Plan"/>
    <m/>
    <s v="Developing statements of work and resourcing plans for successful engagements."/>
    <n v="0"/>
    <n v="1"/>
    <n v="2"/>
    <n v="3"/>
    <n v="3"/>
    <n v="4"/>
    <n v="4"/>
    <n v="5"/>
    <n v="5"/>
    <b v="0"/>
    <b v="0"/>
    <b v="0"/>
    <b v="0"/>
    <b v="0"/>
  </r>
  <r>
    <s v="G3"/>
    <x v="6"/>
    <s v="Implementation Plan &amp; WBS"/>
    <m/>
    <s v="Structuring and managing implementation plans using work breakdown structures."/>
    <n v="0"/>
    <n v="1"/>
    <n v="2"/>
    <n v="3"/>
    <n v="3"/>
    <n v="4"/>
    <n v="4"/>
    <n v="5"/>
    <n v="5"/>
    <b v="0"/>
    <b v="0"/>
    <b v="0"/>
    <b v="0"/>
    <b v="0"/>
  </r>
  <r>
    <s v="G4"/>
    <x v="6"/>
    <s v="RAID-Risk/Issue Management"/>
    <m/>
    <s v="Tracking risks, issues, actions, and decisions to mitigate delivery problems."/>
    <n v="0"/>
    <n v="1"/>
    <n v="2"/>
    <n v="3"/>
    <n v="3"/>
    <n v="4"/>
    <n v="4"/>
    <n v="5"/>
    <n v="5"/>
    <b v="0"/>
    <b v="0"/>
    <b v="0"/>
    <b v="0"/>
    <b v="0"/>
  </r>
  <r>
    <s v="G5"/>
    <x v="6"/>
    <s v="Methodology Enforcement/Adher."/>
    <m/>
    <s v="Ensuring compliance with Syniti and industry-standard project delivery methodologies."/>
    <n v="0"/>
    <n v="1"/>
    <n v="2"/>
    <n v="3"/>
    <n v="3"/>
    <n v="4"/>
    <n v="4"/>
    <n v="5"/>
    <n v="5"/>
    <b v="0"/>
    <b v="0"/>
    <b v="0"/>
    <b v="0"/>
    <b v="0"/>
  </r>
  <r>
    <s v="G6"/>
    <x v="7"/>
    <s v="Overall DQOps Methodology"/>
    <m/>
    <s v="Applying the Syniti methodology for data quality operations across different projects."/>
    <n v="1"/>
    <n v="2"/>
    <n v="3"/>
    <n v="4"/>
    <n v="4"/>
    <n v="5"/>
    <n v="5"/>
    <n v="5"/>
    <n v="5"/>
    <b v="0"/>
    <b v="0"/>
    <b v="0"/>
    <b v="0"/>
    <b v="0"/>
  </r>
  <r>
    <s v="G7"/>
    <x v="7"/>
    <s v="Enforcement of DQOps Methodology"/>
    <m/>
    <s v="Driving consistency and governance in DQ processes through methodology adherence."/>
    <n v="1"/>
    <n v="2"/>
    <n v="3"/>
    <n v="4"/>
    <n v="4"/>
    <n v="5"/>
    <n v="5"/>
    <n v="5"/>
    <n v="5"/>
    <b v="0"/>
    <b v="0"/>
    <b v="0"/>
    <b v="0"/>
    <b v="0"/>
  </r>
  <r>
    <s v="G8"/>
    <x v="7"/>
    <s v="Specify rule"/>
    <m/>
    <s v="Defining and managing granular data quality rules for business scenarios."/>
    <n v="1"/>
    <n v="2"/>
    <n v="3"/>
    <n v="4"/>
    <n v="4"/>
    <n v="5"/>
    <n v="5"/>
    <n v="5"/>
    <n v="5"/>
    <b v="0"/>
    <b v="0"/>
    <b v="0"/>
    <b v="0"/>
    <b v="0"/>
  </r>
  <r>
    <s v="G9"/>
    <x v="7"/>
    <s v="Build and execute QA"/>
    <m/>
    <s v="Designing, executing, and reviewing QA activities for data quality assurance."/>
    <n v="1"/>
    <n v="2"/>
    <n v="3"/>
    <n v="4"/>
    <n v="4"/>
    <n v="5"/>
    <n v="5"/>
    <n v="5"/>
    <n v="5"/>
    <b v="0"/>
    <b v="0"/>
    <b v="0"/>
    <b v="0"/>
    <b v="0"/>
  </r>
  <r>
    <s v="G10"/>
    <x v="7"/>
    <s v="Iterate Validate &amp; Improve"/>
    <m/>
    <s v="Cycling through validation and continuous improvement of DQ processes."/>
    <n v="1"/>
    <n v="2"/>
    <n v="3"/>
    <n v="4"/>
    <n v="4"/>
    <n v="5"/>
    <n v="5"/>
    <n v="5"/>
    <n v="5"/>
    <b v="0"/>
    <b v="0"/>
    <b v="0"/>
    <b v="0"/>
    <b v="0"/>
  </r>
  <r>
    <s v="G11"/>
    <x v="8"/>
    <s v="Harmonization Methodology"/>
    <m/>
    <s v="Applying structured techniques for harmonizing data across domains or systems."/>
    <n v="1"/>
    <n v="2"/>
    <n v="3"/>
    <n v="3"/>
    <n v="3"/>
    <n v="4"/>
    <n v="4"/>
    <n v="5"/>
    <n v="5"/>
    <b v="0"/>
    <b v="0"/>
    <b v="0"/>
    <b v="0"/>
    <b v="0"/>
  </r>
  <r>
    <s v="G12"/>
    <x v="8"/>
    <s v="Harmonization Solutioning"/>
    <m/>
    <s v="Designing solutions for data harmonization challenges and outcomes."/>
    <n v="1"/>
    <n v="2"/>
    <n v="3"/>
    <n v="3"/>
    <n v="3"/>
    <n v="4"/>
    <n v="4"/>
    <n v="5"/>
    <n v="5"/>
    <b v="0"/>
    <b v="0"/>
    <b v="0"/>
    <b v="0"/>
    <b v="0"/>
  </r>
  <r>
    <s v="G13"/>
    <x v="8"/>
    <s v="Harmonization Architecture"/>
    <m/>
    <s v="Architecting frameworks to support harmonized enterprise data landscapes."/>
    <n v="1"/>
    <n v="2"/>
    <n v="3"/>
    <n v="3"/>
    <n v="3"/>
    <n v="4"/>
    <n v="4"/>
    <n v="5"/>
    <n v="5"/>
    <b v="0"/>
    <b v="0"/>
    <b v="0"/>
    <b v="0"/>
    <b v="0"/>
  </r>
  <r>
    <s v="G14"/>
    <x v="8"/>
    <s v="Implement BP Consolidation"/>
    <m/>
    <s v="Executing business partner consolidation within harmonization initiatives."/>
    <n v="1"/>
    <n v="2"/>
    <n v="3"/>
    <n v="3"/>
    <n v="2"/>
    <n v="4"/>
    <n v="3"/>
    <n v="5"/>
    <n v="4"/>
    <b v="0"/>
    <b v="0"/>
    <b v="0"/>
    <b v="0"/>
    <b v="0"/>
  </r>
  <r>
    <s v="G15"/>
    <x v="8"/>
    <s v="Implement MRO Spare Parts"/>
    <m/>
    <s v="Integrating and consolidating MRO (Maintenance, Repair, Operations) spare parts for enterprise harmonization"/>
    <n v="1"/>
    <n v="2"/>
    <n v="3"/>
    <n v="4"/>
    <n v="2"/>
    <n v="3"/>
    <n v="3"/>
    <n v="4"/>
    <n v="4"/>
    <b v="0"/>
    <b v="0"/>
    <b v="0"/>
    <b v="0"/>
    <b v="0"/>
  </r>
  <r>
    <s v="G16"/>
    <x v="9"/>
    <s v="Src. Cleanse Methodology "/>
    <m/>
    <s v="Applying structured cleansing methodology to source data sets."/>
    <n v="1"/>
    <n v="2"/>
    <n v="2"/>
    <n v="3"/>
    <n v="3"/>
    <n v="4"/>
    <n v="4"/>
    <n v="5"/>
    <n v="5"/>
    <b v="0"/>
    <b v="0"/>
    <b v="0"/>
    <b v="0"/>
    <b v="0"/>
  </r>
  <r>
    <s v="G17"/>
    <x v="9"/>
    <s v="Src. Cleanse Approach"/>
    <m/>
    <s v="Crafting approach for source cleansing considering process, people, and tools."/>
    <n v="1"/>
    <n v="2"/>
    <n v="2"/>
    <n v="3"/>
    <n v="3"/>
    <n v="4"/>
    <n v="4"/>
    <n v="5"/>
    <n v="5"/>
    <b v="0"/>
    <b v="0"/>
    <b v="0"/>
    <b v="0"/>
    <b v="0"/>
  </r>
  <r>
    <s v="G18"/>
    <x v="9"/>
    <s v="Src. Cleanse arch. (DQ, Migrate)"/>
    <m/>
    <s v="Designing architecture for cleansing activities in DQ"/>
    <n v="1"/>
    <n v="2"/>
    <n v="2"/>
    <n v="3"/>
    <n v="3"/>
    <n v="4"/>
    <n v="4"/>
    <n v="5"/>
    <n v="5"/>
    <b v="0"/>
    <b v="0"/>
    <b v="0"/>
    <b v="0"/>
    <b v="0"/>
  </r>
  <r>
    <s v="G19"/>
    <x v="9"/>
    <s v="Implement Src. Cleanse (Migrate)"/>
    <m/>
    <s v="Executing source cleansing as part of data migration initiatives."/>
    <n v="1"/>
    <n v="2"/>
    <n v="2"/>
    <n v="3"/>
    <n v="3"/>
    <n v="4"/>
    <n v="4"/>
    <n v="5"/>
    <n v="5"/>
    <b v="0"/>
    <b v="0"/>
    <b v="0"/>
    <b v="0"/>
    <b v="0"/>
  </r>
  <r>
    <s v="G20"/>
    <x v="9"/>
    <s v="Src. Cleanse Analytics"/>
    <m/>
    <s v="Utilizing analytics to measure and optimize source data cleansing."/>
    <n v="1"/>
    <n v="2"/>
    <n v="2"/>
    <n v="3"/>
    <n v="3"/>
    <n v="4"/>
    <n v="4"/>
    <n v="5"/>
    <n v="5"/>
    <b v="0"/>
    <b v="0"/>
    <b v="0"/>
    <b v="0"/>
    <b v="0"/>
  </r>
  <r>
    <s v="G21"/>
    <x v="10"/>
    <s v="Cloud DQ Methodology "/>
    <m/>
    <s v="Implementing methodologies for cloud-based data quality management."/>
    <n v="1"/>
    <n v="2"/>
    <n v="2"/>
    <n v="3"/>
    <n v="3"/>
    <n v="4"/>
    <n v="4"/>
    <n v="5"/>
    <n v="5"/>
    <b v="0"/>
    <b v="0"/>
    <b v="0"/>
    <b v="0"/>
    <b v="0"/>
  </r>
  <r>
    <s v="G22"/>
    <x v="10"/>
    <s v="Cloud DQ Approach"/>
    <m/>
    <s v="Defining tailored approaches for cloud DQ challenges using Syniti tools."/>
    <n v="1"/>
    <n v="2"/>
    <n v="2"/>
    <n v="3"/>
    <n v="3"/>
    <n v="4"/>
    <n v="4"/>
    <n v="5"/>
    <n v="5"/>
    <b v="0"/>
    <b v="0"/>
    <b v="0"/>
    <b v="0"/>
    <b v="0"/>
  </r>
  <r>
    <s v="G23"/>
    <x v="10"/>
    <s v="Cloud DQ arch. (DQ, Migrate)"/>
    <m/>
    <s v="Designing and operating cloud data architecture supporting quality"/>
    <n v="1"/>
    <n v="2"/>
    <n v="2"/>
    <n v="3"/>
    <n v="3"/>
    <n v="4"/>
    <n v="4"/>
    <n v="5"/>
    <n v="5"/>
    <b v="0"/>
    <b v="0"/>
    <b v="0"/>
    <b v="0"/>
    <b v="0"/>
  </r>
  <r>
    <s v="G24"/>
    <x v="10"/>
    <s v="Implement Cloud DQ (Quality)"/>
    <m/>
    <s v="Delivering end-to-end data quality solutions in cloud platforms."/>
    <n v="1"/>
    <n v="2"/>
    <n v="2"/>
    <n v="3"/>
    <n v="3"/>
    <n v="4"/>
    <n v="4"/>
    <n v="5"/>
    <n v="5"/>
    <b v="0"/>
    <b v="0"/>
    <b v="0"/>
    <b v="0"/>
    <b v="0"/>
  </r>
  <r>
    <s v="G25"/>
    <x v="10"/>
    <s v="Cloud DQ Analytics"/>
    <m/>
    <s v="Applying analytics to assess and improve data quality in cloud environments."/>
    <n v="1"/>
    <n v="2"/>
    <n v="2"/>
    <n v="3"/>
    <n v="3"/>
    <n v="4"/>
    <n v="4"/>
    <n v="5"/>
    <n v="5"/>
    <b v="0"/>
    <b v="0"/>
    <b v="0"/>
    <b v="0"/>
    <b v="0"/>
  </r>
  <r>
    <s v="G26"/>
    <x v="11"/>
    <s v="Advanced Data Modelling (SQL)"/>
    <m/>
    <s v="Building complex data models and visualizations using advanced SQL techniques."/>
    <n v="1"/>
    <n v="1"/>
    <n v="2"/>
    <n v="4"/>
    <n v="3"/>
    <n v="4"/>
    <n v="3"/>
    <n v="5"/>
    <n v="3"/>
    <b v="0"/>
    <b v="0"/>
    <b v="0"/>
    <b v="0"/>
    <b v="0"/>
  </r>
  <r>
    <s v="G27"/>
    <x v="11"/>
    <s v="Construct - DynamicContext"/>
    <m/>
    <s v="Configuring dynamic data constructs within Syniti platform dashboards."/>
    <n v="1"/>
    <n v="1"/>
    <n v="2"/>
    <n v="4"/>
    <n v="3"/>
    <n v="4"/>
    <n v="3"/>
    <n v="5"/>
    <n v="3"/>
    <b v="0"/>
    <b v="0"/>
    <b v="0"/>
    <b v="0"/>
    <b v="0"/>
  </r>
  <r>
    <s v="G28"/>
    <x v="11"/>
    <s v="ADM Custom Dashboard - Quicksite"/>
    <m/>
    <s v="Customizing ADM dashboards for targeted insights in Quicksite."/>
    <n v="1"/>
    <n v="1"/>
    <n v="2"/>
    <n v="3"/>
    <n v="3"/>
    <n v="4"/>
    <n v="3"/>
    <n v="5"/>
    <n v="3"/>
    <b v="0"/>
    <b v="0"/>
    <b v="0"/>
    <b v="0"/>
    <b v="0"/>
  </r>
  <r>
    <s v="G29"/>
    <x v="11"/>
    <s v="PowerBI"/>
    <m/>
    <s v="Designing and managing dashboards and reports in PowerBI."/>
    <n v="1"/>
    <n v="1"/>
    <n v="1"/>
    <n v="2"/>
    <n v="2"/>
    <n v="2"/>
    <n v="2"/>
    <n v="2"/>
    <n v="2"/>
    <b v="0"/>
    <b v="0"/>
    <b v="0"/>
    <b v="0"/>
    <b v="0"/>
  </r>
  <r>
    <s v="G30"/>
    <x v="11"/>
    <s v="Other (Tableau, Databricks)"/>
    <m/>
    <s v="Creating data dashboards with other analytics platforms (Tableau, Databricks, Snowflake, SAC)."/>
    <n v="1"/>
    <n v="1"/>
    <n v="1"/>
    <n v="2"/>
    <n v="2"/>
    <n v="2"/>
    <n v="2"/>
    <n v="2"/>
    <n v="2"/>
    <b v="0"/>
    <b v="0"/>
    <b v="0"/>
    <b v="0"/>
    <b v="0"/>
  </r>
  <r>
    <s v="G31"/>
    <x v="12"/>
    <s v="General LLM/AI Concepts"/>
    <m/>
    <s v="Understanding concepts and applications of large language models and AI in data."/>
    <n v="1"/>
    <n v="1"/>
    <n v="1"/>
    <n v="2"/>
    <n v="2"/>
    <n v="3"/>
    <n v="3"/>
    <n v="3"/>
    <n v="3"/>
    <b v="0"/>
    <b v="0"/>
    <b v="0"/>
    <b v="0"/>
    <b v="0"/>
  </r>
  <r>
    <s v="G32"/>
    <x v="12"/>
    <s v="Experience in LLM/AI"/>
    <m/>
    <s v="Applying practical experience in LLM/AI within data management projects."/>
    <n v="1"/>
    <n v="1"/>
    <n v="1"/>
    <n v="2"/>
    <n v="2"/>
    <n v="2"/>
    <n v="2"/>
    <n v="2"/>
    <n v="2"/>
    <b v="0"/>
    <b v="0"/>
    <b v="0"/>
    <b v="0"/>
    <b v="0"/>
  </r>
  <r>
    <s v="G33"/>
    <x v="12"/>
    <s v="Syniti AI-Generated Rule Content"/>
    <m/>
    <s v="Leveraging Syniti’s AI-generated rule libraries for automated data quality."/>
    <n v="1"/>
    <n v="2"/>
    <n v="3"/>
    <n v="3"/>
    <n v="3"/>
    <n v="4"/>
    <n v="3"/>
    <n v="5"/>
    <n v="3"/>
    <b v="0"/>
    <b v="0"/>
    <b v="0"/>
    <b v="0"/>
    <b v="0"/>
  </r>
  <r>
    <s v="G34"/>
    <x v="12"/>
    <s v="Syniti Vision"/>
    <m/>
    <s v="Implementing Syniti Vision for enhanced analytics and data visualization."/>
    <n v="1"/>
    <n v="1"/>
    <n v="1"/>
    <n v="1"/>
    <n v="1"/>
    <n v="1"/>
    <n v="1"/>
    <n v="1"/>
    <n v="1"/>
    <b v="0"/>
    <b v="0"/>
    <b v="0"/>
    <b v="0"/>
    <b v="0"/>
  </r>
  <r>
    <s v="G35"/>
    <x v="12"/>
    <s v="Syniti Classify"/>
    <m/>
    <s v="Using Syniti Classify modules for automated entity classification and improvement."/>
    <n v="1"/>
    <n v="1"/>
    <n v="1"/>
    <n v="1"/>
    <n v="1"/>
    <n v="1"/>
    <n v="1"/>
    <n v="1"/>
    <n v="1"/>
    <b v="0"/>
    <b v="0"/>
    <b v="0"/>
    <b v="0"/>
    <b v="0"/>
  </r>
  <r>
    <s v="H1"/>
    <x v="13"/>
    <m/>
    <m/>
    <m/>
    <n v="1"/>
    <m/>
    <m/>
    <m/>
    <m/>
    <m/>
    <m/>
    <m/>
    <m/>
    <b v="0"/>
    <b v="0"/>
    <b v="0"/>
    <b v="0"/>
    <b v="0"/>
  </r>
  <r>
    <s v="H2"/>
    <x v="13"/>
    <m/>
    <m/>
    <m/>
    <m/>
    <m/>
    <m/>
    <m/>
    <m/>
    <m/>
    <m/>
    <m/>
    <m/>
    <b v="0"/>
    <b v="0"/>
    <b v="0"/>
    <b v="0"/>
    <b v="0"/>
  </r>
  <r>
    <s v="H3"/>
    <x v="13"/>
    <m/>
    <m/>
    <m/>
    <m/>
    <m/>
    <m/>
    <m/>
    <m/>
    <m/>
    <m/>
    <m/>
    <m/>
    <b v="0"/>
    <b v="0"/>
    <b v="0"/>
    <b v="0"/>
    <b v="0"/>
  </r>
  <r>
    <s v="H4"/>
    <x v="13"/>
    <m/>
    <m/>
    <m/>
    <m/>
    <m/>
    <m/>
    <m/>
    <m/>
    <m/>
    <m/>
    <m/>
    <m/>
    <b v="0"/>
    <b v="0"/>
    <b v="0"/>
    <b v="0"/>
    <b v="0"/>
  </r>
  <r>
    <s v="H5"/>
    <x v="13"/>
    <m/>
    <m/>
    <m/>
    <m/>
    <m/>
    <m/>
    <m/>
    <m/>
    <m/>
    <m/>
    <m/>
    <m/>
    <b v="0"/>
    <b v="0"/>
    <b v="0"/>
    <b v="0"/>
    <b v="0"/>
  </r>
  <r>
    <s v="H6"/>
    <x v="13"/>
    <m/>
    <m/>
    <m/>
    <m/>
    <m/>
    <m/>
    <m/>
    <m/>
    <m/>
    <m/>
    <m/>
    <m/>
    <b v="0"/>
    <b v="0"/>
    <b v="0"/>
    <b v="0"/>
    <b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8156AF8-0C58-4F10-A847-3DC994A8BE57}"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W6:AC21" firstHeaderRow="1" firstDataRow="2" firstDataCol="1"/>
  <pivotFields count="4">
    <pivotField axis="axisRow" allDrilled="1" subtotalTop="0" showAll="0" measureFilter="1" defaultSubtotal="0" defaultAttributeDrillState="1">
      <items count="80">
        <item x="60"/>
        <item x="61"/>
        <item x="62"/>
        <item x="63"/>
        <item x="64"/>
        <item x="65"/>
        <item x="66"/>
        <item x="67"/>
        <item x="68"/>
        <item x="69"/>
        <item x="70"/>
        <item x="71"/>
        <item x="72"/>
        <item x="73"/>
        <item x="74"/>
        <item x="75"/>
        <item x="76"/>
        <item x="77"/>
        <item x="78"/>
        <item x="79"/>
        <item x="15"/>
        <item x="16"/>
        <item x="17"/>
        <item x="18"/>
        <item x="19"/>
        <item x="10"/>
        <item x="11"/>
        <item x="12"/>
        <item x="13"/>
        <item x="14"/>
        <item x="20"/>
        <item x="21"/>
        <item x="22"/>
        <item x="23"/>
        <item x="24"/>
        <item x="0"/>
        <item x="1"/>
        <item x="2"/>
        <item x="3"/>
        <item x="4"/>
        <item x="5"/>
        <item x="6"/>
        <item x="7"/>
        <item x="8"/>
        <item x="9"/>
        <item x="35"/>
        <item x="40"/>
        <item x="45"/>
        <item x="46"/>
        <item x="47"/>
        <item x="48"/>
        <item x="49"/>
        <item x="50"/>
        <item x="51"/>
        <item x="52"/>
        <item x="53"/>
        <item x="36"/>
        <item x="54"/>
        <item x="25"/>
        <item x="26"/>
        <item x="27"/>
        <item x="28"/>
        <item x="29"/>
        <item x="30"/>
        <item x="31"/>
        <item x="32"/>
        <item x="33"/>
        <item x="37"/>
        <item x="34"/>
        <item x="55"/>
        <item x="56"/>
        <item x="57"/>
        <item x="58"/>
        <item x="59"/>
        <item x="38"/>
        <item x="39"/>
        <item x="41"/>
        <item x="42"/>
        <item x="43"/>
        <item x="44"/>
      </items>
    </pivotField>
    <pivotField axis="axisCol" allDrilled="1" subtotalTop="0" showAll="0" sortType="descending" defaultSubtotal="0" defaultAttributeDrillState="1">
      <items count="5">
        <item x="4"/>
        <item x="3"/>
        <item x="2"/>
        <item x="1"/>
        <item x="0"/>
      </items>
    </pivotField>
    <pivotField dataField="1" subtotalTop="0" showAll="0" defaultSubtotal="0"/>
    <pivotField axis="axisRow" allDrilled="1" subtotalTop="0" showAll="0" dataSourceSort="1" defaultSubtotal="0">
      <items count="13">
        <item x="0" e="0"/>
        <item x="1" e="0"/>
        <item x="2" e="0"/>
        <item x="3" e="0"/>
        <item x="4" e="0"/>
        <item x="5" e="0"/>
        <item x="6" e="0"/>
        <item x="7" e="0"/>
        <item x="8" e="0"/>
        <item x="9" e="0"/>
        <item x="10" e="0"/>
        <item x="11" e="0"/>
        <item x="12" e="0"/>
      </items>
    </pivotField>
  </pivotFields>
  <rowFields count="2">
    <field x="3"/>
    <field x="0"/>
  </rowFields>
  <rowItems count="14">
    <i>
      <x/>
    </i>
    <i>
      <x v="1"/>
    </i>
    <i>
      <x v="2"/>
    </i>
    <i>
      <x v="3"/>
    </i>
    <i>
      <x v="4"/>
    </i>
    <i>
      <x v="5"/>
    </i>
    <i>
      <x v="6"/>
    </i>
    <i>
      <x v="7"/>
    </i>
    <i>
      <x v="8"/>
    </i>
    <i>
      <x v="9"/>
    </i>
    <i>
      <x v="10"/>
    </i>
    <i>
      <x v="11"/>
    </i>
    <i>
      <x v="12"/>
    </i>
    <i t="grand">
      <x/>
    </i>
  </rowItems>
  <colFields count="1">
    <field x="1"/>
  </colFields>
  <colItems count="6">
    <i>
      <x/>
    </i>
    <i>
      <x v="1"/>
    </i>
    <i>
      <x v="2"/>
    </i>
    <i>
      <x v="3"/>
    </i>
    <i>
      <x v="4"/>
    </i>
    <i t="grand">
      <x/>
    </i>
  </colItems>
  <dataFields count="1">
    <dataField name="Count of REF" fld="2" subtotal="count" showDataAs="percentOfRow" baseField="0" baseItem="0" numFmtId="10"/>
  </dataFields>
  <formats count="22">
    <format dxfId="400">
      <pivotArea type="all" dataOnly="0" outline="0" fieldPosition="0"/>
    </format>
    <format dxfId="401">
      <pivotArea outline="0" collapsedLevelsAreSubtotals="1" fieldPosition="0"/>
    </format>
    <format dxfId="402">
      <pivotArea type="origin" dataOnly="0" labelOnly="1" outline="0" fieldPosition="0"/>
    </format>
    <format dxfId="403">
      <pivotArea type="topRight" dataOnly="0" labelOnly="1" outline="0" fieldPosition="0"/>
    </format>
    <format dxfId="404">
      <pivotArea field="0" type="button" dataOnly="0" labelOnly="1" outline="0" axis="axisRow" fieldPosition="1"/>
    </format>
    <format dxfId="405">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06">
      <pivotArea dataOnly="0" labelOnly="1" fieldPosition="0">
        <references count="1">
          <reference field="0" count="30">
            <x v="50"/>
            <x v="51"/>
            <x v="52"/>
            <x v="53"/>
            <x v="54"/>
            <x v="55"/>
            <x v="56"/>
            <x v="57"/>
            <x v="58"/>
            <x v="59"/>
            <x v="60"/>
            <x v="61"/>
            <x v="62"/>
            <x v="63"/>
            <x v="64"/>
            <x v="65"/>
            <x v="66"/>
            <x v="67"/>
            <x v="68"/>
            <x v="69"/>
            <x v="70"/>
            <x v="71"/>
            <x v="72"/>
            <x v="73"/>
            <x v="74"/>
            <x v="75"/>
            <x v="76"/>
            <x v="77"/>
            <x v="78"/>
            <x v="79"/>
          </reference>
        </references>
      </pivotArea>
    </format>
    <format dxfId="407">
      <pivotArea dataOnly="0" labelOnly="1" grandRow="1" outline="0" fieldPosition="0"/>
    </format>
    <format dxfId="408">
      <pivotArea dataOnly="0" labelOnly="1" grandCol="1" outline="0" fieldPosition="0"/>
    </format>
    <format dxfId="409">
      <pivotArea outline="0" fieldPosition="0">
        <references count="1">
          <reference field="4294967294" count="1">
            <x v="0"/>
          </reference>
        </references>
      </pivotArea>
    </format>
    <format dxfId="410">
      <pivotArea type="all" dataOnly="0" outline="0" fieldPosition="0"/>
    </format>
    <format dxfId="411">
      <pivotArea outline="0" collapsedLevelsAreSubtotals="1" fieldPosition="0"/>
    </format>
    <format dxfId="412">
      <pivotArea type="origin" dataOnly="0" labelOnly="1" outline="0" fieldPosition="0"/>
    </format>
    <format dxfId="413">
      <pivotArea field="1" type="button" dataOnly="0" labelOnly="1" outline="0" axis="axisCol" fieldPosition="0"/>
    </format>
    <format dxfId="414">
      <pivotArea type="topRight" dataOnly="0" labelOnly="1" outline="0" fieldPosition="0"/>
    </format>
    <format dxfId="415">
      <pivotArea field="3" type="button" dataOnly="0" labelOnly="1" outline="0" axis="axisRow" fieldPosition="0"/>
    </format>
    <format dxfId="416">
      <pivotArea dataOnly="0" labelOnly="1" fieldPosition="0">
        <references count="1">
          <reference field="3" count="0"/>
        </references>
      </pivotArea>
    </format>
    <format dxfId="417">
      <pivotArea dataOnly="0" labelOnly="1" grandRow="1" outline="0" fieldPosition="0"/>
    </format>
    <format dxfId="418">
      <pivotArea dataOnly="0" labelOnly="1" fieldPosition="0">
        <references count="1">
          <reference field="1" count="0"/>
        </references>
      </pivotArea>
    </format>
    <format dxfId="419">
      <pivotArea dataOnly="0" labelOnly="1" grandCol="1" outline="0" fieldPosition="0"/>
    </format>
    <format dxfId="420">
      <pivotArea dataOnly="0" labelOnly="1" fieldPosition="0">
        <references count="1">
          <reference field="3" count="0"/>
        </references>
      </pivotArea>
    </format>
    <format dxfId="421">
      <pivotArea dataOnly="0" labelOnly="1" grandRow="1" outline="0" fieldPosition="0"/>
    </format>
  </formats>
  <conditionalFormats count="2">
    <conditionalFormat priority="7">
      <pivotAreas count="1">
        <pivotArea type="data" grandCol="1" outline="0" collapsedLevelsAreSubtotals="1" fieldPosition="0">
          <references count="1">
            <reference field="4294967294" count="1" selected="0">
              <x v="0"/>
            </reference>
          </references>
        </pivotArea>
      </pivotAreas>
    </conditionalFormat>
    <conditionalFormat priority="6">
      <pivotAreas count="1">
        <pivotArea type="data" outline="0" collapsedLevelsAreSubtotals="1" fieldPosition="0">
          <references count="2">
            <reference field="4294967294" count="1" selected="0">
              <x v="0"/>
            </reference>
            <reference field="1" count="5" selected="0">
              <x v="0"/>
              <x v="1"/>
              <x v="2"/>
              <x v="3"/>
              <x v="4"/>
            </reference>
          </references>
        </pivotArea>
      </pivotAreas>
    </conditionalFormat>
  </conditionalFormats>
  <chartFormats count="5">
    <chartFormat chart="0" format="0" series="1">
      <pivotArea type="data" outline="0" fieldPosition="0">
        <references count="2">
          <reference field="4294967294" count="1" selected="0">
            <x v="0"/>
          </reference>
          <reference field="1" count="1" selected="0">
            <x v="4"/>
          </reference>
        </references>
      </pivotArea>
    </chartFormat>
    <chartFormat chart="0" format="1" series="1">
      <pivotArea type="data" outline="0" fieldPosition="0">
        <references count="2">
          <reference field="4294967294" count="1" selected="0">
            <x v="0"/>
          </reference>
          <reference field="1" count="1" selected="0">
            <x v="3"/>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1"/>
          </reference>
        </references>
      </pivotArea>
    </chartFormat>
    <chartFormat chart="0" format="4" series="1">
      <pivotArea type="data" outline="0" fieldPosition="0">
        <references count="2">
          <reference field="4294967294" count="1" selected="0">
            <x v="0"/>
          </reference>
          <reference field="1" count="1" selected="0">
            <x v="0"/>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Average of AbsDelta"/>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9" showRowHeaders="1" showColHeaders="1" showRowStripes="0" showColStripes="0" showLastColumn="1"/>
  <filters count="1">
    <filter fld="0" type="count" id="2" iMeasureHier="15">
      <autoFilter ref="A1">
        <filterColumn colId="0">
          <top10 val="10" filterVal="10"/>
        </filterColumn>
      </autoFilter>
    </filter>
  </filters>
  <rowHierarchiesUsage count="2">
    <rowHierarchyUsage hierarchyUsage="11"/>
    <rowHierarchyUsage hierarchyUsage="2"/>
  </rowHierarchiesUsage>
  <colHierarchiesUsage count="1">
    <colHierarchyUsage hierarchyUsage="1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IP - Competency Matrix- jose.xlsm!Model">
        <x15:activeTabTopLevelEntity name="[Mode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5A4485D-F449-4555-861F-516641ACDE68}" name="PivotTable3"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
  <location ref="B103:W116" firstHeaderRow="1" firstDataRow="3" firstDataCol="1"/>
  <pivotFields count="6">
    <pivotField axis="axisRow" allDrilled="1" subtotalTop="0" showAll="0" measureFilter="1" dataSourceSort="1" defaultSubtotal="0">
      <items count="80">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 x="46" e="0"/>
        <item x="47" e="0"/>
        <item x="48" e="0"/>
        <item x="49" e="0"/>
        <item x="50" e="0"/>
        <item x="51" e="0"/>
        <item x="52" e="0"/>
        <item x="53" e="0"/>
        <item x="54" e="0"/>
        <item x="55" e="0"/>
        <item x="56" e="0"/>
        <item x="57" e="0"/>
        <item x="58" e="0"/>
        <item x="59" e="0"/>
        <item x="60" e="0"/>
        <item x="61" e="0"/>
        <item x="62" e="0"/>
        <item x="63" e="0"/>
        <item x="64" e="0"/>
        <item x="65" e="0"/>
        <item x="66" e="0"/>
        <item x="67" e="0"/>
        <item x="68" e="0"/>
        <item x="69" e="0"/>
        <item x="70" e="0"/>
        <item x="71" e="0"/>
        <item x="72" e="0"/>
        <item x="73" e="0"/>
        <item x="74" e="0"/>
        <item x="75" e="0"/>
        <item x="76" e="0"/>
        <item x="77" e="0"/>
        <item x="78" e="0"/>
        <item x="79" e="0"/>
      </items>
    </pivotField>
    <pivotField axis="axisCol" allDrilled="1" subtotalTop="0" showAll="0"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 axis="axisRow" allDrilled="1" subtotalTop="0" showAll="0" measureFilter="1" dataSourceSort="1" defaultSubtotal="0">
      <items count="10">
        <item x="0" e="0"/>
        <item x="1" e="0"/>
        <item x="2" e="0"/>
        <item x="3" e="0"/>
        <item x="4" e="0"/>
        <item x="5" e="0"/>
        <item x="6" e="0"/>
        <item x="7" e="0"/>
        <item x="8" e="0"/>
        <item x="9" e="0"/>
      </items>
    </pivotField>
  </pivotFields>
  <rowFields count="2">
    <field x="5"/>
    <field x="0"/>
  </rowFields>
  <rowItems count="11">
    <i>
      <x/>
    </i>
    <i>
      <x v="1"/>
    </i>
    <i>
      <x v="2"/>
    </i>
    <i>
      <x v="3"/>
    </i>
    <i>
      <x v="4"/>
    </i>
    <i>
      <x v="5"/>
    </i>
    <i>
      <x v="6"/>
    </i>
    <i>
      <x v="7"/>
    </i>
    <i>
      <x v="8"/>
    </i>
    <i>
      <x v="9"/>
    </i>
    <i t="grand">
      <x/>
    </i>
  </rowItems>
  <colFields count="2">
    <field x="1"/>
    <field x="-2"/>
  </colFields>
  <colItems count="21">
    <i>
      <x/>
      <x/>
    </i>
    <i r="1" i="1">
      <x v="1"/>
    </i>
    <i r="1" i="2">
      <x v="2"/>
    </i>
    <i>
      <x v="1"/>
      <x/>
    </i>
    <i r="1" i="1">
      <x v="1"/>
    </i>
    <i r="1" i="2">
      <x v="2"/>
    </i>
    <i>
      <x v="2"/>
      <x/>
    </i>
    <i r="1" i="1">
      <x v="1"/>
    </i>
    <i r="1" i="2">
      <x v="2"/>
    </i>
    <i>
      <x v="3"/>
      <x/>
    </i>
    <i r="1" i="1">
      <x v="1"/>
    </i>
    <i r="1" i="2">
      <x v="2"/>
    </i>
    <i>
      <x v="4"/>
      <x/>
    </i>
    <i r="1" i="1">
      <x v="1"/>
    </i>
    <i r="1" i="2">
      <x v="2"/>
    </i>
    <i>
      <x v="5"/>
      <x/>
    </i>
    <i r="1" i="1">
      <x v="1"/>
    </i>
    <i r="1" i="2">
      <x v="2"/>
    </i>
    <i t="grand">
      <x/>
    </i>
    <i t="grand" i="1">
      <x/>
    </i>
    <i t="grand" i="2">
      <x/>
    </i>
  </colItems>
  <dataFields count="3">
    <dataField name="Average of AbsDelta" fld="2" subtotal="average" baseField="0" baseItem="0" numFmtId="2"/>
    <dataField name="Average of MaterialFlag" fld="3" subtotal="average" baseField="0" baseItem="0"/>
    <dataField name="Average of Delta" fld="4" subtotal="average" baseField="0" baseItem="1"/>
  </dataFields>
  <formats count="31">
    <format dxfId="369">
      <pivotArea type="all" dataOnly="0" outline="0" fieldPosition="0"/>
    </format>
    <format dxfId="370">
      <pivotArea outline="0" collapsedLevelsAreSubtotals="1" fieldPosition="0"/>
    </format>
    <format dxfId="371">
      <pivotArea type="origin" dataOnly="0" labelOnly="1" outline="0" fieldPosition="0"/>
    </format>
    <format dxfId="372">
      <pivotArea field="1" type="button" dataOnly="0" labelOnly="1" outline="0" axis="axisCol" fieldPosition="0"/>
    </format>
    <format dxfId="373">
      <pivotArea type="topRight" dataOnly="0" labelOnly="1" outline="0" fieldPosition="0"/>
    </format>
    <format dxfId="374">
      <pivotArea field="0" type="button" dataOnly="0" labelOnly="1" outline="0" axis="axisRow" fieldPosition="1"/>
    </format>
    <format dxfId="375">
      <pivotArea dataOnly="0" labelOnly="1" fieldPosition="0">
        <references count="1">
          <reference field="0" count="50">
            <x v="0"/>
            <x v="1"/>
            <x v="2"/>
            <x v="3"/>
            <x v="4"/>
            <x v="5"/>
            <x v="6"/>
            <x v="7"/>
            <x v="8"/>
            <x v="9"/>
            <x v="10"/>
            <x v="11"/>
            <x v="12"/>
            <x v="13"/>
            <x v="14"/>
            <x v="15"/>
            <x v="16"/>
            <x v="17"/>
            <x v="18"/>
            <x v="19"/>
            <x v="20"/>
            <x v="21"/>
            <x v="22"/>
            <x v="23"/>
            <x v="24"/>
            <x v="35"/>
            <x v="40"/>
            <x v="45"/>
            <x v="46"/>
            <x v="47"/>
            <x v="60"/>
            <x v="61"/>
            <x v="62"/>
            <x v="63"/>
            <x v="64"/>
            <x v="65"/>
            <x v="66"/>
            <x v="67"/>
            <x v="68"/>
            <x v="69"/>
            <x v="70"/>
            <x v="71"/>
            <x v="72"/>
            <x v="73"/>
            <x v="74"/>
            <x v="75"/>
            <x v="76"/>
            <x v="77"/>
            <x v="78"/>
            <x v="79"/>
          </reference>
        </references>
      </pivotArea>
    </format>
    <format dxfId="376">
      <pivotArea dataOnly="0" labelOnly="1" fieldPosition="0">
        <references count="1">
          <reference field="0" count="30">
            <x v="25"/>
            <x v="26"/>
            <x v="27"/>
            <x v="28"/>
            <x v="29"/>
            <x v="30"/>
            <x v="31"/>
            <x v="32"/>
            <x v="33"/>
            <x v="34"/>
            <x v="36"/>
            <x v="37"/>
            <x v="38"/>
            <x v="39"/>
            <x v="41"/>
            <x v="42"/>
            <x v="43"/>
            <x v="44"/>
            <x v="48"/>
            <x v="49"/>
            <x v="50"/>
            <x v="51"/>
            <x v="52"/>
            <x v="53"/>
            <x v="54"/>
            <x v="55"/>
            <x v="56"/>
            <x v="57"/>
            <x v="58"/>
            <x v="59"/>
          </reference>
        </references>
      </pivotArea>
    </format>
    <format dxfId="377">
      <pivotArea dataOnly="0" labelOnly="1" grandRow="1" outline="0" fieldPosition="0"/>
    </format>
    <format dxfId="378">
      <pivotArea dataOnly="0" labelOnly="1" fieldPosition="0">
        <references count="1">
          <reference field="1" count="0"/>
        </references>
      </pivotArea>
    </format>
    <format dxfId="379">
      <pivotArea dataOnly="0" labelOnly="1" grandCol="1" outline="0" fieldPosition="0"/>
    </format>
    <format dxfId="380">
      <pivotArea outline="0" fieldPosition="0">
        <references count="1">
          <reference field="4294967294" count="1">
            <x v="1"/>
          </reference>
        </references>
      </pivotArea>
    </format>
    <format dxfId="381">
      <pivotArea type="all" dataOnly="0" outline="0" fieldPosition="0"/>
    </format>
    <format dxfId="382">
      <pivotArea outline="0" collapsedLevelsAreSubtotals="1" fieldPosition="0"/>
    </format>
    <format dxfId="383">
      <pivotArea type="origin" dataOnly="0" labelOnly="1" outline="0" fieldPosition="0"/>
    </format>
    <format dxfId="384">
      <pivotArea field="1" type="button" dataOnly="0" labelOnly="1" outline="0" axis="axisCol" fieldPosition="0"/>
    </format>
    <format dxfId="385">
      <pivotArea field="-2" type="button" dataOnly="0" labelOnly="1" outline="0" axis="axisCol" fieldPosition="1"/>
    </format>
    <format dxfId="386">
      <pivotArea type="topRight" dataOnly="0" labelOnly="1" outline="0" fieldPosition="0"/>
    </format>
    <format dxfId="387">
      <pivotArea field="5" type="button" dataOnly="0" labelOnly="1" outline="0" axis="axisRow" fieldPosition="0"/>
    </format>
    <format dxfId="388">
      <pivotArea dataOnly="0" labelOnly="1" fieldPosition="0">
        <references count="1">
          <reference field="5" count="0"/>
        </references>
      </pivotArea>
    </format>
    <format dxfId="389">
      <pivotArea dataOnly="0" labelOnly="1" grandRow="1" outline="0" fieldPosition="0"/>
    </format>
    <format dxfId="390">
      <pivotArea dataOnly="0" labelOnly="1" fieldPosition="0">
        <references count="1">
          <reference field="1" count="0"/>
        </references>
      </pivotArea>
    </format>
    <format dxfId="391">
      <pivotArea field="1" dataOnly="0" labelOnly="1" grandCol="1" outline="0" axis="axisCol" fieldPosition="0">
        <references count="1">
          <reference field="4294967294" count="1" selected="0">
            <x v="0"/>
          </reference>
        </references>
      </pivotArea>
    </format>
    <format dxfId="392">
      <pivotArea field="1" dataOnly="0" labelOnly="1" grandCol="1" outline="0" axis="axisCol" fieldPosition="0">
        <references count="1">
          <reference field="4294967294" count="1" selected="0">
            <x v="1"/>
          </reference>
        </references>
      </pivotArea>
    </format>
    <format dxfId="393">
      <pivotArea field="1" dataOnly="0" labelOnly="1" grandCol="1" outline="0" axis="axisCol" fieldPosition="0">
        <references count="1">
          <reference field="4294967294" count="1" selected="0">
            <x v="2"/>
          </reference>
        </references>
      </pivotArea>
    </format>
    <format dxfId="394">
      <pivotArea dataOnly="0" labelOnly="1" outline="0" fieldPosition="0">
        <references count="2">
          <reference field="4294967294" count="3">
            <x v="0"/>
            <x v="1"/>
            <x v="2"/>
          </reference>
          <reference field="1" count="1" selected="0">
            <x v="0"/>
          </reference>
        </references>
      </pivotArea>
    </format>
    <format dxfId="395">
      <pivotArea dataOnly="0" labelOnly="1" outline="0" fieldPosition="0">
        <references count="2">
          <reference field="4294967294" count="3">
            <x v="0"/>
            <x v="1"/>
            <x v="2"/>
          </reference>
          <reference field="1" count="1" selected="0">
            <x v="1"/>
          </reference>
        </references>
      </pivotArea>
    </format>
    <format dxfId="396">
      <pivotArea dataOnly="0" labelOnly="1" outline="0" fieldPosition="0">
        <references count="2">
          <reference field="4294967294" count="3">
            <x v="0"/>
            <x v="1"/>
            <x v="2"/>
          </reference>
          <reference field="1" count="1" selected="0">
            <x v="2"/>
          </reference>
        </references>
      </pivotArea>
    </format>
    <format dxfId="397">
      <pivotArea dataOnly="0" labelOnly="1" outline="0" fieldPosition="0">
        <references count="2">
          <reference field="4294967294" count="3">
            <x v="0"/>
            <x v="1"/>
            <x v="2"/>
          </reference>
          <reference field="1" count="1" selected="0">
            <x v="3"/>
          </reference>
        </references>
      </pivotArea>
    </format>
    <format dxfId="398">
      <pivotArea dataOnly="0" labelOnly="1" outline="0" fieldPosition="0">
        <references count="2">
          <reference field="4294967294" count="3">
            <x v="0"/>
            <x v="1"/>
            <x v="2"/>
          </reference>
          <reference field="1" count="1" selected="0">
            <x v="4"/>
          </reference>
        </references>
      </pivotArea>
    </format>
    <format dxfId="399">
      <pivotArea dataOnly="0" labelOnly="1" outline="0" fieldPosition="0">
        <references count="2">
          <reference field="4294967294" count="3">
            <x v="0"/>
            <x v="1"/>
            <x v="2"/>
          </reference>
          <reference field="1" count="1" selected="0">
            <x v="5"/>
          </reference>
        </references>
      </pivotArea>
    </format>
  </formats>
  <conditionalFormats count="2">
    <conditionalFormat priority="10">
      <pivotAreas count="1">
        <pivotArea type="data" outline="0" collapsedLevelsAreSubtotals="1" fieldPosition="0">
          <references count="2">
            <reference field="4294967294" count="3" selected="0">
              <x v="0"/>
              <x v="1"/>
              <x v="2"/>
            </reference>
            <reference field="1" count="6" selected="0">
              <x v="0"/>
              <x v="1"/>
              <x v="2"/>
              <x v="3"/>
              <x v="4"/>
              <x v="5"/>
            </reference>
          </references>
        </pivotArea>
      </pivotAreas>
    </conditionalFormat>
    <conditionalFormat priority="9">
      <pivotAreas count="1">
        <pivotArea type="data" grandCol="1" outline="0" collapsedLevelsAreSubtotals="1" fieldPosition="0">
          <references count="1">
            <reference field="4294967294" count="3" selected="0">
              <x v="0"/>
              <x v="1"/>
              <x v="2"/>
            </reference>
          </references>
        </pivotArea>
      </pivotAreas>
    </conditionalFormat>
  </conditionalFormats>
  <chartFormats count="1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1"/>
          </reference>
          <reference field="1" count="1" selected="0">
            <x v="0"/>
          </reference>
        </references>
      </pivotArea>
    </chartFormat>
    <chartFormat chart="0" format="2" series="1">
      <pivotArea type="data" outline="0" fieldPosition="0">
        <references count="2">
          <reference field="4294967294" count="1" selected="0">
            <x v="2"/>
          </reference>
          <reference field="1" count="1" selected="0">
            <x v="0"/>
          </reference>
        </references>
      </pivotArea>
    </chartFormat>
    <chartFormat chart="0" format="3" series="1">
      <pivotArea type="data" outline="0" fieldPosition="0">
        <references count="2">
          <reference field="4294967294" count="1" selected="0">
            <x v="0"/>
          </reference>
          <reference field="1" count="1" selected="0">
            <x v="1"/>
          </reference>
        </references>
      </pivotArea>
    </chartFormat>
    <chartFormat chart="0" format="4" series="1">
      <pivotArea type="data" outline="0" fieldPosition="0">
        <references count="2">
          <reference field="4294967294" count="1" selected="0">
            <x v="1"/>
          </reference>
          <reference field="1" count="1" selected="0">
            <x v="1"/>
          </reference>
        </references>
      </pivotArea>
    </chartFormat>
    <chartFormat chart="0" format="5" series="1">
      <pivotArea type="data" outline="0" fieldPosition="0">
        <references count="2">
          <reference field="4294967294" count="1" selected="0">
            <x v="2"/>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2"/>
          </reference>
        </references>
      </pivotArea>
    </chartFormat>
    <chartFormat chart="0" format="7" series="1">
      <pivotArea type="data" outline="0" fieldPosition="0">
        <references count="2">
          <reference field="4294967294" count="1" selected="0">
            <x v="1"/>
          </reference>
          <reference field="1" count="1" selected="0">
            <x v="2"/>
          </reference>
        </references>
      </pivotArea>
    </chartFormat>
    <chartFormat chart="0" format="8" series="1">
      <pivotArea type="data" outline="0" fieldPosition="0">
        <references count="2">
          <reference field="4294967294" count="1" selected="0">
            <x v="2"/>
          </reference>
          <reference field="1" count="1" selected="0">
            <x v="2"/>
          </reference>
        </references>
      </pivotArea>
    </chartFormat>
    <chartFormat chart="0" format="9" series="1">
      <pivotArea type="data" outline="0" fieldPosition="0">
        <references count="2">
          <reference field="4294967294" count="1" selected="0">
            <x v="0"/>
          </reference>
          <reference field="1" count="1" selected="0">
            <x v="3"/>
          </reference>
        </references>
      </pivotArea>
    </chartFormat>
    <chartFormat chart="0" format="10" series="1">
      <pivotArea type="data" outline="0" fieldPosition="0">
        <references count="2">
          <reference field="4294967294" count="1" selected="0">
            <x v="1"/>
          </reference>
          <reference field="1" count="1" selected="0">
            <x v="3"/>
          </reference>
        </references>
      </pivotArea>
    </chartFormat>
    <chartFormat chart="0" format="11" series="1">
      <pivotArea type="data" outline="0" fieldPosition="0">
        <references count="2">
          <reference field="4294967294" count="1" selected="0">
            <x v="2"/>
          </reference>
          <reference field="1" count="1" selected="0">
            <x v="3"/>
          </reference>
        </references>
      </pivotArea>
    </chartFormat>
    <chartFormat chart="0" format="12" series="1">
      <pivotArea type="data" outline="0" fieldPosition="0">
        <references count="2">
          <reference field="4294967294" count="1" selected="0">
            <x v="0"/>
          </reference>
          <reference field="1" count="1" selected="0">
            <x v="4"/>
          </reference>
        </references>
      </pivotArea>
    </chartFormat>
    <chartFormat chart="0" format="13" series="1">
      <pivotArea type="data" outline="0" fieldPosition="0">
        <references count="2">
          <reference field="4294967294" count="1" selected="0">
            <x v="1"/>
          </reference>
          <reference field="1" count="1" selected="0">
            <x v="4"/>
          </reference>
        </references>
      </pivotArea>
    </chartFormat>
    <chartFormat chart="0" format="14" series="1">
      <pivotArea type="data" outline="0" fieldPosition="0">
        <references count="2">
          <reference field="4294967294" count="1" selected="0">
            <x v="2"/>
          </reference>
          <reference field="1" count="1" selected="0">
            <x v="4"/>
          </reference>
        </references>
      </pivotArea>
    </chartFormat>
    <chartFormat chart="0" format="15" series="1">
      <pivotArea type="data" outline="0" fieldPosition="0">
        <references count="2">
          <reference field="4294967294" count="1" selected="0">
            <x v="0"/>
          </reference>
          <reference field="1" count="1" selected="0">
            <x v="5"/>
          </reference>
        </references>
      </pivotArea>
    </chartFormat>
    <chartFormat chart="0" format="16" series="1">
      <pivotArea type="data" outline="0" fieldPosition="0">
        <references count="2">
          <reference field="4294967294" count="1" selected="0">
            <x v="1"/>
          </reference>
          <reference field="1" count="1" selected="0">
            <x v="5"/>
          </reference>
        </references>
      </pivotArea>
    </chartFormat>
    <chartFormat chart="0" format="17" series="1">
      <pivotArea type="data" outline="0" fieldPosition="0">
        <references count="2">
          <reference field="4294967294" count="1" selected="0">
            <x v="2"/>
          </reference>
          <reference field="1" count="1" selected="0">
            <x v="5"/>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Average of AbsDelta"/>
    <pivotHierarchy dragToData="1"/>
    <pivotHierarchy dragToData="1" caption="Average of Delta"/>
    <pivotHierarchy dragToData="1"/>
    <pivotHierarchy dragToData="1" caption="Average of MaterialFlag"/>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9" showRowHeaders="1" showColHeaders="1" showRowStripes="0" showColStripes="0" showLastColumn="1"/>
  <filters count="2">
    <filter fld="0" type="count" id="2" iMeasureHier="15">
      <autoFilter ref="A1">
        <filterColumn colId="0">
          <top10 val="10" filterVal="10"/>
        </filterColumn>
      </autoFilter>
    </filter>
    <filter fld="5" type="count" evalOrder="1" id="6" iMeasureHier="15">
      <autoFilter ref="A1">
        <filterColumn colId="0">
          <top10 val="10" filterVal="10"/>
        </filterColumn>
      </autoFilter>
    </filter>
  </filters>
  <rowHierarchiesUsage count="2">
    <rowHierarchyUsage hierarchyUsage="11"/>
    <rowHierarchyUsage hierarchyUsage="2"/>
  </rowHierarchiesUsage>
  <colHierarchiesUsage count="2">
    <colHierarchyUsage hierarchyUsage="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IP - Competency Matrix- jose.xlsm!Model">
        <x15:activeTabTopLevelEntity name="[Mode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72B6834-ED8A-4408-BBD9-7B636404407D}" name="PivotTable2" cacheId="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M6:T21" firstHeaderRow="1" firstDataRow="2" firstDataCol="1"/>
  <pivotFields count="4">
    <pivotField axis="axisRow" allDrilled="1" subtotalTop="0" showAll="0" sortType="descending" defaultSubtotal="0">
      <items count="80">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 x="46" e="0"/>
        <item x="47" e="0"/>
        <item x="48" e="0"/>
        <item x="49" e="0"/>
        <item x="50" e="0"/>
        <item x="51" e="0"/>
        <item x="52" e="0"/>
        <item x="53" e="0"/>
        <item x="54" e="0"/>
        <item x="55" e="0"/>
        <item x="56" e="0"/>
        <item x="57" e="0"/>
        <item x="58" e="0"/>
        <item x="59" e="0"/>
        <item x="60" e="0"/>
        <item x="61" e="0"/>
        <item x="62" e="0"/>
        <item x="63" e="0"/>
        <item x="64" e="0"/>
        <item x="65" e="0"/>
        <item x="66" e="0"/>
        <item x="67" e="0"/>
        <item x="68" e="0"/>
        <item x="69" e="0"/>
        <item x="70" e="0"/>
        <item x="71" e="0"/>
        <item x="72" e="0"/>
        <item x="73" e="0"/>
        <item x="74" e="0"/>
        <item x="75" e="0"/>
        <item x="76" e="0"/>
        <item x="77" e="0"/>
        <item x="78" e="0"/>
        <item x="79" e="0"/>
      </items>
      <autoSortScope>
        <pivotArea dataOnly="0" outline="0" fieldPosition="0">
          <references count="1">
            <reference field="4294967294" count="1" selected="0">
              <x v="0"/>
            </reference>
          </references>
        </pivotArea>
      </autoSortScope>
    </pivotField>
    <pivotField axis="axisCol"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dataSourceSort="1" defaultSubtotal="0">
      <items count="13">
        <item x="0" e="0"/>
        <item x="1" e="0"/>
        <item x="2" e="0"/>
        <item x="3" e="0"/>
        <item x="4" e="0"/>
        <item x="5" e="0"/>
        <item x="6" e="0"/>
        <item x="7" e="0"/>
        <item x="8" e="0"/>
        <item x="9" e="0"/>
        <item x="10" e="0"/>
        <item x="11" e="0"/>
        <item x="12" e="0"/>
      </items>
    </pivotField>
  </pivotFields>
  <rowFields count="2">
    <field x="3"/>
    <field x="0"/>
  </rowFields>
  <rowItems count="14">
    <i>
      <x/>
    </i>
    <i>
      <x v="1"/>
    </i>
    <i>
      <x v="2"/>
    </i>
    <i>
      <x v="3"/>
    </i>
    <i>
      <x v="4"/>
    </i>
    <i>
      <x v="5"/>
    </i>
    <i>
      <x v="6"/>
    </i>
    <i>
      <x v="7"/>
    </i>
    <i>
      <x v="8"/>
    </i>
    <i>
      <x v="9"/>
    </i>
    <i>
      <x v="10"/>
    </i>
    <i>
      <x v="11"/>
    </i>
    <i>
      <x v="12"/>
    </i>
    <i t="grand">
      <x/>
    </i>
  </rowItems>
  <colFields count="1">
    <field x="1"/>
  </colFields>
  <colItems count="7">
    <i>
      <x v="2"/>
    </i>
    <i>
      <x/>
    </i>
    <i>
      <x v="1"/>
    </i>
    <i>
      <x v="4"/>
    </i>
    <i>
      <x v="3"/>
    </i>
    <i>
      <x v="5"/>
    </i>
    <i t="grand">
      <x/>
    </i>
  </colItems>
  <dataFields count="1">
    <dataField name="Average of Delta" fld="2" subtotal="average" baseField="0" baseItem="0" numFmtId="2"/>
  </dataFields>
  <formats count="34">
    <format dxfId="335">
      <pivotArea type="all" dataOnly="0" outline="0" fieldPosition="0"/>
    </format>
    <format dxfId="336">
      <pivotArea outline="0" collapsedLevelsAreSubtotals="1" fieldPosition="0"/>
    </format>
    <format dxfId="337">
      <pivotArea type="origin" dataOnly="0" labelOnly="1" outline="0" fieldPosition="0"/>
    </format>
    <format dxfId="338">
      <pivotArea field="1" type="button" dataOnly="0" labelOnly="1" outline="0" axis="axisCol" fieldPosition="0"/>
    </format>
    <format dxfId="339">
      <pivotArea type="topRight" dataOnly="0" labelOnly="1" outline="0" fieldPosition="0"/>
    </format>
    <format dxfId="340">
      <pivotArea field="0" type="button" dataOnly="0" labelOnly="1" outline="0" axis="axisRow" fieldPosition="1"/>
    </format>
    <format dxfId="341">
      <pivotArea dataOnly="0" labelOnly="1" fieldPosition="0">
        <references count="1">
          <reference field="0" count="50">
            <x v="0"/>
            <x v="1"/>
            <x v="2"/>
            <x v="3"/>
            <x v="4"/>
            <x v="5"/>
            <x v="6"/>
            <x v="7"/>
            <x v="8"/>
            <x v="9"/>
            <x v="10"/>
            <x v="11"/>
            <x v="12"/>
            <x v="13"/>
            <x v="14"/>
            <x v="15"/>
            <x v="16"/>
            <x v="17"/>
            <x v="18"/>
            <x v="19"/>
            <x v="20"/>
            <x v="21"/>
            <x v="22"/>
            <x v="23"/>
            <x v="24"/>
            <x v="35"/>
            <x v="40"/>
            <x v="45"/>
            <x v="46"/>
            <x v="47"/>
            <x v="60"/>
            <x v="61"/>
            <x v="62"/>
            <x v="63"/>
            <x v="64"/>
            <x v="65"/>
            <x v="66"/>
            <x v="67"/>
            <x v="68"/>
            <x v="69"/>
            <x v="70"/>
            <x v="71"/>
            <x v="72"/>
            <x v="73"/>
            <x v="74"/>
            <x v="75"/>
            <x v="76"/>
            <x v="77"/>
            <x v="78"/>
            <x v="79"/>
          </reference>
        </references>
      </pivotArea>
    </format>
    <format dxfId="342">
      <pivotArea dataOnly="0" labelOnly="1" fieldPosition="0">
        <references count="1">
          <reference field="0" count="30">
            <x v="25"/>
            <x v="26"/>
            <x v="27"/>
            <x v="28"/>
            <x v="29"/>
            <x v="30"/>
            <x v="31"/>
            <x v="32"/>
            <x v="33"/>
            <x v="34"/>
            <x v="36"/>
            <x v="37"/>
            <x v="38"/>
            <x v="39"/>
            <x v="41"/>
            <x v="42"/>
            <x v="43"/>
            <x v="44"/>
            <x v="48"/>
            <x v="49"/>
            <x v="50"/>
            <x v="51"/>
            <x v="52"/>
            <x v="53"/>
            <x v="54"/>
            <x v="55"/>
            <x v="56"/>
            <x v="57"/>
            <x v="58"/>
            <x v="59"/>
          </reference>
        </references>
      </pivotArea>
    </format>
    <format dxfId="343">
      <pivotArea dataOnly="0" labelOnly="1" grandRow="1" outline="0" fieldPosition="0"/>
    </format>
    <format dxfId="344">
      <pivotArea dataOnly="0" labelOnly="1" grandCol="1" outline="0" fieldPosition="0"/>
    </format>
    <format dxfId="345">
      <pivotArea type="all" dataOnly="0" outline="0" fieldPosition="0"/>
    </format>
    <format dxfId="346">
      <pivotArea outline="0" collapsedLevelsAreSubtotals="1" fieldPosition="0"/>
    </format>
    <format dxfId="347">
      <pivotArea type="origin" dataOnly="0" labelOnly="1" outline="0" fieldPosition="0"/>
    </format>
    <format dxfId="348">
      <pivotArea field="1" type="button" dataOnly="0" labelOnly="1" outline="0" axis="axisCol" fieldPosition="0"/>
    </format>
    <format dxfId="349">
      <pivotArea type="topRight" dataOnly="0" labelOnly="1" outline="0" fieldPosition="0"/>
    </format>
    <format dxfId="350">
      <pivotArea field="3" type="button" dataOnly="0" labelOnly="1" outline="0" axis="axisRow" fieldPosition="0"/>
    </format>
    <format dxfId="351">
      <pivotArea dataOnly="0" labelOnly="1" fieldPosition="0">
        <references count="1">
          <reference field="3" count="0"/>
        </references>
      </pivotArea>
    </format>
    <format dxfId="352">
      <pivotArea dataOnly="0" labelOnly="1" grandRow="1" outline="0" fieldPosition="0"/>
    </format>
    <format dxfId="353">
      <pivotArea dataOnly="0" labelOnly="1" fieldPosition="0">
        <references count="1">
          <reference field="1" count="0"/>
        </references>
      </pivotArea>
    </format>
    <format dxfId="354">
      <pivotArea dataOnly="0" labelOnly="1" grandCol="1" outline="0" fieldPosition="0"/>
    </format>
    <format dxfId="355">
      <pivotArea collapsedLevelsAreSubtotals="1" fieldPosition="0">
        <references count="2">
          <reference field="1" count="0" selected="0"/>
          <reference field="3" count="1">
            <x v="0"/>
          </reference>
        </references>
      </pivotArea>
    </format>
    <format dxfId="356">
      <pivotArea collapsedLevelsAreSubtotals="1" fieldPosition="0">
        <references count="2">
          <reference field="1" count="0" selected="0"/>
          <reference field="3" count="1">
            <x v="1"/>
          </reference>
        </references>
      </pivotArea>
    </format>
    <format dxfId="357">
      <pivotArea collapsedLevelsAreSubtotals="1" fieldPosition="0">
        <references count="2">
          <reference field="1" count="0" selected="0"/>
          <reference field="3" count="1">
            <x v="2"/>
          </reference>
        </references>
      </pivotArea>
    </format>
    <format dxfId="358">
      <pivotArea collapsedLevelsAreSubtotals="1" fieldPosition="0">
        <references count="2">
          <reference field="1" count="0" selected="0"/>
          <reference field="3" count="1">
            <x v="3"/>
          </reference>
        </references>
      </pivotArea>
    </format>
    <format dxfId="359">
      <pivotArea collapsedLevelsAreSubtotals="1" fieldPosition="0">
        <references count="2">
          <reference field="1" count="0" selected="0"/>
          <reference field="3" count="1">
            <x v="4"/>
          </reference>
        </references>
      </pivotArea>
    </format>
    <format dxfId="360">
      <pivotArea collapsedLevelsAreSubtotals="1" fieldPosition="0">
        <references count="2">
          <reference field="1" count="0" selected="0"/>
          <reference field="3" count="1">
            <x v="5"/>
          </reference>
        </references>
      </pivotArea>
    </format>
    <format dxfId="361">
      <pivotArea collapsedLevelsAreSubtotals="1" fieldPosition="0">
        <references count="2">
          <reference field="1" count="0" selected="0"/>
          <reference field="3" count="1">
            <x v="6"/>
          </reference>
        </references>
      </pivotArea>
    </format>
    <format dxfId="362">
      <pivotArea collapsedLevelsAreSubtotals="1" fieldPosition="0">
        <references count="2">
          <reference field="1" count="0" selected="0"/>
          <reference field="3" count="1">
            <x v="7"/>
          </reference>
        </references>
      </pivotArea>
    </format>
    <format dxfId="363">
      <pivotArea collapsedLevelsAreSubtotals="1" fieldPosition="0">
        <references count="2">
          <reference field="1" count="0" selected="0"/>
          <reference field="3" count="1">
            <x v="8"/>
          </reference>
        </references>
      </pivotArea>
    </format>
    <format dxfId="364">
      <pivotArea collapsedLevelsAreSubtotals="1" fieldPosition="0">
        <references count="2">
          <reference field="1" count="0" selected="0"/>
          <reference field="3" count="1">
            <x v="9"/>
          </reference>
        </references>
      </pivotArea>
    </format>
    <format dxfId="365">
      <pivotArea collapsedLevelsAreSubtotals="1" fieldPosition="0">
        <references count="2">
          <reference field="1" count="0" selected="0"/>
          <reference field="3" count="1">
            <x v="10"/>
          </reference>
        </references>
      </pivotArea>
    </format>
    <format dxfId="366">
      <pivotArea collapsedLevelsAreSubtotals="1" fieldPosition="0">
        <references count="2">
          <reference field="1" count="0" selected="0"/>
          <reference field="3" count="1">
            <x v="11"/>
          </reference>
        </references>
      </pivotArea>
    </format>
    <format dxfId="367">
      <pivotArea collapsedLevelsAreSubtotals="1" fieldPosition="0">
        <references count="2">
          <reference field="1" count="0" selected="0"/>
          <reference field="3" count="1">
            <x v="12"/>
          </reference>
        </references>
      </pivotArea>
    </format>
    <format dxfId="368">
      <pivotArea dataOnly="0" labelOnly="1" fieldPosition="0">
        <references count="1">
          <reference field="3" count="0"/>
        </references>
      </pivotArea>
    </format>
  </formats>
  <conditionalFormats count="1">
    <conditionalFormat priority="11">
      <pivotAreas count="1">
        <pivotArea type="data" grandCol="1" outline="0" collapsedLevelsAreSubtotals="1" fieldPosition="0">
          <references count="1">
            <reference field="4294967294" count="1" selected="0">
              <x v="0"/>
            </reference>
          </references>
        </pivotArea>
      </pivotAreas>
    </conditionalFormat>
  </conditional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Average of AbsDelta"/>
    <pivotHierarchy dragToData="1"/>
    <pivotHierarchy dragToData="1" caption="Average of Delta"/>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9" showRowHeaders="1" showColHeaders="1" showRowStripes="0" showColStripes="0" showLastColumn="1"/>
  <rowHierarchiesUsage count="2">
    <rowHierarchyUsage hierarchyUsage="11"/>
    <rowHierarchyUsage hierarchyUsage="2"/>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IP - Competency Matrix- jose.xlsm!Model">
        <x15:activeTabTopLevelEntity name="[Mode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274A08A-D629-4903-A915-34FF9E01FFBE}" name="PivotTable1"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6:I21" firstHeaderRow="1" firstDataRow="2" firstDataCol="1"/>
  <pivotFields count="4">
    <pivotField axis="axisRow" allDrilled="1" subtotalTop="0" showAll="0" sortType="descending" defaultSubtotal="0">
      <items count="80">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 x="46" e="0"/>
        <item x="47" e="0"/>
        <item x="48" e="0"/>
        <item x="49" e="0"/>
        <item x="50" e="0"/>
        <item x="51" e="0"/>
        <item x="52" e="0"/>
        <item x="53" e="0"/>
        <item x="54" e="0"/>
        <item x="55" e="0"/>
        <item x="56" e="0"/>
        <item x="57" e="0"/>
        <item x="58" e="0"/>
        <item x="59" e="0"/>
        <item x="60" e="0"/>
        <item x="61" e="0"/>
        <item x="62" e="0"/>
        <item x="63" e="0"/>
        <item x="64" e="0"/>
        <item x="65" e="0"/>
        <item x="66" e="0"/>
        <item x="67" e="0"/>
        <item x="68" e="0"/>
        <item x="69" e="0"/>
        <item x="70" e="0"/>
        <item x="71" e="0"/>
        <item x="72" e="0"/>
        <item x="73" e="0"/>
        <item x="74" e="0"/>
        <item x="75" e="0"/>
        <item x="76" e="0"/>
        <item x="77" e="0"/>
        <item x="78" e="0"/>
        <item x="79" e="0"/>
      </items>
      <autoSortScope>
        <pivotArea dataOnly="0" outline="0" fieldPosition="0">
          <references count="1">
            <reference field="4294967294" count="1" selected="0">
              <x v="0"/>
            </reference>
          </references>
        </pivotArea>
      </autoSortScope>
    </pivotField>
    <pivotField axis="axisCol"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dataSourceSort="1" defaultSubtotal="0">
      <items count="13">
        <item x="0" e="0"/>
        <item x="1" e="0"/>
        <item x="2" e="0"/>
        <item x="3" e="0"/>
        <item x="4" e="0"/>
        <item x="5" e="0"/>
        <item x="6" e="0"/>
        <item x="7" e="0"/>
        <item x="8" e="0"/>
        <item x="9" e="0"/>
        <item x="10" e="0"/>
        <item x="11" e="0"/>
        <item x="12" e="0"/>
      </items>
    </pivotField>
  </pivotFields>
  <rowFields count="2">
    <field x="3"/>
    <field x="0"/>
  </rowFields>
  <rowItems count="14">
    <i>
      <x/>
    </i>
    <i>
      <x v="1"/>
    </i>
    <i>
      <x v="2"/>
    </i>
    <i>
      <x v="3"/>
    </i>
    <i>
      <x v="4"/>
    </i>
    <i>
      <x v="5"/>
    </i>
    <i>
      <x v="6"/>
    </i>
    <i>
      <x v="7"/>
    </i>
    <i>
      <x v="8"/>
    </i>
    <i>
      <x v="9"/>
    </i>
    <i>
      <x v="10"/>
    </i>
    <i>
      <x v="11"/>
    </i>
    <i>
      <x v="12"/>
    </i>
    <i t="grand">
      <x/>
    </i>
  </rowItems>
  <colFields count="1">
    <field x="1"/>
  </colFields>
  <colItems count="7">
    <i>
      <x v="5"/>
    </i>
    <i>
      <x v="4"/>
    </i>
    <i>
      <x v="3"/>
    </i>
    <i>
      <x v="2"/>
    </i>
    <i>
      <x v="1"/>
    </i>
    <i>
      <x/>
    </i>
    <i t="grand">
      <x/>
    </i>
  </colItems>
  <dataFields count="1">
    <dataField name="Average of AbsDelta" fld="2" subtotal="average" baseField="0" baseItem="0" numFmtId="2"/>
  </dataFields>
  <formats count="22">
    <format dxfId="313">
      <pivotArea type="all" dataOnly="0" outline="0" fieldPosition="0"/>
    </format>
    <format dxfId="314">
      <pivotArea outline="0" collapsedLevelsAreSubtotals="1" fieldPosition="0"/>
    </format>
    <format dxfId="315">
      <pivotArea type="origin" dataOnly="0" labelOnly="1" outline="0" fieldPosition="0"/>
    </format>
    <format dxfId="316">
      <pivotArea field="1" type="button" dataOnly="0" labelOnly="1" outline="0" axis="axisCol" fieldPosition="0"/>
    </format>
    <format dxfId="317">
      <pivotArea type="topRight" dataOnly="0" labelOnly="1" outline="0" fieldPosition="0"/>
    </format>
    <format dxfId="318">
      <pivotArea field="0" type="button" dataOnly="0" labelOnly="1" outline="0" axis="axisRow" fieldPosition="1"/>
    </format>
    <format dxfId="319">
      <pivotArea dataOnly="0" labelOnly="1" fieldPosition="0">
        <references count="1">
          <reference field="0" count="50">
            <x v="0"/>
            <x v="1"/>
            <x v="2"/>
            <x v="3"/>
            <x v="4"/>
            <x v="5"/>
            <x v="6"/>
            <x v="7"/>
            <x v="8"/>
            <x v="9"/>
            <x v="10"/>
            <x v="11"/>
            <x v="12"/>
            <x v="13"/>
            <x v="14"/>
            <x v="15"/>
            <x v="16"/>
            <x v="17"/>
            <x v="18"/>
            <x v="19"/>
            <x v="20"/>
            <x v="21"/>
            <x v="22"/>
            <x v="23"/>
            <x v="24"/>
            <x v="35"/>
            <x v="40"/>
            <x v="45"/>
            <x v="46"/>
            <x v="47"/>
            <x v="60"/>
            <x v="61"/>
            <x v="62"/>
            <x v="63"/>
            <x v="64"/>
            <x v="65"/>
            <x v="66"/>
            <x v="67"/>
            <x v="68"/>
            <x v="69"/>
            <x v="70"/>
            <x v="71"/>
            <x v="72"/>
            <x v="73"/>
            <x v="74"/>
            <x v="75"/>
            <x v="76"/>
            <x v="77"/>
            <x v="78"/>
            <x v="79"/>
          </reference>
        </references>
      </pivotArea>
    </format>
    <format dxfId="320">
      <pivotArea dataOnly="0" labelOnly="1" fieldPosition="0">
        <references count="1">
          <reference field="0" count="30">
            <x v="25"/>
            <x v="26"/>
            <x v="27"/>
            <x v="28"/>
            <x v="29"/>
            <x v="30"/>
            <x v="31"/>
            <x v="32"/>
            <x v="33"/>
            <x v="34"/>
            <x v="36"/>
            <x v="37"/>
            <x v="38"/>
            <x v="39"/>
            <x v="41"/>
            <x v="42"/>
            <x v="43"/>
            <x v="44"/>
            <x v="48"/>
            <x v="49"/>
            <x v="50"/>
            <x v="51"/>
            <x v="52"/>
            <x v="53"/>
            <x v="54"/>
            <x v="55"/>
            <x v="56"/>
            <x v="57"/>
            <x v="58"/>
            <x v="59"/>
          </reference>
        </references>
      </pivotArea>
    </format>
    <format dxfId="321">
      <pivotArea dataOnly="0" labelOnly="1" grandRow="1" outline="0" fieldPosition="0"/>
    </format>
    <format dxfId="322">
      <pivotArea dataOnly="0" labelOnly="1" fieldPosition="0">
        <references count="1">
          <reference field="1" count="0"/>
        </references>
      </pivotArea>
    </format>
    <format dxfId="323">
      <pivotArea dataOnly="0" labelOnly="1" grandCol="1" outline="0" fieldPosition="0"/>
    </format>
    <format dxfId="324">
      <pivotArea type="all" dataOnly="0" outline="0" fieldPosition="0"/>
    </format>
    <format dxfId="325">
      <pivotArea outline="0" collapsedLevelsAreSubtotals="1" fieldPosition="0"/>
    </format>
    <format dxfId="326">
      <pivotArea type="origin" dataOnly="0" labelOnly="1" outline="0" fieldPosition="0"/>
    </format>
    <format dxfId="327">
      <pivotArea field="1" type="button" dataOnly="0" labelOnly="1" outline="0" axis="axisCol" fieldPosition="0"/>
    </format>
    <format dxfId="328">
      <pivotArea type="topRight" dataOnly="0" labelOnly="1" outline="0" fieldPosition="0"/>
    </format>
    <format dxfId="329">
      <pivotArea field="3" type="button" dataOnly="0" labelOnly="1" outline="0" axis="axisRow" fieldPosition="0"/>
    </format>
    <format dxfId="330">
      <pivotArea dataOnly="0" labelOnly="1" fieldPosition="0">
        <references count="1">
          <reference field="3" count="0"/>
        </references>
      </pivotArea>
    </format>
    <format dxfId="331">
      <pivotArea dataOnly="0" labelOnly="1" grandRow="1" outline="0" fieldPosition="0"/>
    </format>
    <format dxfId="332">
      <pivotArea dataOnly="0" labelOnly="1" fieldPosition="0">
        <references count="1">
          <reference field="1" count="0"/>
        </references>
      </pivotArea>
    </format>
    <format dxfId="333">
      <pivotArea dataOnly="0" labelOnly="1" grandCol="1" outline="0" fieldPosition="0"/>
    </format>
    <format dxfId="334">
      <pivotArea dataOnly="0" labelOnly="1" fieldPosition="0">
        <references count="1">
          <reference field="3" count="0"/>
        </references>
      </pivotArea>
    </format>
  </formats>
  <conditionalFormats count="2">
    <conditionalFormat priority="14">
      <pivotAreas count="1">
        <pivotArea type="data" outline="0" collapsedLevelsAreSubtotals="1" fieldPosition="0">
          <references count="2">
            <reference field="4294967294" count="1" selected="0">
              <x v="0"/>
            </reference>
            <reference field="1" count="6" selected="0">
              <x v="0"/>
              <x v="1"/>
              <x v="2"/>
              <x v="3"/>
              <x v="4"/>
              <x v="5"/>
            </reference>
          </references>
        </pivotArea>
      </pivotAreas>
    </conditionalFormat>
    <conditionalFormat priority="13">
      <pivotAreas count="1">
        <pivotArea type="data" grandCol="1" outline="0" collapsedLevelsAreSubtotals="1" fieldPosition="0">
          <references count="1">
            <reference field="4294967294" count="1" selected="0">
              <x v="0"/>
            </reference>
          </references>
        </pivotArea>
      </pivotAreas>
    </conditionalFormat>
  </conditional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Average of AbsDelta"/>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9" showRowHeaders="1" showColHeaders="1" showRowStripes="0" showColStripes="0" showLastColumn="1"/>
  <rowHierarchiesUsage count="2">
    <rowHierarchyUsage hierarchyUsage="11"/>
    <rowHierarchyUsage hierarchyUsage="2"/>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IP - Competency Matrix- jose.xlsm!Model">
        <x15:activeTabTopLevelEntity name="[Mode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33D3E6-85D8-49CD-9FD8-C74BF67AE7B6}"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C207:AZ223" firstHeaderRow="1" firstDataRow="3" firstDataCol="1"/>
  <pivotFields count="11">
    <pivotField axis="axisRow" allDrilled="1" subtotalTop="0" showAll="0" dataSourceSort="1" defaultSubtotal="0">
      <items count="80">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 x="46" e="0"/>
        <item x="47" e="0"/>
        <item x="48" e="0"/>
        <item x="49" e="0"/>
        <item x="50" e="0"/>
        <item x="51" e="0"/>
        <item x="52" e="0"/>
        <item x="53" e="0"/>
        <item x="54" e="0"/>
        <item x="55" e="0"/>
        <item x="56" e="0"/>
        <item x="57" e="0"/>
        <item x="58" e="0"/>
        <item x="59" e="0"/>
        <item x="60" e="0"/>
        <item x="61" e="0"/>
        <item x="62" e="0"/>
        <item x="63" e="0"/>
        <item x="64" e="0"/>
        <item x="65" e="0"/>
        <item x="66" e="0"/>
        <item x="67" e="0"/>
        <item x="68" e="0"/>
        <item x="69" e="0"/>
        <item x="70" e="0"/>
        <item x="71" e="0"/>
        <item x="72" e="0"/>
        <item x="73" e="0"/>
        <item x="74" e="0"/>
        <item x="75" e="0"/>
        <item x="76" e="0"/>
        <item x="77" e="0"/>
        <item x="78" e="0"/>
        <item x="79" e="0"/>
      </items>
    </pivotField>
    <pivotField axis="axisCol" allDrilled="1" subtotalTop="0" showAll="0"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axis="axisRow" allDrilled="1" subtotalTop="0" showAll="0" dataSourceSort="1" defaultSubtotal="0">
      <items count="13">
        <item x="0" e="0"/>
        <item x="1" e="0"/>
        <item x="2" e="0"/>
        <item x="3" e="0"/>
        <item x="4" e="0"/>
        <item x="5" e="0"/>
        <item x="6" e="0"/>
        <item x="7" e="0"/>
        <item x="8" e="0"/>
        <item x="9" e="0"/>
        <item x="10" e="0"/>
        <item x="11" e="0"/>
        <item x="12" e="0"/>
      </items>
    </pivotField>
  </pivotFields>
  <rowFields count="3">
    <field x="10"/>
    <field x="0"/>
    <field x="9"/>
  </rowFields>
  <rowItems count="14">
    <i>
      <x/>
    </i>
    <i>
      <x v="1"/>
    </i>
    <i>
      <x v="2"/>
    </i>
    <i>
      <x v="3"/>
    </i>
    <i>
      <x v="4"/>
    </i>
    <i>
      <x v="5"/>
    </i>
    <i>
      <x v="6"/>
    </i>
    <i>
      <x v="7"/>
    </i>
    <i>
      <x v="8"/>
    </i>
    <i>
      <x v="9"/>
    </i>
    <i>
      <x v="10"/>
    </i>
    <i>
      <x v="11"/>
    </i>
    <i>
      <x v="12"/>
    </i>
    <i t="grand">
      <x/>
    </i>
  </rowItems>
  <colFields count="2">
    <field x="1"/>
    <field x="-2"/>
  </colFields>
  <colItems count="49">
    <i>
      <x/>
      <x/>
    </i>
    <i r="1" i="1">
      <x v="1"/>
    </i>
    <i r="1" i="2">
      <x v="2"/>
    </i>
    <i r="1" i="3">
      <x v="3"/>
    </i>
    <i r="1" i="4">
      <x v="4"/>
    </i>
    <i r="1" i="5">
      <x v="5"/>
    </i>
    <i r="1" i="6">
      <x v="6"/>
    </i>
    <i>
      <x v="1"/>
      <x/>
    </i>
    <i r="1" i="1">
      <x v="1"/>
    </i>
    <i r="1" i="2">
      <x v="2"/>
    </i>
    <i r="1" i="3">
      <x v="3"/>
    </i>
    <i r="1" i="4">
      <x v="4"/>
    </i>
    <i r="1" i="5">
      <x v="5"/>
    </i>
    <i r="1" i="6">
      <x v="6"/>
    </i>
    <i>
      <x v="2"/>
      <x/>
    </i>
    <i r="1" i="1">
      <x v="1"/>
    </i>
    <i r="1" i="2">
      <x v="2"/>
    </i>
    <i r="1" i="3">
      <x v="3"/>
    </i>
    <i r="1" i="4">
      <x v="4"/>
    </i>
    <i r="1" i="5">
      <x v="5"/>
    </i>
    <i r="1" i="6">
      <x v="6"/>
    </i>
    <i>
      <x v="3"/>
      <x/>
    </i>
    <i r="1" i="1">
      <x v="1"/>
    </i>
    <i r="1" i="2">
      <x v="2"/>
    </i>
    <i r="1" i="3">
      <x v="3"/>
    </i>
    <i r="1" i="4">
      <x v="4"/>
    </i>
    <i r="1" i="5">
      <x v="5"/>
    </i>
    <i r="1" i="6">
      <x v="6"/>
    </i>
    <i>
      <x v="4"/>
      <x/>
    </i>
    <i r="1" i="1">
      <x v="1"/>
    </i>
    <i r="1" i="2">
      <x v="2"/>
    </i>
    <i r="1" i="3">
      <x v="3"/>
    </i>
    <i r="1" i="4">
      <x v="4"/>
    </i>
    <i r="1" i="5">
      <x v="5"/>
    </i>
    <i r="1" i="6">
      <x v="6"/>
    </i>
    <i>
      <x v="5"/>
      <x/>
    </i>
    <i r="1" i="1">
      <x v="1"/>
    </i>
    <i r="1" i="2">
      <x v="2"/>
    </i>
    <i r="1" i="3">
      <x v="3"/>
    </i>
    <i r="1" i="4">
      <x v="4"/>
    </i>
    <i r="1" i="5">
      <x v="5"/>
    </i>
    <i r="1" i="6">
      <x v="6"/>
    </i>
    <i t="grand">
      <x/>
    </i>
    <i t="grand" i="1">
      <x/>
    </i>
    <i t="grand" i="2">
      <x/>
    </i>
    <i t="grand" i="3">
      <x/>
    </i>
    <i t="grand" i="4">
      <x/>
    </i>
    <i t="grand" i="5">
      <x/>
    </i>
    <i t="grand" i="6">
      <x/>
    </i>
  </colItems>
  <dataFields count="7">
    <dataField name="Average of Regular" fld="5" subtotal="average" baseField="0" baseItem="0"/>
    <dataField name="Average of Weighted" fld="6" subtotal="average" baseField="0" baseItem="0"/>
    <dataField name="Average of Delta" fld="4" subtotal="average" baseField="0" baseItem="1"/>
    <dataField name="Average of AbsDelta" fld="2" subtotal="average" baseField="0" baseItem="0" numFmtId="2"/>
    <dataField name="Average of MaterialFlag" fld="3" subtotal="average" showDataAs="percentOfCol" baseField="0" baseItem="0" numFmtId="10"/>
    <dataField name="Average of OverFlag" fld="7" subtotal="average" baseField="0" baseItem="4" numFmtId="10"/>
    <dataField name="Average of UnderFlag" fld="8" subtotal="average" baseField="0" baseItem="0" numFmtId="10"/>
  </dataFields>
  <formats count="37">
    <format dxfId="276">
      <pivotArea type="all" dataOnly="0" outline="0" fieldPosition="0"/>
    </format>
    <format dxfId="277">
      <pivotArea outline="0" collapsedLevelsAreSubtotals="1" fieldPosition="0"/>
    </format>
    <format dxfId="278">
      <pivotArea type="origin" dataOnly="0" labelOnly="1" outline="0" fieldPosition="0"/>
    </format>
    <format dxfId="279">
      <pivotArea field="1" type="button" dataOnly="0" labelOnly="1" outline="0" axis="axisCol" fieldPosition="0"/>
    </format>
    <format dxfId="280">
      <pivotArea type="topRight" dataOnly="0" labelOnly="1" outline="0" fieldPosition="0"/>
    </format>
    <format dxfId="281">
      <pivotArea field="0" type="button" dataOnly="0" labelOnly="1" outline="0" axis="axisRow" fieldPosition="1"/>
    </format>
    <format dxfId="282">
      <pivotArea dataOnly="0" labelOnly="1" fieldPosition="0">
        <references count="1">
          <reference field="0" count="50">
            <x v="0"/>
            <x v="1"/>
            <x v="2"/>
            <x v="3"/>
            <x v="4"/>
            <x v="5"/>
            <x v="6"/>
            <x v="7"/>
            <x v="8"/>
            <x v="9"/>
            <x v="10"/>
            <x v="11"/>
            <x v="12"/>
            <x v="13"/>
            <x v="14"/>
            <x v="15"/>
            <x v="16"/>
            <x v="17"/>
            <x v="18"/>
            <x v="19"/>
            <x v="20"/>
            <x v="21"/>
            <x v="22"/>
            <x v="23"/>
            <x v="24"/>
            <x v="35"/>
            <x v="40"/>
            <x v="45"/>
            <x v="46"/>
            <x v="47"/>
            <x v="60"/>
            <x v="61"/>
            <x v="62"/>
            <x v="63"/>
            <x v="64"/>
            <x v="65"/>
            <x v="66"/>
            <x v="67"/>
            <x v="68"/>
            <x v="69"/>
            <x v="70"/>
            <x v="71"/>
            <x v="72"/>
            <x v="73"/>
            <x v="74"/>
            <x v="75"/>
            <x v="76"/>
            <x v="77"/>
            <x v="78"/>
            <x v="79"/>
          </reference>
        </references>
      </pivotArea>
    </format>
    <format dxfId="283">
      <pivotArea dataOnly="0" labelOnly="1" fieldPosition="0">
        <references count="1">
          <reference field="0" count="30">
            <x v="25"/>
            <x v="26"/>
            <x v="27"/>
            <x v="28"/>
            <x v="29"/>
            <x v="30"/>
            <x v="31"/>
            <x v="32"/>
            <x v="33"/>
            <x v="34"/>
            <x v="36"/>
            <x v="37"/>
            <x v="38"/>
            <x v="39"/>
            <x v="41"/>
            <x v="42"/>
            <x v="43"/>
            <x v="44"/>
            <x v="48"/>
            <x v="49"/>
            <x v="50"/>
            <x v="51"/>
            <x v="52"/>
            <x v="53"/>
            <x v="54"/>
            <x v="55"/>
            <x v="56"/>
            <x v="57"/>
            <x v="58"/>
            <x v="59"/>
          </reference>
        </references>
      </pivotArea>
    </format>
    <format dxfId="284">
      <pivotArea dataOnly="0" labelOnly="1" grandRow="1" outline="0" fieldPosition="0"/>
    </format>
    <format dxfId="285">
      <pivotArea dataOnly="0" labelOnly="1" fieldPosition="0">
        <references count="1">
          <reference field="1" count="0"/>
        </references>
      </pivotArea>
    </format>
    <format dxfId="286">
      <pivotArea dataOnly="0" labelOnly="1" grandCol="1" outline="0" fieldPosition="0"/>
    </format>
    <format dxfId="287">
      <pivotArea outline="0" fieldPosition="0">
        <references count="1">
          <reference field="4294967294" count="1">
            <x v="4"/>
          </reference>
        </references>
      </pivotArea>
    </format>
    <format dxfId="288">
      <pivotArea outline="0" fieldPosition="0">
        <references count="1">
          <reference field="4294967294" count="1">
            <x v="5"/>
          </reference>
        </references>
      </pivotArea>
    </format>
    <format dxfId="289">
      <pivotArea outline="0" fieldPosition="0">
        <references count="1">
          <reference field="4294967294" count="1">
            <x v="6"/>
          </reference>
        </references>
      </pivotArea>
    </format>
    <format dxfId="290">
      <pivotArea type="all" dataOnly="0" outline="0" fieldPosition="0"/>
    </format>
    <format dxfId="291">
      <pivotArea outline="0" collapsedLevelsAreSubtotals="1" fieldPosition="0"/>
    </format>
    <format dxfId="292">
      <pivotArea type="origin" dataOnly="0" labelOnly="1" outline="0" fieldPosition="0"/>
    </format>
    <format dxfId="293">
      <pivotArea field="1" type="button" dataOnly="0" labelOnly="1" outline="0" axis="axisCol" fieldPosition="0"/>
    </format>
    <format dxfId="294">
      <pivotArea field="-2" type="button" dataOnly="0" labelOnly="1" outline="0" axis="axisCol" fieldPosition="1"/>
    </format>
    <format dxfId="295">
      <pivotArea type="topRight" dataOnly="0" labelOnly="1" outline="0" fieldPosition="0"/>
    </format>
    <format dxfId="296">
      <pivotArea field="10" type="button" dataOnly="0" labelOnly="1" outline="0" axis="axisRow" fieldPosition="0"/>
    </format>
    <format dxfId="297">
      <pivotArea dataOnly="0" labelOnly="1" fieldPosition="0">
        <references count="1">
          <reference field="10" count="0"/>
        </references>
      </pivotArea>
    </format>
    <format dxfId="298">
      <pivotArea dataOnly="0" labelOnly="1" grandRow="1" outline="0" fieldPosition="0"/>
    </format>
    <format dxfId="299">
      <pivotArea dataOnly="0" labelOnly="1" fieldPosition="0">
        <references count="1">
          <reference field="1" count="0"/>
        </references>
      </pivotArea>
    </format>
    <format dxfId="300">
      <pivotArea field="1" dataOnly="0" labelOnly="1" grandCol="1" outline="0" axis="axisCol" fieldPosition="0">
        <references count="1">
          <reference field="4294967294" count="1" selected="0">
            <x v="0"/>
          </reference>
        </references>
      </pivotArea>
    </format>
    <format dxfId="301">
      <pivotArea field="1" dataOnly="0" labelOnly="1" grandCol="1" outline="0" axis="axisCol" fieldPosition="0">
        <references count="1">
          <reference field="4294967294" count="1" selected="0">
            <x v="1"/>
          </reference>
        </references>
      </pivotArea>
    </format>
    <format dxfId="302">
      <pivotArea field="1" dataOnly="0" labelOnly="1" grandCol="1" outline="0" axis="axisCol" fieldPosition="0">
        <references count="1">
          <reference field="4294967294" count="1" selected="0">
            <x v="2"/>
          </reference>
        </references>
      </pivotArea>
    </format>
    <format dxfId="303">
      <pivotArea field="1" dataOnly="0" labelOnly="1" grandCol="1" outline="0" axis="axisCol" fieldPosition="0">
        <references count="1">
          <reference field="4294967294" count="1" selected="0">
            <x v="3"/>
          </reference>
        </references>
      </pivotArea>
    </format>
    <format dxfId="304">
      <pivotArea field="1" dataOnly="0" labelOnly="1" grandCol="1" outline="0" axis="axisCol" fieldPosition="0">
        <references count="1">
          <reference field="4294967294" count="1" selected="0">
            <x v="4"/>
          </reference>
        </references>
      </pivotArea>
    </format>
    <format dxfId="305">
      <pivotArea field="1" dataOnly="0" labelOnly="1" grandCol="1" outline="0" axis="axisCol" fieldPosition="0">
        <references count="1">
          <reference field="4294967294" count="1" selected="0">
            <x v="5"/>
          </reference>
        </references>
      </pivotArea>
    </format>
    <format dxfId="306">
      <pivotArea field="1" dataOnly="0" labelOnly="1" grandCol="1" outline="0" axis="axisCol" fieldPosition="0">
        <references count="1">
          <reference field="4294967294" count="1" selected="0">
            <x v="6"/>
          </reference>
        </references>
      </pivotArea>
    </format>
    <format dxfId="307">
      <pivotArea dataOnly="0" labelOnly="1" outline="0" fieldPosition="0">
        <references count="2">
          <reference field="4294967294" count="7">
            <x v="0"/>
            <x v="1"/>
            <x v="2"/>
            <x v="3"/>
            <x v="4"/>
            <x v="5"/>
            <x v="6"/>
          </reference>
          <reference field="1" count="1" selected="0">
            <x v="0"/>
          </reference>
        </references>
      </pivotArea>
    </format>
    <format dxfId="308">
      <pivotArea dataOnly="0" labelOnly="1" outline="0" fieldPosition="0">
        <references count="2">
          <reference field="4294967294" count="7">
            <x v="0"/>
            <x v="1"/>
            <x v="2"/>
            <x v="3"/>
            <x v="4"/>
            <x v="5"/>
            <x v="6"/>
          </reference>
          <reference field="1" count="1" selected="0">
            <x v="1"/>
          </reference>
        </references>
      </pivotArea>
    </format>
    <format dxfId="309">
      <pivotArea dataOnly="0" labelOnly="1" outline="0" fieldPosition="0">
        <references count="2">
          <reference field="4294967294" count="7">
            <x v="0"/>
            <x v="1"/>
            <x v="2"/>
            <x v="3"/>
            <x v="4"/>
            <x v="5"/>
            <x v="6"/>
          </reference>
          <reference field="1" count="1" selected="0">
            <x v="2"/>
          </reference>
        </references>
      </pivotArea>
    </format>
    <format dxfId="310">
      <pivotArea dataOnly="0" labelOnly="1" outline="0" fieldPosition="0">
        <references count="2">
          <reference field="4294967294" count="7">
            <x v="0"/>
            <x v="1"/>
            <x v="2"/>
            <x v="3"/>
            <x v="4"/>
            <x v="5"/>
            <x v="6"/>
          </reference>
          <reference field="1" count="1" selected="0">
            <x v="3"/>
          </reference>
        </references>
      </pivotArea>
    </format>
    <format dxfId="311">
      <pivotArea dataOnly="0" labelOnly="1" outline="0" fieldPosition="0">
        <references count="2">
          <reference field="4294967294" count="7">
            <x v="0"/>
            <x v="1"/>
            <x v="2"/>
            <x v="3"/>
            <x v="4"/>
            <x v="5"/>
            <x v="6"/>
          </reference>
          <reference field="1" count="1" selected="0">
            <x v="4"/>
          </reference>
        </references>
      </pivotArea>
    </format>
    <format dxfId="312">
      <pivotArea dataOnly="0" labelOnly="1" outline="0" fieldPosition="0">
        <references count="2">
          <reference field="4294967294" count="7">
            <x v="0"/>
            <x v="1"/>
            <x v="2"/>
            <x v="3"/>
            <x v="4"/>
            <x v="5"/>
            <x v="6"/>
          </reference>
          <reference field="1" count="1" selected="0">
            <x v="5"/>
          </reference>
        </references>
      </pivotArea>
    </format>
  </formats>
  <conditionalFormats count="3">
    <conditionalFormat scope="data" priority="3">
      <pivotAreas count="1">
        <pivotArea outline="0" fieldPosition="0">
          <references count="1">
            <reference field="4294967294" count="1" selected="0">
              <x v="4"/>
            </reference>
          </references>
        </pivotArea>
      </pivotAreas>
    </conditionalFormat>
    <conditionalFormat scope="data" priority="2">
      <pivotAreas count="1">
        <pivotArea outline="0" fieldPosition="0">
          <references count="1">
            <reference field="4294967294" count="1" selected="0">
              <x v="5"/>
            </reference>
          </references>
        </pivotArea>
      </pivotAreas>
    </conditionalFormat>
    <conditionalFormat scope="data" priority="1">
      <pivotAreas count="1">
        <pivotArea outline="0" fieldPosition="0">
          <references count="1">
            <reference field="4294967294" count="1" selected="0">
              <x v="6"/>
            </reference>
          </references>
        </pivotArea>
      </pivotAreas>
    </conditionalFormat>
  </conditionalFormats>
  <chartFormats count="18">
    <chartFormat chart="0" format="0" series="1">
      <pivotArea type="data" outline="0" fieldPosition="0">
        <references count="2">
          <reference field="4294967294" count="1" selected="0">
            <x v="3"/>
          </reference>
          <reference field="1" count="1" selected="0">
            <x v="0"/>
          </reference>
        </references>
      </pivotArea>
    </chartFormat>
    <chartFormat chart="0" format="1" series="1">
      <pivotArea type="data" outline="0" fieldPosition="0">
        <references count="2">
          <reference field="4294967294" count="1" selected="0">
            <x v="4"/>
          </reference>
          <reference field="1" count="1" selected="0">
            <x v="0"/>
          </reference>
        </references>
      </pivotArea>
    </chartFormat>
    <chartFormat chart="0" format="2" series="1">
      <pivotArea type="data" outline="0" fieldPosition="0">
        <references count="2">
          <reference field="4294967294" count="1" selected="0">
            <x v="2"/>
          </reference>
          <reference field="1" count="1" selected="0">
            <x v="0"/>
          </reference>
        </references>
      </pivotArea>
    </chartFormat>
    <chartFormat chart="0" format="3" series="1">
      <pivotArea type="data" outline="0" fieldPosition="0">
        <references count="2">
          <reference field="4294967294" count="1" selected="0">
            <x v="3"/>
          </reference>
          <reference field="1" count="1" selected="0">
            <x v="1"/>
          </reference>
        </references>
      </pivotArea>
    </chartFormat>
    <chartFormat chart="0" format="4" series="1">
      <pivotArea type="data" outline="0" fieldPosition="0">
        <references count="2">
          <reference field="4294967294" count="1" selected="0">
            <x v="4"/>
          </reference>
          <reference field="1" count="1" selected="0">
            <x v="1"/>
          </reference>
        </references>
      </pivotArea>
    </chartFormat>
    <chartFormat chart="0" format="5" series="1">
      <pivotArea type="data" outline="0" fieldPosition="0">
        <references count="2">
          <reference field="4294967294" count="1" selected="0">
            <x v="2"/>
          </reference>
          <reference field="1" count="1" selected="0">
            <x v="1"/>
          </reference>
        </references>
      </pivotArea>
    </chartFormat>
    <chartFormat chart="0" format="6" series="1">
      <pivotArea type="data" outline="0" fieldPosition="0">
        <references count="2">
          <reference field="4294967294" count="1" selected="0">
            <x v="3"/>
          </reference>
          <reference field="1" count="1" selected="0">
            <x v="2"/>
          </reference>
        </references>
      </pivotArea>
    </chartFormat>
    <chartFormat chart="0" format="7" series="1">
      <pivotArea type="data" outline="0" fieldPosition="0">
        <references count="2">
          <reference field="4294967294" count="1" selected="0">
            <x v="4"/>
          </reference>
          <reference field="1" count="1" selected="0">
            <x v="2"/>
          </reference>
        </references>
      </pivotArea>
    </chartFormat>
    <chartFormat chart="0" format="8" series="1">
      <pivotArea type="data" outline="0" fieldPosition="0">
        <references count="2">
          <reference field="4294967294" count="1" selected="0">
            <x v="2"/>
          </reference>
          <reference field="1" count="1" selected="0">
            <x v="2"/>
          </reference>
        </references>
      </pivotArea>
    </chartFormat>
    <chartFormat chart="0" format="9" series="1">
      <pivotArea type="data" outline="0" fieldPosition="0">
        <references count="2">
          <reference field="4294967294" count="1" selected="0">
            <x v="3"/>
          </reference>
          <reference field="1" count="1" selected="0">
            <x v="3"/>
          </reference>
        </references>
      </pivotArea>
    </chartFormat>
    <chartFormat chart="0" format="10" series="1">
      <pivotArea type="data" outline="0" fieldPosition="0">
        <references count="2">
          <reference field="4294967294" count="1" selected="0">
            <x v="4"/>
          </reference>
          <reference field="1" count="1" selected="0">
            <x v="3"/>
          </reference>
        </references>
      </pivotArea>
    </chartFormat>
    <chartFormat chart="0" format="11" series="1">
      <pivotArea type="data" outline="0" fieldPosition="0">
        <references count="2">
          <reference field="4294967294" count="1" selected="0">
            <x v="2"/>
          </reference>
          <reference field="1" count="1" selected="0">
            <x v="3"/>
          </reference>
        </references>
      </pivotArea>
    </chartFormat>
    <chartFormat chart="0" format="12" series="1">
      <pivotArea type="data" outline="0" fieldPosition="0">
        <references count="2">
          <reference field="4294967294" count="1" selected="0">
            <x v="3"/>
          </reference>
          <reference field="1" count="1" selected="0">
            <x v="4"/>
          </reference>
        </references>
      </pivotArea>
    </chartFormat>
    <chartFormat chart="0" format="13" series="1">
      <pivotArea type="data" outline="0" fieldPosition="0">
        <references count="2">
          <reference field="4294967294" count="1" selected="0">
            <x v="4"/>
          </reference>
          <reference field="1" count="1" selected="0">
            <x v="4"/>
          </reference>
        </references>
      </pivotArea>
    </chartFormat>
    <chartFormat chart="0" format="14" series="1">
      <pivotArea type="data" outline="0" fieldPosition="0">
        <references count="2">
          <reference field="4294967294" count="1" selected="0">
            <x v="2"/>
          </reference>
          <reference field="1" count="1" selected="0">
            <x v="4"/>
          </reference>
        </references>
      </pivotArea>
    </chartFormat>
    <chartFormat chart="0" format="15" series="1">
      <pivotArea type="data" outline="0" fieldPosition="0">
        <references count="2">
          <reference field="4294967294" count="1" selected="0">
            <x v="3"/>
          </reference>
          <reference field="1" count="1" selected="0">
            <x v="5"/>
          </reference>
        </references>
      </pivotArea>
    </chartFormat>
    <chartFormat chart="0" format="16" series="1">
      <pivotArea type="data" outline="0" fieldPosition="0">
        <references count="2">
          <reference field="4294967294" count="1" selected="0">
            <x v="4"/>
          </reference>
          <reference field="1" count="1" selected="0">
            <x v="5"/>
          </reference>
        </references>
      </pivotArea>
    </chartFormat>
    <chartFormat chart="0" format="17" series="1">
      <pivotArea type="data" outline="0" fieldPosition="0">
        <references count="2">
          <reference field="4294967294" count="1" selected="0">
            <x v="2"/>
          </reference>
          <reference field="1" count="1" selected="0">
            <x v="5"/>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Average of AbsDelta"/>
    <pivotHierarchy dragToData="1"/>
    <pivotHierarchy dragToData="1" caption="Average of Delta"/>
    <pivotHierarchy dragToData="1"/>
    <pivotHierarchy dragToData="1" caption="Average of MaterialFlag"/>
    <pivotHierarchy dragToData="1"/>
    <pivotHierarchy dragToData="1"/>
    <pivotHierarchy dragToData="1" caption="Average of Regular"/>
    <pivotHierarchy dragToData="1"/>
    <pivotHierarchy dragToData="1" caption="Average of Weighted"/>
    <pivotHierarchy dragToData="1"/>
    <pivotHierarchy dragToData="1" caption="Average of OverFlag"/>
    <pivotHierarchy dragToData="1"/>
    <pivotHierarchy dragToData="1" caption="Average of UnderFlag"/>
  </pivotHierarchies>
  <pivotTableStyleInfo name="PivotStyleMedium19" showRowHeaders="1" showColHeaders="1" showRowStripes="0" showColStripes="0" showLastColumn="1"/>
  <rowHierarchiesUsage count="3">
    <rowHierarchyUsage hierarchyUsage="11"/>
    <rowHierarchyUsage hierarchyUsage="2"/>
    <rowHierarchyUsage hierarchyUsage="0"/>
  </rowHierarchiesUsage>
  <colHierarchiesUsage count="2">
    <colHierarchyUsage hierarchyUsage="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IP - Competency Matrix- jose.xlsm!Model">
        <x15:activeTabTopLevelEntity name="[Mode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B53E8D9-8199-2045-AE70-996C5EFFBEDA}" name="PivotTable3"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5:AE20" firstHeaderRow="0" firstDataRow="1" firstDataCol="1"/>
  <pivotFields count="19">
    <pivotField dataField="1" showAll="0"/>
    <pivotField axis="axisRow" showAll="0">
      <items count="16">
        <item x="5"/>
        <item x="3"/>
        <item x="2"/>
        <item x="4"/>
        <item x="10"/>
        <item x="11"/>
        <item x="6"/>
        <item x="7"/>
        <item x="8"/>
        <item x="9"/>
        <item x="12"/>
        <item m="1" x="14"/>
        <item x="0"/>
        <item x="1"/>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5">
    <i>
      <x/>
    </i>
    <i>
      <x v="1"/>
    </i>
    <i>
      <x v="2"/>
    </i>
    <i>
      <x v="3"/>
    </i>
    <i>
      <x v="4"/>
    </i>
    <i>
      <x v="5"/>
    </i>
    <i>
      <x v="6"/>
    </i>
    <i>
      <x v="7"/>
    </i>
    <i>
      <x v="8"/>
    </i>
    <i>
      <x v="9"/>
    </i>
    <i>
      <x v="10"/>
    </i>
    <i>
      <x v="12"/>
    </i>
    <i>
      <x v="13"/>
    </i>
    <i>
      <x v="14"/>
    </i>
    <i t="grand">
      <x/>
    </i>
  </rowItems>
  <colFields count="1">
    <field x="-2"/>
  </colFields>
  <colItems count="2">
    <i>
      <x/>
    </i>
    <i i="1">
      <x v="1"/>
    </i>
  </colItems>
  <dataFields count="2">
    <dataField name="Count" fld="0" subtotal="count" baseField="0" baseItem="0"/>
    <dataField name="% of Total" fld="0" subtotal="count" showDataAs="percentOfTotal" baseField="0" baseItem="0" numFmtId="10"/>
  </dataFields>
  <formats count="29">
    <format dxfId="247">
      <pivotArea type="all" dataOnly="0" outline="0" fieldPosition="0"/>
    </format>
    <format dxfId="248">
      <pivotArea outline="0" collapsedLevelsAreSubtotals="1" fieldPosition="0"/>
    </format>
    <format dxfId="249">
      <pivotArea field="1" type="button" dataOnly="0" labelOnly="1" outline="0" axis="axisRow" fieldPosition="0"/>
    </format>
    <format dxfId="250">
      <pivotArea dataOnly="0" labelOnly="1" fieldPosition="0">
        <references count="1">
          <reference field="1" count="0"/>
        </references>
      </pivotArea>
    </format>
    <format dxfId="251">
      <pivotArea dataOnly="0" labelOnly="1" grandRow="1" outline="0" fieldPosition="0"/>
    </format>
    <format dxfId="252">
      <pivotArea dataOnly="0" labelOnly="1" outline="0" fieldPosition="0">
        <references count="1">
          <reference field="4294967294" count="2">
            <x v="0"/>
            <x v="1"/>
          </reference>
        </references>
      </pivotArea>
    </format>
    <format dxfId="253">
      <pivotArea type="all" dataOnly="0" outline="0" fieldPosition="0"/>
    </format>
    <format dxfId="254">
      <pivotArea outline="0" collapsedLevelsAreSubtotals="1" fieldPosition="0"/>
    </format>
    <format dxfId="255">
      <pivotArea field="1" type="button" dataOnly="0" labelOnly="1" outline="0" axis="axisRow" fieldPosition="0"/>
    </format>
    <format dxfId="256">
      <pivotArea dataOnly="0" labelOnly="1" fieldPosition="0">
        <references count="1">
          <reference field="1" count="0"/>
        </references>
      </pivotArea>
    </format>
    <format dxfId="257">
      <pivotArea dataOnly="0" labelOnly="1" grandRow="1" outline="0" fieldPosition="0"/>
    </format>
    <format dxfId="258">
      <pivotArea dataOnly="0" labelOnly="1" outline="0" fieldPosition="0">
        <references count="1">
          <reference field="4294967294" count="2">
            <x v="0"/>
            <x v="1"/>
          </reference>
        </references>
      </pivotArea>
    </format>
    <format dxfId="259">
      <pivotArea field="1" type="button" dataOnly="0" labelOnly="1" outline="0" axis="axisRow" fieldPosition="0"/>
    </format>
    <format dxfId="260">
      <pivotArea dataOnly="0" labelOnly="1" outline="0" fieldPosition="0">
        <references count="1">
          <reference field="4294967294" count="2">
            <x v="0"/>
            <x v="1"/>
          </reference>
        </references>
      </pivotArea>
    </format>
    <format dxfId="261">
      <pivotArea field="1" type="button" dataOnly="0" labelOnly="1" outline="0" axis="axisRow" fieldPosition="0"/>
    </format>
    <format dxfId="262">
      <pivotArea dataOnly="0" labelOnly="1" outline="0" fieldPosition="0">
        <references count="1">
          <reference field="4294967294" count="2">
            <x v="0"/>
            <x v="1"/>
          </reference>
        </references>
      </pivotArea>
    </format>
    <format dxfId="263">
      <pivotArea grandRow="1" outline="0" collapsedLevelsAreSubtotals="1" fieldPosition="0"/>
    </format>
    <format dxfId="264">
      <pivotArea dataOnly="0" labelOnly="1" grandRow="1" outline="0" fieldPosition="0"/>
    </format>
    <format dxfId="265">
      <pivotArea grandRow="1" outline="0" collapsedLevelsAreSubtotals="1" fieldPosition="0"/>
    </format>
    <format dxfId="266">
      <pivotArea dataOnly="0" labelOnly="1" grandRow="1" outline="0" fieldPosition="0"/>
    </format>
    <format dxfId="267">
      <pivotArea type="all" dataOnly="0" outline="0" fieldPosition="0"/>
    </format>
    <format dxfId="268">
      <pivotArea outline="0" collapsedLevelsAreSubtotals="1" fieldPosition="0"/>
    </format>
    <format dxfId="269">
      <pivotArea field="1" type="button" dataOnly="0" labelOnly="1" outline="0" axis="axisRow" fieldPosition="0"/>
    </format>
    <format dxfId="270">
      <pivotArea dataOnly="0" labelOnly="1" fieldPosition="0">
        <references count="1">
          <reference field="1" count="0"/>
        </references>
      </pivotArea>
    </format>
    <format dxfId="271">
      <pivotArea dataOnly="0" labelOnly="1" grandRow="1" outline="0" fieldPosition="0"/>
    </format>
    <format dxfId="272">
      <pivotArea dataOnly="0" labelOnly="1" outline="0" fieldPosition="0">
        <references count="1">
          <reference field="4294967294" count="2">
            <x v="0"/>
            <x v="1"/>
          </reference>
        </references>
      </pivotArea>
    </format>
    <format dxfId="273">
      <pivotArea outline="0" collapsedLevelsAreSubtotals="1" fieldPosition="0"/>
    </format>
    <format dxfId="274">
      <pivotArea dataOnly="0" labelOnly="1" fieldPosition="0">
        <references count="1">
          <reference field="1" count="0"/>
        </references>
      </pivotArea>
    </format>
    <format dxfId="275">
      <pivotArea dataOnly="0" labelOnly="1" grandRow="1" outline="0" fieldPosition="0"/>
    </format>
  </formats>
  <pivotTableStyleInfo name="PivotStyleDark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4C61107-CF0D-0047-A956-381F2CF90E37}" name="PivotTable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22:AL37" firstHeaderRow="0" firstDataRow="1" firstDataCol="1"/>
  <pivotFields count="19">
    <pivotField showAll="0"/>
    <pivotField axis="axisRow" showAll="0">
      <items count="16">
        <item x="5"/>
        <item x="3"/>
        <item x="2"/>
        <item x="4"/>
        <item x="10"/>
        <item x="11"/>
        <item x="6"/>
        <item x="7"/>
        <item x="8"/>
        <item x="9"/>
        <item x="12"/>
        <item m="1" x="14"/>
        <item x="0"/>
        <item x="1"/>
        <item x="13"/>
        <item t="default"/>
      </items>
    </pivotField>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s>
  <rowFields count="1">
    <field x="1"/>
  </rowFields>
  <rowItems count="15">
    <i>
      <x/>
    </i>
    <i>
      <x v="1"/>
    </i>
    <i>
      <x v="2"/>
    </i>
    <i>
      <x v="3"/>
    </i>
    <i>
      <x v="4"/>
    </i>
    <i>
      <x v="5"/>
    </i>
    <i>
      <x v="6"/>
    </i>
    <i>
      <x v="7"/>
    </i>
    <i>
      <x v="8"/>
    </i>
    <i>
      <x v="9"/>
    </i>
    <i>
      <x v="10"/>
    </i>
    <i>
      <x v="12"/>
    </i>
    <i>
      <x v="13"/>
    </i>
    <i>
      <x v="14"/>
    </i>
    <i t="grand">
      <x/>
    </i>
  </rowItems>
  <colFields count="1">
    <field x="-2"/>
  </colFields>
  <colItems count="9">
    <i>
      <x/>
    </i>
    <i i="1">
      <x v="1"/>
    </i>
    <i i="2">
      <x v="2"/>
    </i>
    <i i="3">
      <x v="3"/>
    </i>
    <i i="4">
      <x v="4"/>
    </i>
    <i i="5">
      <x v="5"/>
    </i>
    <i i="6">
      <x v="6"/>
    </i>
    <i i="7">
      <x v="7"/>
    </i>
    <i i="8">
      <x v="8"/>
    </i>
  </colItems>
  <dataFields count="9">
    <dataField name="Average of C1" fld="5" subtotal="average" baseField="0" baseItem="0"/>
    <dataField name="Average of C2" fld="6" subtotal="average" baseField="0" baseItem="0"/>
    <dataField name="Average of C3" fld="7" subtotal="average" baseField="0" baseItem="0"/>
    <dataField name="Average of C4-S" fld="8" subtotal="average" baseField="0" baseItem="0"/>
    <dataField name="Average of C4-M" fld="9" subtotal="average" baseField="0" baseItem="0"/>
    <dataField name="Average of C5-S" fld="10" subtotal="average" baseField="0" baseItem="0"/>
    <dataField name="Average of C5-M" fld="11" subtotal="average" baseField="0" baseItem="0"/>
    <dataField name="Average of C6-S" fld="12" subtotal="average" baseField="0" baseItem="0"/>
    <dataField name="Average of C6-M" fld="13" subtotal="average" baseField="0" baseItem="0"/>
  </dataFields>
  <formats count="24">
    <format dxfId="223">
      <pivotArea type="all" dataOnly="0" outline="0" fieldPosition="0"/>
    </format>
    <format dxfId="224">
      <pivotArea outline="0" collapsedLevelsAreSubtotals="1" fieldPosition="0"/>
    </format>
    <format dxfId="225">
      <pivotArea field="1" type="button" dataOnly="0" labelOnly="1" outline="0" axis="axisRow" fieldPosition="0"/>
    </format>
    <format dxfId="226">
      <pivotArea dataOnly="0" labelOnly="1" fieldPosition="0">
        <references count="1">
          <reference field="1" count="0"/>
        </references>
      </pivotArea>
    </format>
    <format dxfId="227">
      <pivotArea dataOnly="0" labelOnly="1" grandRow="1" outline="0" fieldPosition="0"/>
    </format>
    <format dxfId="228">
      <pivotArea type="all" dataOnly="0" outline="0" fieldPosition="0"/>
    </format>
    <format dxfId="229">
      <pivotArea outline="0" collapsedLevelsAreSubtotals="1" fieldPosition="0"/>
    </format>
    <format dxfId="230">
      <pivotArea field="1" type="button" dataOnly="0" labelOnly="1" outline="0" axis="axisRow" fieldPosition="0"/>
    </format>
    <format dxfId="231">
      <pivotArea dataOnly="0" labelOnly="1" fieldPosition="0">
        <references count="1">
          <reference field="1" count="0"/>
        </references>
      </pivotArea>
    </format>
    <format dxfId="232">
      <pivotArea dataOnly="0" labelOnly="1" grandRow="1" outline="0" fieldPosition="0"/>
    </format>
    <format dxfId="233">
      <pivotArea field="1" type="button" dataOnly="0" labelOnly="1" outline="0" axis="axisRow" fieldPosition="0"/>
    </format>
    <format dxfId="234">
      <pivotArea field="1" type="button" dataOnly="0" labelOnly="1" outline="0" axis="axisRow" fieldPosition="0"/>
    </format>
    <format dxfId="235">
      <pivotArea grandRow="1" outline="0" collapsedLevelsAreSubtotals="1" fieldPosition="0"/>
    </format>
    <format dxfId="236">
      <pivotArea dataOnly="0" labelOnly="1" grandRow="1" outline="0" fieldPosition="0"/>
    </format>
    <format dxfId="237">
      <pivotArea grandRow="1" outline="0" collapsedLevelsAreSubtotals="1" fieldPosition="0"/>
    </format>
    <format dxfId="238">
      <pivotArea dataOnly="0" labelOnly="1" grandRow="1" outline="0" fieldPosition="0"/>
    </format>
    <format dxfId="239">
      <pivotArea type="all" dataOnly="0" outline="0" fieldPosition="0"/>
    </format>
    <format dxfId="240">
      <pivotArea outline="0" collapsedLevelsAreSubtotals="1" fieldPosition="0"/>
    </format>
    <format dxfId="241">
      <pivotArea field="1" type="button" dataOnly="0" labelOnly="1" outline="0" axis="axisRow" fieldPosition="0"/>
    </format>
    <format dxfId="242">
      <pivotArea dataOnly="0" labelOnly="1" fieldPosition="0">
        <references count="1">
          <reference field="1" count="0"/>
        </references>
      </pivotArea>
    </format>
    <format dxfId="243">
      <pivotArea dataOnly="0" labelOnly="1" grandRow="1" outline="0" fieldPosition="0"/>
    </format>
    <format dxfId="244">
      <pivotArea dataOnly="0" labelOnly="1" outline="0" fieldPosition="0">
        <references count="1">
          <reference field="4294967294" count="9">
            <x v="0"/>
            <x v="1"/>
            <x v="2"/>
            <x v="3"/>
            <x v="4"/>
            <x v="5"/>
            <x v="6"/>
            <x v="7"/>
            <x v="8"/>
          </reference>
        </references>
      </pivotArea>
    </format>
    <format dxfId="245">
      <pivotArea dataOnly="0" labelOnly="1" outline="0" fieldPosition="0">
        <references count="1">
          <reference field="4294967294" count="9">
            <x v="0"/>
            <x v="1"/>
            <x v="2"/>
            <x v="3"/>
            <x v="4"/>
            <x v="5"/>
            <x v="6"/>
            <x v="7"/>
            <x v="8"/>
          </reference>
        </references>
      </pivotArea>
    </format>
    <format dxfId="246">
      <pivotArea dataOnly="0" labelOnly="1" outline="0" fieldPosition="0">
        <references count="1">
          <reference field="4294967294" count="9">
            <x v="0"/>
            <x v="1"/>
            <x v="2"/>
            <x v="3"/>
            <x v="4"/>
            <x v="5"/>
            <x v="6"/>
            <x v="7"/>
            <x v="8"/>
          </reference>
        </references>
      </pivotArea>
    </format>
  </formats>
  <conditionalFormats count="1">
    <conditionalFormat priority="2">
      <pivotAreas count="1">
        <pivotArea type="data" collapsedLevelsAreSubtotals="1" fieldPosition="0">
          <references count="1">
            <reference field="1" count="13">
              <x v="0"/>
              <x v="1"/>
              <x v="2"/>
              <x v="3"/>
              <x v="4"/>
              <x v="5"/>
              <x v="6"/>
              <x v="7"/>
              <x v="8"/>
              <x v="9"/>
              <x v="10"/>
              <x v="12"/>
              <x v="13"/>
            </reference>
          </references>
        </pivotArea>
      </pivotAreas>
    </conditionalFormat>
  </conditionalFormats>
  <pivotTableStyleInfo name="PivotStyleDark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DCA0B52-97AF-4DB6-B38E-A9E13793CB23}" autoFormatId="16" applyNumberFormats="0" applyBorderFormats="0" applyFontFormats="0" applyPatternFormats="0" applyAlignmentFormats="0" applyWidthHeightFormats="0">
  <queryTableRefresh nextId="95">
    <queryTableFields count="94">
      <queryTableField id="1" name="REF" tableColumnId="1"/>
      <queryTableField id="2" name="First Name" tableColumnId="2"/>
      <queryTableField id="3" name="Last Name" tableColumnId="3"/>
      <queryTableField id="4" name="C-Level" tableColumnId="4"/>
      <queryTableField id="5" name="Rating Type" tableColumnId="5"/>
      <queryTableField id="6" name="Rating Date" tableColumnId="6"/>
      <queryTableField id="7" name="Rated By" tableColumnId="7"/>
      <queryTableField id="8" name="Comptetency" tableColumnId="8"/>
      <queryTableField id="9" name="A1" tableColumnId="9"/>
      <queryTableField id="10" name="A2" tableColumnId="10"/>
      <queryTableField id="11" name="A3" tableColumnId="11"/>
      <queryTableField id="12" name="A4" tableColumnId="12"/>
      <queryTableField id="13" name="A5" tableColumnId="13"/>
      <queryTableField id="14" name="A6" tableColumnId="14"/>
      <queryTableField id="15" name="A7" tableColumnId="15"/>
      <queryTableField id="16" name="A8" tableColumnId="16"/>
      <queryTableField id="17" name="A9" tableColumnId="17"/>
      <queryTableField id="18" name="A10" tableColumnId="18"/>
      <queryTableField id="19" name="B1" tableColumnId="19"/>
      <queryTableField id="20" name="B2" tableColumnId="20"/>
      <queryTableField id="21" name="B3" tableColumnId="21"/>
      <queryTableField id="22" name="B4" tableColumnId="22"/>
      <queryTableField id="23" name="B5" tableColumnId="23"/>
      <queryTableField id="24" name="B6" tableColumnId="24"/>
      <queryTableField id="25" name="B7" tableColumnId="25"/>
      <queryTableField id="26" name="B8" tableColumnId="26"/>
      <queryTableField id="27" name="B9" tableColumnId="27"/>
      <queryTableField id="28" name="B10" tableColumnId="28"/>
      <queryTableField id="29" name="C1" tableColumnId="29"/>
      <queryTableField id="30" name="C2" tableColumnId="30"/>
      <queryTableField id="31" name="C3" tableColumnId="31"/>
      <queryTableField id="32" name="C4" tableColumnId="32"/>
      <queryTableField id="33" name="C5" tableColumnId="33"/>
      <queryTableField id="34" name="D1" tableColumnId="34"/>
      <queryTableField id="35" name="D2" tableColumnId="35"/>
      <queryTableField id="36" name="D3" tableColumnId="36"/>
      <queryTableField id="37" name="D4" tableColumnId="37"/>
      <queryTableField id="38" name="D5" tableColumnId="38"/>
      <queryTableField id="39" name="E1" tableColumnId="39"/>
      <queryTableField id="40" name="E2" tableColumnId="40"/>
      <queryTableField id="41" name="E3" tableColumnId="41"/>
      <queryTableField id="42" name="E4" tableColumnId="42"/>
      <queryTableField id="43" name="E5" tableColumnId="43"/>
      <queryTableField id="44" name="F1" tableColumnId="44"/>
      <queryTableField id="45" name="F2" tableColumnId="45"/>
      <queryTableField id="46" name="F3" tableColumnId="46"/>
      <queryTableField id="47" name="F4" tableColumnId="47"/>
      <queryTableField id="48" name="F5" tableColumnId="48"/>
      <queryTableField id="49" name="F6" tableColumnId="49"/>
      <queryTableField id="50" name="F7" tableColumnId="50"/>
      <queryTableField id="51" name="F8" tableColumnId="51"/>
      <queryTableField id="52" name="F9" tableColumnId="52"/>
      <queryTableField id="53" name="F10" tableColumnId="53"/>
      <queryTableField id="54" name="G1" tableColumnId="54"/>
      <queryTableField id="55" name="G2" tableColumnId="55"/>
      <queryTableField id="56" name="G3" tableColumnId="56"/>
      <queryTableField id="57" name="G4" tableColumnId="57"/>
      <queryTableField id="58" name="G5" tableColumnId="58"/>
      <queryTableField id="59" name="G6" tableColumnId="59"/>
      <queryTableField id="60" name="G7" tableColumnId="60"/>
      <queryTableField id="61" name="G8" tableColumnId="61"/>
      <queryTableField id="62" name="G9" tableColumnId="62"/>
      <queryTableField id="63" name="G10" tableColumnId="63"/>
      <queryTableField id="64" name="G11" tableColumnId="64"/>
      <queryTableField id="65" name="G12" tableColumnId="65"/>
      <queryTableField id="66" name="G13" tableColumnId="66"/>
      <queryTableField id="67" name="G14" tableColumnId="67"/>
      <queryTableField id="68" name="G15" tableColumnId="68"/>
      <queryTableField id="69" name="G16" tableColumnId="69"/>
      <queryTableField id="70" name="G17" tableColumnId="70"/>
      <queryTableField id="71" name="G18" tableColumnId="71"/>
      <queryTableField id="72" name="G19" tableColumnId="72"/>
      <queryTableField id="73" name="G20" tableColumnId="73"/>
      <queryTableField id="74" name="G21" tableColumnId="74"/>
      <queryTableField id="75" name="G22" tableColumnId="75"/>
      <queryTableField id="76" name="G23" tableColumnId="76"/>
      <queryTableField id="77" name="G24" tableColumnId="77"/>
      <queryTableField id="78" name="G25" tableColumnId="78"/>
      <queryTableField id="79" name="G26" tableColumnId="79"/>
      <queryTableField id="80" name="G27" tableColumnId="80"/>
      <queryTableField id="81" name="G28" tableColumnId="81"/>
      <queryTableField id="82" name="G29" tableColumnId="82"/>
      <queryTableField id="83" name="G30" tableColumnId="83"/>
      <queryTableField id="84" name="G31" tableColumnId="84"/>
      <queryTableField id="85" name="G32" tableColumnId="85"/>
      <queryTableField id="86" name="G33" tableColumnId="86"/>
      <queryTableField id="87" name="G34" tableColumnId="87"/>
      <queryTableField id="88" name="G35" tableColumnId="88"/>
      <queryTableField id="89" name="H1" tableColumnId="89"/>
      <queryTableField id="90" name="H2" tableColumnId="90"/>
      <queryTableField id="91" name="H3" tableColumnId="91"/>
      <queryTableField id="92" name="H4" tableColumnId="92"/>
      <queryTableField id="93" name="H5" tableColumnId="93"/>
      <queryTableField id="94" name="H6" tableColumnId="9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7FD78775-4F07-4A03-9EF4-EE0FA996587B}" autoFormatId="16" applyNumberFormats="0" applyBorderFormats="0" applyFontFormats="0" applyPatternFormats="0" applyAlignmentFormats="0" applyWidthHeightFormats="0">
  <queryTableRefresh nextId="13">
    <queryTableFields count="12">
      <queryTableField id="1" name="REF" tableColumnId="1"/>
      <queryTableField id="2" name="C-Level" tableColumnId="2"/>
      <queryTableField id="3" name="Competency" tableColumnId="3"/>
      <queryTableField id="4" name="Regular" tableColumnId="4"/>
      <queryTableField id="5" name="Weighted" tableColumnId="5"/>
      <queryTableField id="6" name="Delta" tableColumnId="6"/>
      <queryTableField id="7" name="AbsDelta" tableColumnId="7"/>
      <queryTableField id="8" name="OverFlag" tableColumnId="8"/>
      <queryTableField id="9" name="UnderFlag" tableColumnId="9"/>
      <queryTableField id="10" name="MaterialFlag" tableColumnId="10"/>
      <queryTableField id="11" name="BucketDelta" tableColumnId="11"/>
      <queryTableField id="12" name="Competency Area"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etency_Area" xr10:uid="{5AB58895-3802-3443-B011-86CF1431386D}" sourceName="Competency Area">
  <extLst>
    <x:ext xmlns:x15="http://schemas.microsoft.com/office/spreadsheetml/2010/11/main" uri="{2F2917AC-EB37-4324-AD4E-5DD8C200BD13}">
      <x15:tableSlicerCache tableId="1"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Q_Developer" xr10:uid="{37C0E22C-6F93-BB43-9606-6600C25BFE8C}" sourceName="DQ Developer">
  <extLst>
    <x:ext xmlns:x15="http://schemas.microsoft.com/office/spreadsheetml/2010/11/main" uri="{2F2917AC-EB37-4324-AD4E-5DD8C200BD13}">
      <x15:tableSlicerCache tableId="1" column="6"/>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Q_Snr._Developer" xr10:uid="{860179C8-F82A-114E-AA96-DD47072BA453}" sourceName="DQ Snr. Developer">
  <extLst>
    <x:ext xmlns:x15="http://schemas.microsoft.com/office/spreadsheetml/2010/11/main" uri="{2F2917AC-EB37-4324-AD4E-5DD8C200BD13}">
      <x15:tableSlicerCache tableId="1" column="16"/>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chnical_Architect" xr10:uid="{545B815F-AC1C-CB4C-8F53-5EB2DC794A2B}" sourceName="Technical Architect">
  <extLst>
    <x:ext xmlns:x15="http://schemas.microsoft.com/office/spreadsheetml/2010/11/main" uri="{2F2917AC-EB37-4324-AD4E-5DD8C200BD13}">
      <x15:tableSlicerCache tableId="1" column="17"/>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lution_Architect" xr10:uid="{8303350D-16ED-A54D-A07E-A0AF1EBD0D69}" sourceName="Solution Architect">
  <extLst>
    <x:ext xmlns:x15="http://schemas.microsoft.com/office/spreadsheetml/2010/11/main" uri="{2F2917AC-EB37-4324-AD4E-5DD8C200BD13}">
      <x15:tableSlicerCache tableId="1" column="18"/>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mplementation_Lead" xr10:uid="{E114AF94-D4E6-7F4E-8887-BEB3EFB2282F}" sourceName="Implementation Lead">
  <extLst>
    <x:ext xmlns:x15="http://schemas.microsoft.com/office/spreadsheetml/2010/11/main" uri="{2F2917AC-EB37-4324-AD4E-5DD8C200BD13}">
      <x15:tableSlicerCache tableId="1"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etency Area" xr10:uid="{50F68898-95B9-CB4A-BF6D-14B0B6A7BCDE}" cache="Slicer_Competency_Area" caption="Competency Area" style="SlicerStyleLight6" rowHeight="251883"/>
  <slicer name="DQ Developer" xr10:uid="{51285DE5-F0DA-5E40-9BAE-186DCEAC74B2}" cache="Slicer_DQ_Developer" caption="DQ Developer" columnCount="2" style="SlicerStyleLight5" rowHeight="182880"/>
  <slicer name="DQ Snr. Developer" xr10:uid="{F7774258-12D9-2B4A-8EF1-97D91C54E7F8}" cache="Slicer_DQ_Snr._Developer" caption="DQ Snr. Developer" columnCount="2" style="SlicerStyleLight5" rowHeight="182880"/>
  <slicer name="Technical Architect" xr10:uid="{96AB5679-56CE-7846-9DB6-C84D114547EE}" cache="Slicer_Technical_Architect" caption="Technical Architect" columnCount="2" style="SlicerStyleLight5" rowHeight="251883"/>
  <slicer name="Solution Architect" xr10:uid="{5347DFF4-CCF8-374F-B70A-6C6501C6ADBA}" cache="Slicer_Solution_Architect" caption="Solution Architect" columnCount="2" style="SlicerStyleLight5" rowHeight="182880"/>
  <slicer name="Implementation Lead" xr10:uid="{DE33663C-D670-8E44-8BAB-9C811B298F4E}" cache="Slicer_Implementation_Lead" caption="Implementation Lead" columnCount="2" style="SlicerStyleLight5" rowHeight="18288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291199E-EFA0-4CD3-BD9E-ACF33722D5EE}" name="Real" displayName="Real" ref="B7:CK36" totalsRowShown="0" headerRowDxfId="221" dataDxfId="220" headerRowCellStyle="Normal 2">
  <autoFilter ref="B7:CK36" xr:uid="{6291199E-EFA0-4CD3-BD9E-ACF33722D5EE}"/>
  <sortState xmlns:xlrd2="http://schemas.microsoft.com/office/spreadsheetml/2017/richdata2" ref="B8:CK36">
    <sortCondition ref="C7:C36"/>
  </sortState>
  <tableColumns count="88">
    <tableColumn id="1" xr3:uid="{208B0968-4790-4A23-A6B0-03CFD89B1399}" name="REF" dataDxfId="219"/>
    <tableColumn id="2" xr3:uid="{28FCC851-767B-41E8-A252-A08336512C3F}" name="First Name" dataDxfId="218"/>
    <tableColumn id="3" xr3:uid="{39AE1EBC-2B2E-49A3-B06E-78DBAF839DA1}" name="Last Name" dataDxfId="217"/>
    <tableColumn id="4" xr3:uid="{209C8776-6109-439A-A449-BDB221C0482C}" name="C-Level" dataDxfId="216"/>
    <tableColumn id="5" xr3:uid="{4651DEA4-C9B1-4446-9F72-224103450CE9}" name="Rating Type" dataDxfId="215"/>
    <tableColumn id="6" xr3:uid="{BD0C14E5-9E63-4C11-AB72-8293DB35BB97}" name="Rating Date" dataDxfId="214"/>
    <tableColumn id="7" xr3:uid="{9524A494-ABEE-4E92-9B33-DF10DA8E8542}" name="Rated By" dataDxfId="213"/>
    <tableColumn id="8" xr3:uid="{773795F4-9F74-420A-9BA7-5509E893C96B}" name="Comptetency" dataDxfId="212"/>
    <tableColumn id="9" xr3:uid="{8BAE871A-1A71-4A14-B23C-35043A5242BA}" name="Data Prep: Collect" dataDxfId="211"/>
    <tableColumn id="10" xr3:uid="{DAF66C9B-1465-44D1-A0D3-CC8BA428661E}" name="Data Prep: Transform/Relevancy" dataDxfId="210"/>
    <tableColumn id="11" xr3:uid="{89A34149-0BA8-4468-8D4D-FFD6D074C5D3}" name="DQ Dev: SQL View" dataDxfId="209"/>
    <tableColumn id="12" xr3:uid="{2B01EF89-2DE2-4D38-8A08-875EDE1B61BA}" name="DQ Dev: DQ Components" dataDxfId="208"/>
    <tableColumn id="13" xr3:uid="{A4443345-2ABD-40E2-AD60-B9D88ED0B07F}" name="DQ Dashboard: Scorecards" dataDxfId="207"/>
    <tableColumn id="14" xr3:uid="{7D846BEC-C1A8-43A2-B195-FDCA4614A239}" name="DQ Admin: ADM" dataDxfId="206"/>
    <tableColumn id="15" xr3:uid="{C04A7798-BEDC-4676-854E-F043C97862A4}" name="ADM Architecture" dataDxfId="205"/>
    <tableColumn id="16" xr3:uid="{7ADC7061-06AA-468B-AE78-56F60B7F2C36}" name="DQ Match: Syniti Match (Cortex)" dataDxfId="204"/>
    <tableColumn id="17" xr3:uid="{07C083BD-83DC-4E39-8AC1-0E3BD675E0B0}" name="DQ Operate: Automate/Serv. page" dataDxfId="203"/>
    <tableColumn id="18" xr3:uid="{11FAA09E-0263-46D5-811D-8ECD9A550127}" name="Construct - webApps" dataDxfId="202"/>
    <tableColumn id="19" xr3:uid="{40011836-9B14-494D-B554-4A967D38FFB6}" name="Data Prep: Replicate/Snapshot" dataDxfId="201"/>
    <tableColumn id="20" xr3:uid="{AFD93E2F-F177-4F6A-941A-1D7BEFBE1FDF}" name="Data Prep: Migrate/Relevancy" dataDxfId="200"/>
    <tableColumn id="21" xr3:uid="{0ADB97C7-3E94-4452-8D18-F49A6E92F7C6}" name="DQ Dev: SQL View2" dataDxfId="199"/>
    <tableColumn id="22" xr3:uid="{D5D30C6B-13AA-4F7D-85C2-C35832EB41D0}" name="DQ Dev: DQ Components3" dataDxfId="198"/>
    <tableColumn id="23" xr3:uid="{9F77A823-6A4B-491B-8EE7-C10E96D9CEEB}" name="DQ Dashboard: Standard (Dataset)" dataDxfId="197"/>
    <tableColumn id="24" xr3:uid="{0F1C1885-B44C-4520-B262-45D61DD99E7E}" name="DQ Admin: ADM-M" dataDxfId="196"/>
    <tableColumn id="25" xr3:uid="{5904D0AC-424D-4FBE-9DB7-2F1C96C8040F}" name="ADM-M Architecture" dataDxfId="195"/>
    <tableColumn id="26" xr3:uid="{A0A02E2A-8C2F-4FA4-BD23-93220A57CE5B}" name="DQ Match: Cloud Match" dataDxfId="194"/>
    <tableColumn id="27" xr3:uid="{0F5179C0-93CF-4AC6-B6CE-9220CC9E532C}" name="DQ Operate: Orchestrate" dataDxfId="193"/>
    <tableColumn id="28" xr3:uid="{4E90B4FB-5A77-45CC-BF82-D5094E0C0CA5}" name="Construct - webApps4" dataDxfId="192"/>
    <tableColumn id="29" xr3:uid="{134173D7-EAA4-43CC-A025-B17F84DE47A0}" name="Data Profiling &amp; Analysis" dataDxfId="191"/>
    <tableColumn id="30" xr3:uid="{73611F60-E5ED-4001-B634-CDF30418EE95}" name="Exception Handling Mechanisms" dataDxfId="190"/>
    <tableColumn id="31" xr3:uid="{D41AD213-9FC1-45EF-92BE-1B425A7E0E8B}" name="Duplicate Detection Techniques" dataDxfId="189"/>
    <tableColumn id="32" xr3:uid="{0CE6664F-C52C-49E7-BFA0-51E949630C93}" name="Root Cause Analysis of DQ Issues" dataDxfId="188"/>
    <tableColumn id="33" xr3:uid="{220F8B97-B63A-489A-A0D4-F5A540EEBB90}" name="Data Models and Entity Relation" dataDxfId="187"/>
    <tableColumn id="34" xr3:uid="{8ADFD1FA-7D53-43A7-B08A-A1633936534F}" name="Business Rules Gathering" dataDxfId="186"/>
    <tableColumn id="35" xr3:uid="{CDC5AD24-B21A-4D06-98A4-A68DE4568017}" name="Data Standards Governance" dataDxfId="185"/>
    <tableColumn id="36" xr3:uid="{9317F9E1-F9CD-44C1-9C1E-F67BAF53904A}" name="KPI Definition with Business" dataDxfId="184"/>
    <tableColumn id="37" xr3:uid="{7E034552-CBDC-4247-96A4-DDE1BE93DFF5}" name="DQ Policy Interpretation" dataDxfId="183"/>
    <tableColumn id="38" xr3:uid="{0252410E-20FA-475F-AA31-C94BD1F316EB}" name="Common Data Tools (Excel)" dataDxfId="182"/>
    <tableColumn id="39" xr3:uid="{7033EED2-3973-4C02-A5A2-E1A940140D65}" name="Major SAP MD: Cus, Ven, Mat, Fin" dataDxfId="181"/>
    <tableColumn id="40" xr3:uid="{F2A973A5-DF2C-4BE9-BCED-607C0BAB8BAE}" name="Major SAP BP:  OTC, P2P, MM, R2R" dataDxfId="180"/>
    <tableColumn id="41" xr3:uid="{CD649AF7-CA8E-4ADB-B589-10E67A0DC619}" name="SAP Data Structures" dataDxfId="179"/>
    <tableColumn id="42" xr3:uid="{65EA93F6-CF83-42D5-B37A-EE2609CF06BA}" name="Source-to-Target Mapping for SAP" dataDxfId="178"/>
    <tableColumn id="43" xr3:uid="{7529F3D1-ECF7-4354-84FF-12D948067DF0}" name="SAP Business Process Awareness" dataDxfId="177"/>
    <tableColumn id="44" xr3:uid="{29208B1F-EEF9-42ED-B007-2E5587F0B00C}" name="Stakeholder/Expectation Mgmt." dataDxfId="176"/>
    <tableColumn id="45" xr3:uid="{8617D8EB-FFD2-41F7-A4CB-D5C26C8357DD}" name="Requirements Gathering/Clarif." dataDxfId="175"/>
    <tableColumn id="46" xr3:uid="{77D4CE9D-EACB-412E-B5A2-8020469F7ED5}" name="Facilitating Workshops/Meetings" dataDxfId="174"/>
    <tableColumn id="47" xr3:uid="{F3EB51FF-3E88-45EF-87D1-AE5E30A7E618}" name="Collaborative Work Management" dataDxfId="173"/>
    <tableColumn id="48" xr3:uid="{285C97FC-8371-4FD1-A0D5-E896F1EC0526}" name="Conflict Resolution" dataDxfId="172"/>
    <tableColumn id="49" xr3:uid="{3677C2BB-F616-443D-8DE5-6D6D499666C0}" name="Solution Design Thinking" dataDxfId="171"/>
    <tableColumn id="50" xr3:uid="{3947BD31-1228-49D8-9789-269E381CBD48}" name="Project Risk Awareness" dataDxfId="170"/>
    <tableColumn id="51" xr3:uid="{9CB4BC7A-C78B-4758-BEC5-A32191A0A0C9}" name="Cross-functional Collaboration" dataDxfId="169"/>
    <tableColumn id="52" xr3:uid="{688F3A3C-6CB3-4086-A4EA-78AB82E8469C}" name="Mentoring &amp; Coaching" dataDxfId="168"/>
    <tableColumn id="53" xr3:uid="{C44AB675-7007-4052-8659-745AA4CB1F29}" name="Ongoing Improvement/Innovation" dataDxfId="167"/>
    <tableColumn id="54" xr3:uid="{BA485FDE-AFF5-416D-9C1F-B6B6AE0BFB79}" name="Requirements to Proposal" dataDxfId="166"/>
    <tableColumn id="55" xr3:uid="{F98CBDD0-F797-4601-9900-3AA7061A340A}" name="SoW and Resource Plan" dataDxfId="165"/>
    <tableColumn id="56" xr3:uid="{094A188C-9E90-43E7-A46B-E1A8E978C554}" name="Implementation Plan &amp; WBS" dataDxfId="164"/>
    <tableColumn id="57" xr3:uid="{11FA888B-7E52-4185-BC2B-211B0E331C82}" name="RAID-Risk/Issue Management" dataDxfId="163"/>
    <tableColumn id="58" xr3:uid="{2D7D6635-D95E-4B55-B954-E36D512267AA}" name="Methodology Enforcement/Adher." dataDxfId="162"/>
    <tableColumn id="59" xr3:uid="{87DC0A93-7B62-4D4F-9FE2-1DBB404D48C2}" name="Overall DQOps Methodology" dataDxfId="161"/>
    <tableColumn id="60" xr3:uid="{1DEAB843-4A46-462B-AA72-115B16C73A77}" name="Enforcement of DQOps Methodology" dataDxfId="160"/>
    <tableColumn id="61" xr3:uid="{903A3C30-2499-483D-92C2-1659BAA7F54D}" name="Specify rule" dataDxfId="159"/>
    <tableColumn id="62" xr3:uid="{B44E97E9-EF7E-4B3B-B81F-2619AC807E45}" name="Build and execute QA" dataDxfId="158"/>
    <tableColumn id="63" xr3:uid="{BD83FFCD-5BC2-453E-A6E8-B824FBA194BC}" name="Iterate Validate &amp; Improve" dataDxfId="157"/>
    <tableColumn id="64" xr3:uid="{E185361D-2382-49B9-BDF9-018A1508F395}" name="Harmonization Methodology" dataDxfId="156"/>
    <tableColumn id="65" xr3:uid="{0FC221B9-0C40-47CC-BA31-B833A4A3A11E}" name="Harmonization Solutioning" dataDxfId="155"/>
    <tableColumn id="66" xr3:uid="{E56CC4B3-6E70-4885-8D48-212358C17023}" name="Harmonization Architecture" dataDxfId="154"/>
    <tableColumn id="67" xr3:uid="{456F7F49-E140-4E34-9E1A-788CC35DD7A5}" name="Implement BP Consolidation" dataDxfId="153"/>
    <tableColumn id="68" xr3:uid="{82EA08F1-072D-4DEC-ACF2-6A733DA18FC2}" name="Implement MRO Spare Parts" dataDxfId="152"/>
    <tableColumn id="69" xr3:uid="{3C5BFAFB-55A0-4BE4-892E-EBAC6DD65171}" name="Src. Cleanse Methodology " dataDxfId="151"/>
    <tableColumn id="70" xr3:uid="{F34A15AD-860A-4B76-A674-82BD2C07601A}" name="Src. Cleanse Approach" dataDxfId="150"/>
    <tableColumn id="71" xr3:uid="{4D8ADCFD-062C-4B67-9A14-18402F7911D0}" name="Src. Cleanse arch. (DQ, Migrate)" dataDxfId="149"/>
    <tableColumn id="72" xr3:uid="{7C9791C5-4087-47A1-9704-3328A72BF8BF}" name="Implement Src. Cleanse (Migrate)" dataDxfId="148"/>
    <tableColumn id="73" xr3:uid="{3A935CDC-C028-4E1D-A07A-63C5E4F5FACF}" name="Src. Cleanse Analytics" dataDxfId="147"/>
    <tableColumn id="74" xr3:uid="{E1785222-0390-49A6-B855-DE3ABBEE02D9}" name="Cloud DQ Methodology " dataDxfId="146"/>
    <tableColumn id="75" xr3:uid="{E4A4D31A-A811-40C4-99DB-1F77AE59159F}" name="Cloud DQ Approach" dataDxfId="145"/>
    <tableColumn id="76" xr3:uid="{C180D42E-9589-4DD1-9069-69F0C6BFA538}" name="Cloud DQ arch. (DQ, Migrate)" dataDxfId="144"/>
    <tableColumn id="77" xr3:uid="{00A25209-A971-4261-814E-10E047175F09}" name="Implement Cloud DQ (Quality)" dataDxfId="143"/>
    <tableColumn id="78" xr3:uid="{67D08373-C845-4704-952E-96FF2A98D398}" name="Cloud DQ Analytics" dataDxfId="142"/>
    <tableColumn id="79" xr3:uid="{F4ECB663-8DBA-4F45-A2F3-559810FCA1CE}" name="Advanced Data Modelling (SQL)5" dataDxfId="141"/>
    <tableColumn id="80" xr3:uid="{59FA35CE-B800-49C5-B079-B0EB3AE11EDD}" name="Construct - DynamicContext6" dataDxfId="140"/>
    <tableColumn id="81" xr3:uid="{4DE814EA-DA04-466B-A545-F321A39FD8B9}" name="ADM Custom Dashboard - Quicksite7" dataDxfId="139"/>
    <tableColumn id="82" xr3:uid="{E3AEBE52-B2C2-4945-97CB-622600C597A8}" name="PowerBI8" dataDxfId="138"/>
    <tableColumn id="83" xr3:uid="{90A91340-F4D8-465A-9AE4-12948091A383}" name="Other (Tableau, Databricks)9" dataDxfId="137"/>
    <tableColumn id="84" xr3:uid="{F912B396-BF3B-4C43-931B-22F72A4246E7}" name="General LLM/AI Concepts10" dataDxfId="136"/>
    <tableColumn id="85" xr3:uid="{D0028466-1EE4-46CC-8B23-F3A0994A9FD8}" name="Experience in LLM/AI11" dataDxfId="135"/>
    <tableColumn id="86" xr3:uid="{3C989BB5-78EB-4A9E-90BA-E0C7CFB9E253}" name="Syniti AI-Generated Rule Content12" dataDxfId="134"/>
    <tableColumn id="87" xr3:uid="{646DCDAA-6FE9-44E5-825F-3B4350590F8E}" name="Syniti Vision13" dataDxfId="133"/>
    <tableColumn id="88" xr3:uid="{77E5F5A5-CD82-4783-81EB-E2B637A7B447}" name="Syniti Classify14" dataDxfId="132"/>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DC34BB2-E846-44BE-A430-DDDD41964CEA}" name="Apended" displayName="Apended" ref="A2:CP64" tableType="queryTable" totalsRowShown="0">
  <autoFilter ref="A2:CP64" xr:uid="{0DC34BB2-E846-44BE-A430-DDDD41964CEA}">
    <filterColumn colId="1">
      <filters>
        <filter val="Anna"/>
      </filters>
    </filterColumn>
  </autoFilter>
  <tableColumns count="94">
    <tableColumn id="1" xr3:uid="{A809225C-8296-4478-868B-E0103B80F189}" uniqueName="1" name="REF" queryTableFieldId="1"/>
    <tableColumn id="2" xr3:uid="{1AE5D12B-C029-412E-B2CD-9C8248A6AC72}" uniqueName="2" name="First Name" queryTableFieldId="2"/>
    <tableColumn id="3" xr3:uid="{F172584D-0557-495C-8A76-EB9FC55E4AFA}" uniqueName="3" name="Last Name" queryTableFieldId="3"/>
    <tableColumn id="4" xr3:uid="{496F9DE9-8A8A-4DF8-A303-50F1414C8E1F}" uniqueName="4" name="C-Level" queryTableFieldId="4"/>
    <tableColumn id="5" xr3:uid="{D58CE709-9756-477B-AA2F-EF03B439C1AA}" uniqueName="5" name="Rating Type" queryTableFieldId="5"/>
    <tableColumn id="6" xr3:uid="{38E7889D-49DD-4257-9AF7-9E1C9489DFFF}" uniqueName="6" name="Rating Date" queryTableFieldId="6"/>
    <tableColumn id="7" xr3:uid="{8139F95F-8971-4D49-9A5E-6777739C52D2}" uniqueName="7" name="Rated By" queryTableFieldId="7"/>
    <tableColumn id="8" xr3:uid="{A3C348AF-F431-4BE9-98A1-62E2DFF37F67}" uniqueName="8" name="Comptetency" queryTableFieldId="8"/>
    <tableColumn id="9" xr3:uid="{B7D149B1-7C53-4DEF-B219-80BF86E8AF4F}" uniqueName="9" name="A1" queryTableFieldId="9"/>
    <tableColumn id="10" xr3:uid="{BFC3139A-EF3B-4E80-B2B4-A2E2DC1D631C}" uniqueName="10" name="A2" queryTableFieldId="10"/>
    <tableColumn id="11" xr3:uid="{9FF2D996-97EA-4566-BF3B-CBBBB9A35448}" uniqueName="11" name="A3" queryTableFieldId="11"/>
    <tableColumn id="12" xr3:uid="{BB00C46D-5F58-4118-A2AD-32107F71B15C}" uniqueName="12" name="A4" queryTableFieldId="12"/>
    <tableColumn id="13" xr3:uid="{F3C34022-3236-4A41-B550-37D87F1C5A8C}" uniqueName="13" name="A5" queryTableFieldId="13"/>
    <tableColumn id="14" xr3:uid="{1D5B933C-5B2C-4B2F-BB56-2D73AB1665B2}" uniqueName="14" name="A6" queryTableFieldId="14"/>
    <tableColumn id="15" xr3:uid="{B21E7F54-F36E-4BCC-9F92-BC68ADC286D5}" uniqueName="15" name="A7" queryTableFieldId="15"/>
    <tableColumn id="16" xr3:uid="{41E5F482-32DB-448E-89D1-9ADE5D6F792D}" uniqueName="16" name="A8" queryTableFieldId="16"/>
    <tableColumn id="17" xr3:uid="{9D81435D-32E0-4E63-A51A-38DCF03544C1}" uniqueName="17" name="A9" queryTableFieldId="17"/>
    <tableColumn id="18" xr3:uid="{CCC85455-097B-453B-95C3-77B142512643}" uniqueName="18" name="A10" queryTableFieldId="18"/>
    <tableColumn id="19" xr3:uid="{E8CDD8BB-2FAF-41A0-8E6B-932743257EBC}" uniqueName="19" name="B1" queryTableFieldId="19"/>
    <tableColumn id="20" xr3:uid="{144E57E0-C9C7-47BF-AD99-42A3EBE6E606}" uniqueName="20" name="B2" queryTableFieldId="20"/>
    <tableColumn id="21" xr3:uid="{F7C19327-A343-4018-A301-74C5AC22DAE6}" uniqueName="21" name="B3" queryTableFieldId="21"/>
    <tableColumn id="22" xr3:uid="{877675DF-1599-4563-B65B-95776524C980}" uniqueName="22" name="B4" queryTableFieldId="22"/>
    <tableColumn id="23" xr3:uid="{1914FFA2-043C-4E8B-A458-76F20A3694F7}" uniqueName="23" name="B5" queryTableFieldId="23"/>
    <tableColumn id="24" xr3:uid="{1E24AF8D-0B18-476D-92FC-1BD95A86B242}" uniqueName="24" name="B6" queryTableFieldId="24"/>
    <tableColumn id="25" xr3:uid="{513E25A0-B2DD-4A05-B177-9D97A742AF0D}" uniqueName="25" name="B7" queryTableFieldId="25"/>
    <tableColumn id="26" xr3:uid="{E47A237D-9F5F-40CA-A63C-581BA7F149BF}" uniqueName="26" name="B8" queryTableFieldId="26"/>
    <tableColumn id="27" xr3:uid="{92391844-9556-4BEE-ABF4-F21F127B49D8}" uniqueName="27" name="B9" queryTableFieldId="27"/>
    <tableColumn id="28" xr3:uid="{2E7B5155-D3C5-4A46-B5B2-B984DBA449AE}" uniqueName="28" name="B10" queryTableFieldId="28"/>
    <tableColumn id="29" xr3:uid="{04DAC00F-60C6-4F50-9CEC-D967BA1E28C5}" uniqueName="29" name="C1" queryTableFieldId="29"/>
    <tableColumn id="30" xr3:uid="{E3284CC6-3FD9-42FE-BDD1-5892405B7581}" uniqueName="30" name="C2" queryTableFieldId="30"/>
    <tableColumn id="31" xr3:uid="{6FFE9383-693A-417B-972B-BF5892D59F5C}" uniqueName="31" name="C3" queryTableFieldId="31"/>
    <tableColumn id="32" xr3:uid="{E64E36F6-69D2-4B00-98BD-A78F5A591511}" uniqueName="32" name="C4" queryTableFieldId="32"/>
    <tableColumn id="33" xr3:uid="{93EC9C9B-2DA3-4DB0-8108-84474E733363}" uniqueName="33" name="C5" queryTableFieldId="33"/>
    <tableColumn id="34" xr3:uid="{32ED2DA2-0B80-4AA4-AB6D-99891661C7EF}" uniqueName="34" name="D1" queryTableFieldId="34"/>
    <tableColumn id="35" xr3:uid="{45320294-087C-498F-A8BD-F099850674F3}" uniqueName="35" name="D2" queryTableFieldId="35"/>
    <tableColumn id="36" xr3:uid="{82ECD3C5-0F0A-4B55-A9D6-72CAF060CF36}" uniqueName="36" name="D3" queryTableFieldId="36"/>
    <tableColumn id="37" xr3:uid="{4F11DC25-CD3B-472B-A4B2-9EF253CCC49E}" uniqueName="37" name="D4" queryTableFieldId="37"/>
    <tableColumn id="38" xr3:uid="{0BD70C2A-C38C-49E9-A379-668FC1E4E769}" uniqueName="38" name="D5" queryTableFieldId="38"/>
    <tableColumn id="39" xr3:uid="{4733A721-7B0A-46D4-8B99-014664ED9A5C}" uniqueName="39" name="E1" queryTableFieldId="39"/>
    <tableColumn id="40" xr3:uid="{D92B1E0D-33A0-47EA-99A7-A3341C0705B6}" uniqueName="40" name="E2" queryTableFieldId="40"/>
    <tableColumn id="41" xr3:uid="{65AB9173-EFDD-498C-82EF-5432057BC31E}" uniqueName="41" name="E3" queryTableFieldId="41"/>
    <tableColumn id="42" xr3:uid="{620528A6-665D-482F-9476-06DB41ED8D1C}" uniqueName="42" name="E4" queryTableFieldId="42"/>
    <tableColumn id="43" xr3:uid="{9D0030B4-734D-4B1A-8F92-407A9F88E789}" uniqueName="43" name="E5" queryTableFieldId="43"/>
    <tableColumn id="44" xr3:uid="{89A8D83C-AACD-4407-ABA1-3C957738B4B2}" uniqueName="44" name="F1" queryTableFieldId="44"/>
    <tableColumn id="45" xr3:uid="{EFD0D9EF-6484-40EF-BA25-81192CE74515}" uniqueName="45" name="F2" queryTableFieldId="45"/>
    <tableColumn id="46" xr3:uid="{6BC336F6-E0E8-47C3-8A41-42D71D2EB04A}" uniqueName="46" name="F3" queryTableFieldId="46"/>
    <tableColumn id="47" xr3:uid="{44AE7644-E1F8-4B86-95A5-472FB71D675C}" uniqueName="47" name="F4" queryTableFieldId="47"/>
    <tableColumn id="48" xr3:uid="{B1239268-DAC5-4814-9770-0C56E61C4300}" uniqueName="48" name="F5" queryTableFieldId="48"/>
    <tableColumn id="49" xr3:uid="{F76E945C-4474-457D-B5DB-5BCC14054ABC}" uniqueName="49" name="F6" queryTableFieldId="49"/>
    <tableColumn id="50" xr3:uid="{204DE466-B468-4E53-BB56-942F766A3A00}" uniqueName="50" name="F7" queryTableFieldId="50"/>
    <tableColumn id="51" xr3:uid="{421CBC93-1C2F-4F63-9274-1FA036E523EA}" uniqueName="51" name="F8" queryTableFieldId="51"/>
    <tableColumn id="52" xr3:uid="{B09706E6-75A2-4E7E-A425-5157A1222D69}" uniqueName="52" name="F9" queryTableFieldId="52"/>
    <tableColumn id="53" xr3:uid="{523DF6DC-8D30-4E01-8166-EAD432794E9E}" uniqueName="53" name="F10" queryTableFieldId="53"/>
    <tableColumn id="54" xr3:uid="{277BFE4A-0513-43B3-B916-E095E7AC882C}" uniqueName="54" name="G1" queryTableFieldId="54"/>
    <tableColumn id="55" xr3:uid="{A247784D-0838-4905-80F6-2FD27910B410}" uniqueName="55" name="G2" queryTableFieldId="55"/>
    <tableColumn id="56" xr3:uid="{588F9D32-30E5-4E80-9945-E89C336358C8}" uniqueName="56" name="G3" queryTableFieldId="56"/>
    <tableColumn id="57" xr3:uid="{533E813E-5F55-413C-8516-669F5E3E0D4B}" uniqueName="57" name="G4" queryTableFieldId="57"/>
    <tableColumn id="58" xr3:uid="{FCC37742-582D-46E9-89C2-65196A27B01F}" uniqueName="58" name="G5" queryTableFieldId="58"/>
    <tableColumn id="59" xr3:uid="{174B4C3D-4DCA-4BC4-BF83-FA9B4CAFDA4C}" uniqueName="59" name="G6" queryTableFieldId="59"/>
    <tableColumn id="60" xr3:uid="{7D769DFA-C36D-418A-BFA7-A8A6B14BF460}" uniqueName="60" name="G7" queryTableFieldId="60"/>
    <tableColumn id="61" xr3:uid="{99C9D587-9F85-4A50-BA78-8DD796562C28}" uniqueName="61" name="G8" queryTableFieldId="61"/>
    <tableColumn id="62" xr3:uid="{EBEDD8F4-9867-4E10-9A10-0F776A6F3709}" uniqueName="62" name="G9" queryTableFieldId="62"/>
    <tableColumn id="63" xr3:uid="{3BBFAB8D-92CE-4EA5-BC8C-72DDBB279416}" uniqueName="63" name="G10" queryTableFieldId="63"/>
    <tableColumn id="64" xr3:uid="{997BD433-B58B-4DE4-89A2-68CABEF5BBF1}" uniqueName="64" name="G11" queryTableFieldId="64"/>
    <tableColumn id="65" xr3:uid="{163F83FA-8E2F-45DE-B210-5266C2956081}" uniqueName="65" name="G12" queryTableFieldId="65"/>
    <tableColumn id="66" xr3:uid="{EA1D0EF3-9781-4E7A-9055-BF61CB95476E}" uniqueName="66" name="G13" queryTableFieldId="66"/>
    <tableColumn id="67" xr3:uid="{B3AB5EAA-A866-4B9E-BCC1-A52D54540ABC}" uniqueName="67" name="G14" queryTableFieldId="67"/>
    <tableColumn id="68" xr3:uid="{A5A20F48-3DB9-4B3D-8E5B-D75DE899958C}" uniqueName="68" name="G15" queryTableFieldId="68"/>
    <tableColumn id="69" xr3:uid="{0DEAD04A-6CA0-48B5-B1A5-9B36C31356C7}" uniqueName="69" name="G16" queryTableFieldId="69"/>
    <tableColumn id="70" xr3:uid="{DCD6C45C-6E9D-41B3-B6CE-C39AA40B550D}" uniqueName="70" name="G17" queryTableFieldId="70"/>
    <tableColumn id="71" xr3:uid="{455B4CF5-FCCD-40E8-B329-08C3EB80C868}" uniqueName="71" name="G18" queryTableFieldId="71"/>
    <tableColumn id="72" xr3:uid="{21C93678-2A6B-4140-B062-C446E8AA8962}" uniqueName="72" name="G19" queryTableFieldId="72"/>
    <tableColumn id="73" xr3:uid="{2AA930DB-2063-450F-8DFA-58F6ABEC2A11}" uniqueName="73" name="G20" queryTableFieldId="73"/>
    <tableColumn id="74" xr3:uid="{BA49EE44-C57A-4494-96D9-B3A5C02A0A95}" uniqueName="74" name="G21" queryTableFieldId="74"/>
    <tableColumn id="75" xr3:uid="{DCFAA3A9-D0D4-4CAB-85AF-B2C99C859ECE}" uniqueName="75" name="G22" queryTableFieldId="75"/>
    <tableColumn id="76" xr3:uid="{B73C3D25-F103-404B-91C0-31556496B063}" uniqueName="76" name="G23" queryTableFieldId="76"/>
    <tableColumn id="77" xr3:uid="{A93C0838-B6AB-40DD-8B1B-864A79A5EC2D}" uniqueName="77" name="G24" queryTableFieldId="77"/>
    <tableColumn id="78" xr3:uid="{655C7E56-9F16-4B6E-B47E-38B59F00C207}" uniqueName="78" name="G25" queryTableFieldId="78"/>
    <tableColumn id="79" xr3:uid="{2961CC7E-8EE6-487A-BFE7-FE4817947909}" uniqueName="79" name="G26" queryTableFieldId="79"/>
    <tableColumn id="80" xr3:uid="{4FFD5331-BD63-48A0-AFA3-5F3F5B0527CB}" uniqueName="80" name="G27" queryTableFieldId="80"/>
    <tableColumn id="81" xr3:uid="{9AB58E68-71ED-44DD-993B-6A7E92242989}" uniqueName="81" name="G28" queryTableFieldId="81"/>
    <tableColumn id="82" xr3:uid="{10EA1F03-19F2-4E5D-8411-858F8BC29C82}" uniqueName="82" name="G29" queryTableFieldId="82"/>
    <tableColumn id="83" xr3:uid="{FAD343F4-80C0-49A7-9BE5-B68AD1CEF056}" uniqueName="83" name="G30" queryTableFieldId="83"/>
    <tableColumn id="84" xr3:uid="{6DECB940-EFBF-4D13-ADDD-CE4A67AD8BA1}" uniqueName="84" name="G31" queryTableFieldId="84"/>
    <tableColumn id="85" xr3:uid="{F7C90017-D193-4614-9268-F9C511C2917C}" uniqueName="85" name="G32" queryTableFieldId="85"/>
    <tableColumn id="86" xr3:uid="{60D30A5B-9169-453A-973F-8DEC39C9BCA7}" uniqueName="86" name="G33" queryTableFieldId="86"/>
    <tableColumn id="87" xr3:uid="{65B4C064-3922-45B6-A3B0-D6F00C02BE57}" uniqueName="87" name="G34" queryTableFieldId="87"/>
    <tableColumn id="88" xr3:uid="{08136DD5-0773-4CD7-B6BC-22BAD942640A}" uniqueName="88" name="G35" queryTableFieldId="88"/>
    <tableColumn id="89" xr3:uid="{2BC3DB41-7CE7-4566-9D82-10CCA4FDA751}" uniqueName="89" name="H1" queryTableFieldId="89"/>
    <tableColumn id="90" xr3:uid="{03566BEF-C393-454A-8715-0BCB341B9F93}" uniqueName="90" name="H2" queryTableFieldId="90"/>
    <tableColumn id="91" xr3:uid="{70965922-1735-41E8-AE48-AB5FCBFEDD6C}" uniqueName="91" name="H3" queryTableFieldId="91"/>
    <tableColumn id="92" xr3:uid="{4A47981C-23B4-42B9-8106-6FA5CD30AF5D}" uniqueName="92" name="H4" queryTableFieldId="92"/>
    <tableColumn id="93" xr3:uid="{665FB5A9-8B2B-4B76-A360-17796234AE35}" uniqueName="93" name="H5" queryTableFieldId="93"/>
    <tableColumn id="94" xr3:uid="{B1EC2936-E8F7-4155-834F-2535C084C830}" uniqueName="94" name="H6" queryTableFieldId="9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588843-2EDA-B246-B9A2-0A2A42FDC2A8}" name="Team" displayName="Team" ref="B3:H33" totalsRowShown="0" headerRowDxfId="130" dataDxfId="129">
  <autoFilter ref="B3:H33" xr:uid="{65588843-2EDA-B246-B9A2-0A2A42FDC2A8}"/>
  <tableColumns count="7">
    <tableColumn id="1" xr3:uid="{F0DFBE9B-C1D2-234E-8839-1000E13DE2F3}" name="REF">
      <calculatedColumnFormula>LEFT(C4,1)&amp;LEFT(D4,2)</calculatedColumnFormula>
    </tableColumn>
    <tableColumn id="2" xr3:uid="{B741840E-7E1B-0845-B9EF-021DA631D815}" name="First Name" dataDxfId="128"/>
    <tableColumn id="3" xr3:uid="{D95A5B69-23D9-0047-967C-4AAECEC213FC}" name="Last Name 1" dataDxfId="127"/>
    <tableColumn id="4" xr3:uid="{650E66EB-BCFD-B54E-8818-40A9A41C3D91}" name="C-Level" dataDxfId="126"/>
    <tableColumn id="5" xr3:uid="{3D69E6C8-F341-E54B-A833-7E40E672D979}" name="Matrix/Project Lead" dataDxfId="125"/>
    <tableColumn id="6" xr3:uid="{B639E23A-2583-EE48-9E7C-700B17A8D2E5}" name="Projects" dataDxfId="124"/>
    <tableColumn id="7" xr3:uid="{E544E923-D58F-384C-B97B-5C66973E8877}" name="Roles" dataDxfId="123"/>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A69231D-1BC9-1E45-9BF5-7B0DF81B67FF}" name="Comp_Weightage16" displayName="Comp_Weightage16" ref="K3:L8" totalsRowShown="0" headerRowDxfId="122" dataDxfId="121">
  <autoFilter ref="K3:L8" xr:uid="{EA69231D-1BC9-1E45-9BF5-7B0DF81B67FF}"/>
  <tableColumns count="2">
    <tableColumn id="1" xr3:uid="{11E4206C-9C3D-0548-B5E8-308B2C1A1A87}" name="Difference from Expected" dataDxfId="120"/>
    <tableColumn id="2" xr3:uid="{12F41076-2A8A-7F47-AC5E-70607716D74B}" name="Multiplier" dataDxfId="119"/>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193134D-30CE-2A4B-9E63-90B5D9762467}" name="Expectations" displayName="Expectations" ref="C3:U83" totalsRowShown="0" headerRowDxfId="114" dataDxfId="113" headerRowCellStyle="Normal 2" dataCellStyle="Normal 2">
  <autoFilter ref="C3:U83" xr:uid="{6193134D-30CE-2A4B-9E63-90B5D9762467}"/>
  <tableColumns count="19">
    <tableColumn id="1" xr3:uid="{DC32D1FC-50DA-4B40-B219-60334F3E5CD3}" name="REF" dataDxfId="112" dataCellStyle="Normal 2"/>
    <tableColumn id="2" xr3:uid="{C68C0384-4026-4044-A0A0-F9E17D5AF249}" name="Competency Area" dataDxfId="111" dataCellStyle="Normal 2"/>
    <tableColumn id="3" xr3:uid="{00D4A094-C1F0-AE42-BBBE-FA14DF9AC737}" name="Comptetency" dataDxfId="110" dataCellStyle="Normal 2"/>
    <tableColumn id="4" xr3:uid="{EE4E5730-8B2F-A646-A00E-904BAB7E7B34}" name="Platform Component" dataDxfId="109" dataCellStyle="Normal 2"/>
    <tableColumn id="5" xr3:uid="{0BE7939D-A2C6-8D48-A551-04906E996114}" name="Description" dataDxfId="108" dataCellStyle="Normal 2"/>
    <tableColumn id="7" xr3:uid="{E9BA2806-4B94-A74B-AFE3-9C4681F91FF2}" name="C1" dataDxfId="107" dataCellStyle="Normal 2"/>
    <tableColumn id="8" xr3:uid="{AA010890-A375-FC4B-BE73-32C11BCECE49}" name="C2" dataDxfId="106" dataCellStyle="Normal 2"/>
    <tableColumn id="9" xr3:uid="{5AE8E662-172C-D24C-A826-AF49E23E4054}" name="C3" dataDxfId="105" dataCellStyle="Normal 2"/>
    <tableColumn id="10" xr3:uid="{9A04C6B6-92CF-EC43-A7FE-816DACB22D11}" name="C4-S" dataDxfId="104" dataCellStyle="Normal 2"/>
    <tableColumn id="11" xr3:uid="{6B75571D-38DB-3E42-8B29-16DD5711D403}" name="C4-M" dataDxfId="103" dataCellStyle="Normal 2"/>
    <tableColumn id="12" xr3:uid="{8AC051B6-3797-184E-832B-98C700182708}" name="C5-S" dataDxfId="102" dataCellStyle="Normal 2"/>
    <tableColumn id="13" xr3:uid="{2A2BBBA6-B81A-1743-BDF4-8C1BA62A93D0}" name="C5-M" dataDxfId="101" dataCellStyle="Normal 2"/>
    <tableColumn id="14" xr3:uid="{AE1C5D99-1368-A44F-AD6D-C235C8C9D407}" name="C6-S" dataDxfId="100" dataCellStyle="Normal 2"/>
    <tableColumn id="15" xr3:uid="{A9E04DCA-7382-4C49-9E61-4BF882F0D938}" name="C6-M" dataDxfId="99" dataCellStyle="Normal 2"/>
    <tableColumn id="6" xr3:uid="{339BC1BF-46C3-8747-A38C-D53EE4B5AAE4}" name="DQ Developer" dataDxfId="98" dataCellStyle="Normal 2"/>
    <tableColumn id="16" xr3:uid="{219D08B6-C750-9E4C-83CE-4EC003642A02}" name="DQ Snr. Developer" dataDxfId="97" dataCellStyle="Normal 2"/>
    <tableColumn id="17" xr3:uid="{5E38E76D-00E4-BF4E-90EE-F41108C38B74}" name="Technical Architect" dataDxfId="96" dataCellStyle="Normal 2"/>
    <tableColumn id="18" xr3:uid="{E1B10374-397B-2144-A343-B5F4CFD68C2E}" name="Solution Architect" dataDxfId="95" dataCellStyle="Normal 2"/>
    <tableColumn id="19" xr3:uid="{7ABA17F7-6F80-0D4B-8E74-36FBC6C867F8}" name="Implementation Lead" dataDxfId="94" dataCellStyle="Normal 2"/>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5C427A0-0FC7-42D7-B746-035B2A890BFD}" name="Weighted" displayName="Weighted" ref="A2:CJ33" totalsRowShown="0" headerRowDxfId="92" dataDxfId="91" tableBorderDxfId="90" headerRowCellStyle="Normal 2">
  <tableColumns count="88">
    <tableColumn id="1" xr3:uid="{8C52455F-A01B-4AD5-849C-1F1EFF6F83EA}" name="REF" dataDxfId="89"/>
    <tableColumn id="2" xr3:uid="{DC74DFB6-8E8B-4790-9BEA-BC362D3913D7}" name="First Name" dataDxfId="88"/>
    <tableColumn id="3" xr3:uid="{3459AA36-CA40-409A-9494-C12AB30B4626}" name="Last Name" dataDxfId="87"/>
    <tableColumn id="4" xr3:uid="{1E9027CB-7312-401F-85A4-E3C2CEAA24BA}" name="C-Level" dataDxfId="86"/>
    <tableColumn id="5" xr3:uid="{EB3510DB-A0C7-436E-AAF2-AB3401C52C46}" name="Rating Type" dataDxfId="85"/>
    <tableColumn id="6" xr3:uid="{571B65C0-108D-4177-80C9-843521DCE2C4}" name="Rating Date" dataDxfId="84"/>
    <tableColumn id="7" xr3:uid="{69F25683-3BF4-4FCD-B589-EB5C842CD7FD}" name="Rated By" dataDxfId="83"/>
    <tableColumn id="8" xr3:uid="{489A8A5D-F7AC-42A9-852F-12AA7FE99BB4}" name="Comptetency" dataDxfId="82"/>
    <tableColumn id="9" xr3:uid="{4405A162-CDDA-49FC-BF90-AA0A34D91E13}" name="A1" dataDxfId="81">
      <calculatedColumnFormula array="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10" xr3:uid="{C79F2566-6117-4617-8C90-78B667CDC442}" name="A2" dataDxfId="80">
      <calculatedColumnFormula array="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11" xr3:uid="{7F35F130-D60C-4558-8295-5D009CADB210}" name="A3" dataDxfId="79">
      <calculatedColumnFormula array="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12" xr3:uid="{C9449C88-5C12-485D-BA15-B7280C064B48}" name="A4" dataDxfId="78">
      <calculatedColumnFormula array="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13" xr3:uid="{8228CE1D-8916-401E-AE2A-E34F91B69FEB}" name="A5" dataDxfId="77">
      <calculatedColumnFormula array="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14" xr3:uid="{9EE9430C-F55A-4C9D-8D2B-67C6F899288D}" name="A6" dataDxfId="76">
      <calculatedColumnFormula array="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15" xr3:uid="{7387EF69-174D-4C21-BE34-1526215EF8D9}" name="A7" dataDxfId="75">
      <calculatedColumnFormula array="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16" xr3:uid="{C73870E2-A23E-47E6-9109-1910B9D62651}" name="A8" dataDxfId="74">
      <calculatedColumnFormula array="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17" xr3:uid="{486DB0F8-330C-466B-965E-2BEED13E13E7}" name="A9" dataDxfId="73">
      <calculatedColumnFormula array="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18" xr3:uid="{EFD0B1DA-9C8F-40ED-A641-B49DD4DC7819}" name="A10" dataDxfId="72">
      <calculatedColumnFormula array="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19" xr3:uid="{21E76FCD-7FF0-42C9-941D-21427DC9C5EB}" name="B1" dataDxfId="71">
      <calculatedColumnFormula array="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20" xr3:uid="{517B39D5-4693-48C2-B79F-AD7AC8D9A17F}" name="B2" dataDxfId="70">
      <calculatedColumnFormula array="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21" xr3:uid="{371E5B6E-5F78-49C2-A9BB-2726794B7FBD}" name="B3" dataDxfId="69">
      <calculatedColumnFormula array="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22" xr3:uid="{B4F965D4-F6EC-41EF-BBAF-81DDEC3FBD40}" name="B4" dataDxfId="68">
      <calculatedColumnFormula array="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23" xr3:uid="{0738937B-ABE2-4C92-8E03-26646B7A4BD6}" name="B5" dataDxfId="67">
      <calculatedColumnFormula array="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24" xr3:uid="{1BDA7185-BCEF-443F-AE70-32E35B060CB6}" name="B6" dataDxfId="66">
      <calculatedColumnFormula array="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25" xr3:uid="{1B5C3E23-BF6A-4AD9-9603-03A1F74B05D2}" name="B7" dataDxfId="65">
      <calculatedColumnFormula array="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26" xr3:uid="{1641B38B-F3F7-47D7-8336-F01BC79C6D8F}" name="B8" dataDxfId="64">
      <calculatedColumnFormula array="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27" xr3:uid="{366DAD56-B074-4E47-B12F-9BE4C57CF218}" name="B9" dataDxfId="63">
      <calculatedColumnFormula array="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28" xr3:uid="{A2A30E69-89CD-4FF5-BB30-86C104625D64}" name="B10" dataDxfId="62">
      <calculatedColumnFormula array="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29" xr3:uid="{ACA3774C-40CB-442A-A401-CD8824E0B38F}" name="C1" dataDxfId="61">
      <calculatedColumnFormula array="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30" xr3:uid="{1F7C6397-EF7A-4739-98A2-26F5519A225E}" name="C2" dataDxfId="60">
      <calculatedColumnFormula array="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31" xr3:uid="{17188B1D-C997-4A4B-AD72-3781CA7FA46C}" name="C3" dataDxfId="59">
      <calculatedColumnFormula array="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32" xr3:uid="{A66EFB5E-F8C1-40E9-90D5-CE4537676E75}" name="C4" dataDxfId="58">
      <calculatedColumnFormula array="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33" xr3:uid="{09027229-3C46-49D6-A2CF-67102664E070}" name="C5" dataDxfId="57">
      <calculatedColumnFormula array="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34" xr3:uid="{89CB2053-24C9-45C9-B98E-AAC5C919E950}" name="D1" dataDxfId="56">
      <calculatedColumnFormula array="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35" xr3:uid="{26A9B2C4-2D2F-455E-81DA-3651688D341A}" name="D2" dataDxfId="55">
      <calculatedColumnFormula array="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36" xr3:uid="{7140C21E-A16E-4743-B33E-AF18818E283C}" name="D3" dataDxfId="54">
      <calculatedColumnFormula array="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37" xr3:uid="{FA7C9B20-E338-46F2-AFC8-3E7DA471D5EC}" name="D4" dataDxfId="53">
      <calculatedColumnFormula array="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38" xr3:uid="{40E874DD-28B6-44F2-8D7F-7F6867843500}" name="D5" dataDxfId="52">
      <calculatedColumnFormula array="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39" xr3:uid="{38A48422-7A50-4CAA-A4DF-46D9F377C2EC}" name="E1" dataDxfId="51">
      <calculatedColumnFormula array="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40" xr3:uid="{38B8EE46-EE6A-4E4E-B768-23CDB67493CE}" name="E2" dataDxfId="50">
      <calculatedColumnFormula array="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41" xr3:uid="{91D23AE4-6B46-4245-8663-2DA4FFADB30F}" name="E3" dataDxfId="49">
      <calculatedColumnFormula array="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42" xr3:uid="{801A4BE9-B799-466C-84DC-F7E1E7262B54}" name="E4" dataDxfId="48">
      <calculatedColumnFormula array="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43" xr3:uid="{385DF3D2-4B30-4473-B8CD-1132E0EEFFB2}" name="E5" dataDxfId="47">
      <calculatedColumnFormula array="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44" xr3:uid="{EA9D2C94-ACC8-4B23-9689-A699E013460C}" name="F1" dataDxfId="46">
      <calculatedColumnFormula array="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45" xr3:uid="{F607906C-A89A-439B-A245-91E50C24D228}" name="F2" dataDxfId="45">
      <calculatedColumnFormula array="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46" xr3:uid="{BF0D754B-082D-4CFA-AE9E-855CE77AC141}" name="F3" dataDxfId="44">
      <calculatedColumnFormula array="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47" xr3:uid="{38F26C6E-0826-4530-B38E-28A96740C16C}" name="F4" dataDxfId="43">
      <calculatedColumnFormula array="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48" xr3:uid="{849EFB05-164D-44C1-8B21-1A10B4AE0933}" name="F5" dataDxfId="42">
      <calculatedColumnFormula array="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49" xr3:uid="{AAC6CAE7-12B5-4FED-8221-15858D6F9360}" name="F6" dataDxfId="41">
      <calculatedColumnFormula array="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50" xr3:uid="{0FB41E87-E55E-4B7D-A956-75FD2530BFB8}" name="F7" dataDxfId="40">
      <calculatedColumnFormula array="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51" xr3:uid="{D8366C52-365E-4860-897D-7111ECD81D30}" name="F8" dataDxfId="39">
      <calculatedColumnFormula array="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52" xr3:uid="{9263B21B-20A1-41B5-A930-E26926730582}" name="F9" dataDxfId="38">
      <calculatedColumnFormula array="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53" xr3:uid="{931127C4-80FD-4577-B148-9D96B8A4A6B7}" name="F10" dataDxfId="37">
      <calculatedColumnFormula array="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54" xr3:uid="{316881ED-EF3A-40A9-8C8A-95BC22B11107}" name="G1" dataDxfId="36">
      <calculatedColumnFormula array="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55" xr3:uid="{EB6ABBFD-4374-4257-B329-DE9B06A57D11}" name="G2" dataDxfId="35">
      <calculatedColumnFormula array="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56" xr3:uid="{AEC74CC4-829C-45F0-8F69-5BB79CEE394D}" name="G3" dataDxfId="34">
      <calculatedColumnFormula array="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57" xr3:uid="{F95E9144-1F34-4688-B300-14CC287555D1}" name="G4" dataDxfId="33">
      <calculatedColumnFormula array="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58" xr3:uid="{E1856B44-C794-4710-823D-D6BB780C910D}" name="G5" dataDxfId="32">
      <calculatedColumnFormula array="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59" xr3:uid="{F349B6A0-E374-4BB7-9D7B-1F31DA0F7B8F}" name="G6" dataDxfId="31">
      <calculatedColumnFormula array="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60" xr3:uid="{4787D8C0-D402-41D1-810F-1320A70E0550}" name="G7" dataDxfId="30">
      <calculatedColumnFormula array="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61" xr3:uid="{5AF9A8C0-9FEA-4A4C-8CFF-D4500FCF4740}" name="G8" dataDxfId="29">
      <calculatedColumnFormula array="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62" xr3:uid="{9C56DD29-6D9C-457F-8B91-A8306860E116}" name="G9" dataDxfId="28">
      <calculatedColumnFormula array="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63" xr3:uid="{67844A58-0120-4D9D-AB58-60D62BB819D0}" name="G10" dataDxfId="27">
      <calculatedColumnFormula array="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64" xr3:uid="{4150BC4C-FAE6-479F-92EC-5E5EED1E24A9}" name="G11" dataDxfId="26">
      <calculatedColumnFormula array="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65" xr3:uid="{AC457749-7E22-4B83-87C0-C84EC372194D}" name="G12" dataDxfId="25">
      <calculatedColumnFormula array="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66" xr3:uid="{2EF805E9-B115-499E-8DD5-C3D7AD47D265}" name="G13" dataDxfId="24">
      <calculatedColumnFormula array="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67" xr3:uid="{9BEF239D-BA6C-44DA-B986-7D8697D692E1}" name="G14" dataDxfId="23">
      <calculatedColumnFormula array="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68" xr3:uid="{EF7BCE13-48D2-4E2A-ACA3-9E8D3A029B1E}" name="G15" dataDxfId="22">
      <calculatedColumnFormula array="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69" xr3:uid="{3336F93E-C90D-45F5-860D-E7C442A3B872}" name="G16" dataDxfId="21">
      <calculatedColumnFormula array="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70" xr3:uid="{208672D3-CFFC-4BD4-B20D-4259487386A7}" name="G17" dataDxfId="20">
      <calculatedColumnFormula array="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71" xr3:uid="{FF30DB9B-C1CE-4853-A5E2-847F559955D3}" name="G18" dataDxfId="19">
      <calculatedColumnFormula array="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72" xr3:uid="{251F4BFB-5328-4B4F-B1F0-DE8DBF222451}" name="G19" dataDxfId="18">
      <calculatedColumnFormula array="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73" xr3:uid="{31DDEDBB-1E69-4535-8B9A-A729D113DBBF}" name="G20" dataDxfId="17">
      <calculatedColumnFormula array="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74" xr3:uid="{C4958CFB-F9ED-43EC-8819-7011FA2A242D}" name="G21" dataDxfId="16">
      <calculatedColumnFormula array="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75" xr3:uid="{3B9C0D3F-C15A-426D-959A-8AA884ADF89D}" name="G22" dataDxfId="15">
      <calculatedColumnFormula array="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76" xr3:uid="{CFF27675-70E1-4C23-8F8A-197FB9A4BCF4}" name="G23" dataDxfId="14">
      <calculatedColumnFormula array="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77" xr3:uid="{5C81E77E-9539-4EB4-B007-802981EDC403}" name="G24" dataDxfId="13">
      <calculatedColumnFormula array="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78" xr3:uid="{68C2964F-D014-4422-85EA-7F57F756E5A1}" name="G25" dataDxfId="12">
      <calculatedColumnFormula array="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79" xr3:uid="{C3720B43-C584-4115-808B-6F87C15A68A2}" name="G26" dataDxfId="11">
      <calculatedColumnFormula array="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80" xr3:uid="{C0B748D3-66D0-48BA-9B6A-0A320EBAD939}" name="G27" dataDxfId="10">
      <calculatedColumnFormula array="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81" xr3:uid="{63D164ED-82A2-4668-BED1-B301C158576B}" name="G28" dataDxfId="9">
      <calculatedColumnFormula array="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82" xr3:uid="{C72BE626-2BA1-4D54-A017-8B6A89E303D6}" name="G29" dataDxfId="8">
      <calculatedColumnFormula array="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83" xr3:uid="{8FA3A7FB-D98B-45FA-8542-D0B0B2D7D57C}" name="G30" dataDxfId="7">
      <calculatedColumnFormula array="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84" xr3:uid="{43BCA6A8-F017-4E9A-B63E-5A1063D680BC}" name="G31" dataDxfId="6">
      <calculatedColumnFormula array="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85" xr3:uid="{CCF36316-1C5B-4C52-84E6-BD94C237112D}" name="G32" dataDxfId="5">
      <calculatedColumnFormula array="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86" xr3:uid="{3ADE946F-16DD-4A18-865C-1E71F9E83818}" name="G33" dataDxfId="4">
      <calculatedColumnFormula array="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87" xr3:uid="{24C80566-D33D-4540-95C2-178E9BFB47F0}" name="G34" dataDxfId="3">
      <calculatedColumnFormula array="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 id="88" xr3:uid="{65640E9C-5732-45B1-B9BC-CB5062A2076D}" name="G35" dataDxfId="2">
      <calculatedColumnFormula array="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CD1C13-AA4A-42D8-A935-1858FA94F784}" name="Model" displayName="Model" ref="A1:L1361" tableType="queryTable" totalsRowShown="0">
  <autoFilter ref="A1:L1361" xr:uid="{72CD1C13-AA4A-42D8-A935-1858FA94F784}"/>
  <sortState xmlns:xlrd2="http://schemas.microsoft.com/office/spreadsheetml/2017/richdata2" ref="A2:L1361">
    <sortCondition ref="A1:A1361"/>
  </sortState>
  <tableColumns count="12">
    <tableColumn id="1" xr3:uid="{77167D92-7AB4-46F7-B889-F46E261FFEBD}" uniqueName="1" name="REF" queryTableFieldId="1"/>
    <tableColumn id="2" xr3:uid="{343294FF-C882-4D3B-ABF7-0BE5E2E13688}" uniqueName="2" name="C-Level" queryTableFieldId="2"/>
    <tableColumn id="3" xr3:uid="{98A46D64-FD79-4ABD-A8CF-DFD098B7FBF2}" uniqueName="3" name="Competency" queryTableFieldId="3" dataDxfId="1"/>
    <tableColumn id="4" xr3:uid="{F5E13083-2274-4E5E-8A54-758BF318FB5F}" uniqueName="4" name="Regular" queryTableFieldId="4"/>
    <tableColumn id="5" xr3:uid="{FE06C81F-FB39-4AAE-A975-54484C1B8F81}" uniqueName="5" name="Weighted" queryTableFieldId="5"/>
    <tableColumn id="6" xr3:uid="{63146331-5152-43DB-9D70-25A2260FA230}" uniqueName="6" name="Delta" queryTableFieldId="6"/>
    <tableColumn id="7" xr3:uid="{E2182D95-07D3-4B29-96F0-E00E336A8984}" uniqueName="7" name="AbsDelta" queryTableFieldId="7"/>
    <tableColumn id="8" xr3:uid="{6DD27A73-0693-40E6-A638-57A2376A9631}" uniqueName="8" name="OverFlag" queryTableFieldId="8"/>
    <tableColumn id="9" xr3:uid="{EE175F63-A4F3-4330-94FB-1E5E42055FC6}" uniqueName="9" name="UnderFlag" queryTableFieldId="9"/>
    <tableColumn id="10" xr3:uid="{3719E087-1D56-47E9-94B6-2573B4493C44}" uniqueName="10" name="MaterialFlag" queryTableFieldId="10"/>
    <tableColumn id="11" xr3:uid="{09B8C6E0-E7C3-46E1-94CE-8B31D3A2867E}" uniqueName="11" name="BucketDelta" queryTableFieldId="11"/>
    <tableColumn id="12" xr3:uid="{D3B92339-278A-46C5-8D2D-0F628794B698}" uniqueName="12" name="Competency Area" queryTableFieldId="12" dataDxfId="0"/>
  </tableColumns>
  <tableStyleInfo name="TableStyleMedium7" showFirstColumn="0" showLastColumn="0" showRowStripes="1" showColumnStripes="0"/>
</table>
</file>

<file path=xl/theme/theme1.xml><?xml version="1.0" encoding="utf-8"?>
<a:theme xmlns:a="http://schemas.openxmlformats.org/drawingml/2006/main" name="SynitiCapgemini_Theme">
  <a:themeElements>
    <a:clrScheme name="Syniti - 2025">
      <a:dk1>
        <a:srgbClr val="000000"/>
      </a:dk1>
      <a:lt1>
        <a:srgbClr val="FFFFFF"/>
      </a:lt1>
      <a:dk2>
        <a:srgbClr val="000000"/>
      </a:dk2>
      <a:lt2>
        <a:srgbClr val="FFFFFF"/>
      </a:lt2>
      <a:accent1>
        <a:srgbClr val="365EB9"/>
      </a:accent1>
      <a:accent2>
        <a:srgbClr val="232F63"/>
      </a:accent2>
      <a:accent3>
        <a:srgbClr val="83AFF8"/>
      </a:accent3>
      <a:accent4>
        <a:srgbClr val="190033"/>
      </a:accent4>
      <a:accent5>
        <a:srgbClr val="BCAFFF"/>
      </a:accent5>
      <a:accent6>
        <a:srgbClr val="5B30EE"/>
      </a:accent6>
      <a:hlink>
        <a:srgbClr val="1E1E24"/>
      </a:hlink>
      <a:folHlink>
        <a:srgbClr val="1E1E24"/>
      </a:folHlink>
    </a:clrScheme>
    <a:fontScheme name="Syniti_Work Sans">
      <a:majorFont>
        <a:latin typeface="Work Sans SemiBold"/>
        <a:ea typeface=""/>
        <a:cs typeface=""/>
      </a:majorFont>
      <a:minorFont>
        <a:latin typeface="Work San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SynitiCapgemini_Theme" id="{375428D2-AB57-AA44-B1FD-E7CCCA0CE019}" vid="{A71065A9-A88B-4A44-8DBB-DD0AC363D938}"/>
    </a:ext>
  </a:extLst>
</a:theme>
</file>

<file path=xl/threadedComments/threadedComment1.xml><?xml version="1.0" encoding="utf-8"?>
<ThreadedComments xmlns="http://schemas.microsoft.com/office/spreadsheetml/2018/threadedcomments" xmlns:x="http://schemas.openxmlformats.org/spreadsheetml/2006/main">
  <threadedComment ref="BH8" dT="2026-01-20T11:21:48.02" personId="{3103C3FA-DE67-DE41-8E0D-97AD84CFF99C}" id="{3E57EDF0-1B8C-9B46-A0A0-5F6134D8D073}">
    <text xml:space="preserve">@Luis Miguel Garcia please update competencies G6-G10 for all people not assigned to me </text>
    <mentions>
      <mention mentionpersonId="{8D730C36-94B0-6749-B80A-505FF3CAA5CC}" mentionId="{ECCA22E4-D0CA-874A-B58F-53F5B734BC6B}" startIndex="0" length="19"/>
    </mentions>
  </threadedComment>
  <threadedComment ref="BM8" dT="2026-01-20T11:21:26.73" personId="{3103C3FA-DE67-DE41-8E0D-97AD84CFF99C}" id="{20625056-65A0-314C-B336-F0C671FCAC60}">
    <text>@Carole please update competencies G11-G15 for all people not assigned to me</text>
    <mentions>
      <mention mentionpersonId="{87909359-7235-5749-8EFD-1C2397041C6E}" mentionId="{7EC99E8C-E4DF-CF46-98D2-BAF6D0110DA8}" startIndex="0" length="7"/>
    </mentions>
  </threadedComment>
  <threadedComment ref="BR8" dT="2026-01-20T11:21:00.42" personId="{3103C3FA-DE67-DE41-8E0D-97AD84CFF99C}" id="{CCB8CFE3-874A-A549-8B30-9B5AC59CA736}">
    <text>@Elisabet Rovira please update competencies G16-G20 for all people not assigned to me</text>
    <mentions>
      <mention mentionpersonId="{0DCF2B07-7487-D84E-89D1-4F9BEA7A2F0B}" mentionId="{1F251C20-59F7-E340-9EC8-1319384E5CDA}" startIndex="0" length="16"/>
    </mentions>
  </threadedComment>
  <threadedComment ref="BW8" dT="2026-01-20T11:20:11.39" personId="{3103C3FA-DE67-DE41-8E0D-97AD84CFF99C}" id="{5A80C831-1B71-5443-B28A-159213221743}">
    <text>@Alejandroplease update competencies G21-G25 for all people not assigned to me</text>
    <mentions>
      <mention mentionpersonId="{071C068C-B903-1147-8393-FE767D3B7778}" mentionId="{00D49ECB-5D2E-AC4F-A0C0-5072228E5779}" startIndex="0" length="10"/>
    </mentions>
  </threadedComment>
  <threadedComment ref="CB8" dT="2026-01-20T11:19:55.85" personId="{3103C3FA-DE67-DE41-8E0D-97AD84CFF99C}" id="{615E6ED9-5AAE-D942-9560-251F5DB9FDAA}">
    <text>@Gaurav Kalwani - please update competencies G26-G30 for all people not assigned to me</text>
    <mentions>
      <mention mentionpersonId="{9BA5115C-8815-D241-9327-7F730226605E}" mentionId="{C547152D-BE02-E84B-B91A-B246C8D68BFB}" startIndex="0" length="15"/>
    </mentions>
  </threadedComment>
</ThreadedComment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2.xml"/><Relationship Id="rId6" Type="http://schemas.microsoft.com/office/2019/04/relationships/documenttask" Target="../documenttasks/documenttask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hyperlink" Target="mailto:jose.garcia@Syniti.com" TargetMode="External"/><Relationship Id="rId13" Type="http://schemas.openxmlformats.org/officeDocument/2006/relationships/table" Target="../tables/table4.xml"/><Relationship Id="rId3" Type="http://schemas.openxmlformats.org/officeDocument/2006/relationships/hyperlink" Target="mailto:bagya.iyer@Syniti.com" TargetMode="External"/><Relationship Id="rId7" Type="http://schemas.openxmlformats.org/officeDocument/2006/relationships/hyperlink" Target="mailto:Linda.LourencoGomes@syniti.com" TargetMode="External"/><Relationship Id="rId12" Type="http://schemas.openxmlformats.org/officeDocument/2006/relationships/table" Target="../tables/table3.xml"/><Relationship Id="rId2" Type="http://schemas.openxmlformats.org/officeDocument/2006/relationships/hyperlink" Target="mailto:anna.pascal@Syniti.com" TargetMode="External"/><Relationship Id="rId1" Type="http://schemas.openxmlformats.org/officeDocument/2006/relationships/hyperlink" Target="mailto:aleksandra.strzelecka@Syniti.com" TargetMode="External"/><Relationship Id="rId6" Type="http://schemas.openxmlformats.org/officeDocument/2006/relationships/hyperlink" Target="mailto:lilia.krogerus@Syniti.com" TargetMode="External"/><Relationship Id="rId11" Type="http://schemas.openxmlformats.org/officeDocument/2006/relationships/drawing" Target="../drawings/drawing3.xml"/><Relationship Id="rId5" Type="http://schemas.openxmlformats.org/officeDocument/2006/relationships/hyperlink" Target="mailto:laura.lopez@Syniti.com" TargetMode="External"/><Relationship Id="rId10" Type="http://schemas.openxmlformats.org/officeDocument/2006/relationships/hyperlink" Target="mailto:Harsh.Agrawal@Syniti.com" TargetMode="External"/><Relationship Id="rId4" Type="http://schemas.openxmlformats.org/officeDocument/2006/relationships/hyperlink" Target="mailto:daniela.acevedo@Syniti.com" TargetMode="External"/><Relationship Id="rId9" Type="http://schemas.openxmlformats.org/officeDocument/2006/relationships/hyperlink" Target="mailto:Poorvanshu.Gupta@Syniti.com"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07/relationships/slicer" Target="../slicers/slicer1.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94AF8-9459-5248-B5D4-4DC635B7690F}">
  <sheetPr codeName="Sheet7"/>
  <dimension ref="B3:H13"/>
  <sheetViews>
    <sheetView workbookViewId="0">
      <selection activeCell="C6" sqref="C6"/>
    </sheetView>
  </sheetViews>
  <sheetFormatPr defaultColWidth="11.19921875" defaultRowHeight="15.95"/>
  <cols>
    <col min="2" max="2" width="9.59765625" bestFit="1" customWidth="1"/>
    <col min="3" max="3" width="25.69921875" customWidth="1"/>
  </cols>
  <sheetData>
    <row r="3" spans="2:8">
      <c r="B3" s="66" t="s">
        <v>0</v>
      </c>
      <c r="C3" s="66"/>
      <c r="D3" s="66"/>
      <c r="E3" s="66"/>
      <c r="F3" s="66"/>
      <c r="G3" s="66"/>
      <c r="H3" s="66"/>
    </row>
    <row r="4" spans="2:8">
      <c r="B4" s="66" t="s">
        <v>1</v>
      </c>
      <c r="C4" s="66"/>
      <c r="D4" s="66"/>
      <c r="E4" s="66"/>
      <c r="F4" s="66"/>
      <c r="G4" s="66"/>
      <c r="H4" s="66"/>
    </row>
    <row r="5" spans="2:8" ht="24.95">
      <c r="B5" s="67" t="s">
        <v>2</v>
      </c>
      <c r="C5" s="67" t="s">
        <v>3</v>
      </c>
      <c r="D5" s="68" t="s">
        <v>4</v>
      </c>
      <c r="E5" s="148" t="s">
        <v>5</v>
      </c>
      <c r="F5" s="148"/>
      <c r="G5" s="148"/>
      <c r="H5" s="148"/>
    </row>
    <row r="6" spans="2:8">
      <c r="B6" s="69">
        <v>1</v>
      </c>
      <c r="C6" s="69" t="s">
        <v>6</v>
      </c>
      <c r="D6" s="69" t="s">
        <v>7</v>
      </c>
      <c r="E6" s="149" t="s">
        <v>8</v>
      </c>
      <c r="F6" s="149"/>
      <c r="G6" s="149"/>
      <c r="H6" s="149"/>
    </row>
    <row r="7" spans="2:8">
      <c r="B7" s="69">
        <v>2</v>
      </c>
      <c r="C7" s="69" t="s">
        <v>6</v>
      </c>
      <c r="D7" s="69" t="s">
        <v>9</v>
      </c>
      <c r="E7" s="149" t="s">
        <v>10</v>
      </c>
      <c r="F7" s="149"/>
      <c r="G7" s="149"/>
      <c r="H7" s="149"/>
    </row>
    <row r="8" spans="2:8">
      <c r="B8" s="69">
        <v>3</v>
      </c>
      <c r="C8" s="69" t="s">
        <v>11</v>
      </c>
      <c r="D8" s="69" t="s">
        <v>12</v>
      </c>
      <c r="E8" s="149" t="s">
        <v>13</v>
      </c>
      <c r="F8" s="149"/>
      <c r="G8" s="149"/>
      <c r="H8" s="149"/>
    </row>
    <row r="9" spans="2:8">
      <c r="B9" s="69">
        <v>4</v>
      </c>
      <c r="C9" s="69"/>
      <c r="D9" s="69"/>
      <c r="E9" s="149"/>
      <c r="F9" s="149"/>
      <c r="G9" s="149"/>
      <c r="H9" s="149"/>
    </row>
    <row r="13" spans="2:8">
      <c r="B13" t="s">
        <v>14</v>
      </c>
    </row>
  </sheetData>
  <mergeCells count="5">
    <mergeCell ref="E5:H5"/>
    <mergeCell ref="E6:H6"/>
    <mergeCell ref="E7:H7"/>
    <mergeCell ref="E8:H8"/>
    <mergeCell ref="E9:H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401A0-C095-4396-9023-5EB151325799}">
  <sheetPr codeName="Sheet3"/>
  <dimension ref="B2:AZ1650"/>
  <sheetViews>
    <sheetView zoomScale="110" zoomScaleNormal="110" workbookViewId="0">
      <selection activeCell="J2" sqref="J2"/>
    </sheetView>
  </sheetViews>
  <sheetFormatPr defaultColWidth="8.69921875" defaultRowHeight="15.95"/>
  <cols>
    <col min="1" max="1" width="8.69921875" style="65"/>
    <col min="2" max="2" width="35" style="70" bestFit="1" customWidth="1"/>
    <col min="3" max="9" width="12" style="70" customWidth="1"/>
    <col min="10" max="10" width="19.296875" style="70" bestFit="1" customWidth="1"/>
    <col min="11" max="11" width="13.69921875" style="70" bestFit="1" customWidth="1"/>
    <col min="12" max="12" width="16.69921875" style="70" bestFit="1" customWidth="1"/>
    <col min="13" max="13" width="35" style="70" bestFit="1" customWidth="1"/>
    <col min="14" max="14" width="16" style="70" bestFit="1" customWidth="1"/>
    <col min="15" max="19" width="5.59765625" style="70" bestFit="1" customWidth="1"/>
    <col min="20" max="20" width="10" style="70" bestFit="1" customWidth="1"/>
    <col min="21" max="21" width="21.296875" style="65" bestFit="1" customWidth="1"/>
    <col min="22" max="22" width="23.8984375" style="65" bestFit="1" customWidth="1"/>
    <col min="23" max="23" width="35" style="65" bestFit="1" customWidth="1"/>
    <col min="24" max="24" width="16" style="65" bestFit="1" customWidth="1"/>
    <col min="25" max="25" width="7.3984375" style="65" bestFit="1" customWidth="1"/>
    <col min="26" max="26" width="7" style="65" bestFit="1" customWidth="1"/>
    <col min="27" max="27" width="7.3984375" style="65" bestFit="1" customWidth="1"/>
    <col min="28" max="28" width="7" style="65" bestFit="1" customWidth="1"/>
    <col min="29" max="29" width="10" style="65" bestFit="1" customWidth="1"/>
    <col min="30" max="30" width="16.69921875" style="65" bestFit="1" customWidth="1"/>
    <col min="31" max="31" width="17.69921875" style="65" bestFit="1" customWidth="1"/>
    <col min="32" max="32" width="15.69921875" style="65" bestFit="1" customWidth="1"/>
    <col min="33" max="33" width="17" style="65" bestFit="1" customWidth="1"/>
    <col min="34" max="34" width="13.69921875" style="65" bestFit="1" customWidth="1"/>
    <col min="35" max="35" width="16.69921875" style="65" bestFit="1" customWidth="1"/>
    <col min="36" max="36" width="19.296875" style="65" bestFit="1" customWidth="1"/>
    <col min="37" max="37" width="16.69921875" style="65" bestFit="1" customWidth="1"/>
    <col min="38" max="38" width="17.69921875" style="65" bestFit="1" customWidth="1"/>
    <col min="39" max="39" width="15.69921875" style="65" bestFit="1" customWidth="1"/>
    <col min="40" max="40" width="17" style="65" bestFit="1" customWidth="1"/>
    <col min="41" max="41" width="13.69921875" style="65" bestFit="1" customWidth="1"/>
    <col min="42" max="42" width="16.69921875" style="65" bestFit="1" customWidth="1"/>
    <col min="43" max="43" width="19.296875" style="65" bestFit="1" customWidth="1"/>
    <col min="44" max="44" width="16.69921875" style="65" bestFit="1" customWidth="1"/>
    <col min="45" max="45" width="17.69921875" style="65" bestFit="1" customWidth="1"/>
    <col min="46" max="46" width="20" style="65" bestFit="1" customWidth="1"/>
    <col min="47" max="47" width="21.59765625" style="65" bestFit="1" customWidth="1"/>
    <col min="48" max="48" width="18.296875" style="65" bestFit="1" customWidth="1"/>
    <col min="49" max="49" width="21.296875" style="65" bestFit="1" customWidth="1"/>
    <col min="50" max="50" width="23.8984375" style="65" bestFit="1" customWidth="1"/>
    <col min="51" max="51" width="21" style="65" bestFit="1" customWidth="1"/>
    <col min="52" max="52" width="22.296875" style="65" bestFit="1" customWidth="1"/>
    <col min="53" max="53" width="10" style="65" bestFit="1" customWidth="1"/>
    <col min="54" max="16384" width="8.69921875" style="65"/>
  </cols>
  <sheetData>
    <row r="2" spans="2:30" ht="30" customHeight="1">
      <c r="B2" s="150" t="s">
        <v>15</v>
      </c>
      <c r="C2" s="150"/>
      <c r="D2" s="150"/>
      <c r="E2" s="150"/>
      <c r="F2" s="150"/>
    </row>
    <row r="3" spans="2:30" ht="28.5" customHeight="1">
      <c r="B3" s="75" t="s">
        <v>16</v>
      </c>
      <c r="C3" s="75" t="s">
        <v>17</v>
      </c>
      <c r="D3" s="75" t="s">
        <v>18</v>
      </c>
      <c r="E3" s="75" t="s">
        <v>19</v>
      </c>
      <c r="F3" s="75" t="s">
        <v>20</v>
      </c>
      <c r="G3" s="76"/>
    </row>
    <row r="5" spans="2:30">
      <c r="B5" s="70" t="s">
        <v>16</v>
      </c>
      <c r="M5" s="70" t="s">
        <v>17</v>
      </c>
      <c r="W5" s="70" t="s">
        <v>18</v>
      </c>
      <c r="X5" s="70"/>
      <c r="Y5" s="70"/>
      <c r="Z5" s="70"/>
      <c r="AA5" s="70"/>
      <c r="AB5" s="70"/>
      <c r="AC5" s="70"/>
      <c r="AD5" s="70"/>
    </row>
    <row r="6" spans="2:30" ht="24" customHeight="1">
      <c r="B6" s="70" t="s">
        <v>21</v>
      </c>
      <c r="C6" s="70" t="s">
        <v>22</v>
      </c>
      <c r="M6" s="70" t="s">
        <v>23</v>
      </c>
      <c r="N6" s="70" t="s">
        <v>22</v>
      </c>
      <c r="W6" s="70" t="s">
        <v>24</v>
      </c>
      <c r="X6" s="70" t="s">
        <v>22</v>
      </c>
      <c r="Y6" s="70"/>
      <c r="Z6" s="70"/>
      <c r="AA6" s="70"/>
      <c r="AB6" s="70"/>
      <c r="AC6" s="70"/>
    </row>
    <row r="7" spans="2:30" ht="24" customHeight="1">
      <c r="B7" s="70" t="s">
        <v>25</v>
      </c>
      <c r="C7" s="70" t="s">
        <v>26</v>
      </c>
      <c r="D7" s="70" t="s">
        <v>27</v>
      </c>
      <c r="E7" s="70" t="s">
        <v>28</v>
      </c>
      <c r="F7" s="70" t="s">
        <v>29</v>
      </c>
      <c r="G7" s="70" t="s">
        <v>30</v>
      </c>
      <c r="H7" s="70" t="s">
        <v>31</v>
      </c>
      <c r="I7" s="70" t="s">
        <v>32</v>
      </c>
      <c r="M7" s="70" t="s">
        <v>25</v>
      </c>
      <c r="N7" s="70" t="s">
        <v>29</v>
      </c>
      <c r="O7" s="70" t="s">
        <v>31</v>
      </c>
      <c r="P7" s="70" t="s">
        <v>30</v>
      </c>
      <c r="Q7" s="70" t="s">
        <v>27</v>
      </c>
      <c r="R7" s="70" t="s">
        <v>28</v>
      </c>
      <c r="S7" s="70" t="s">
        <v>26</v>
      </c>
      <c r="T7" s="70" t="s">
        <v>32</v>
      </c>
      <c r="W7" s="70" t="s">
        <v>25</v>
      </c>
      <c r="X7" s="70" t="s">
        <v>33</v>
      </c>
      <c r="Y7" s="70" t="s">
        <v>34</v>
      </c>
      <c r="Z7" s="70" t="s">
        <v>35</v>
      </c>
      <c r="AA7" s="70" t="s">
        <v>36</v>
      </c>
      <c r="AB7" s="70" t="s">
        <v>37</v>
      </c>
      <c r="AC7" s="70" t="s">
        <v>32</v>
      </c>
    </row>
    <row r="8" spans="2:30" ht="24" customHeight="1">
      <c r="B8" s="73" t="s">
        <v>38</v>
      </c>
      <c r="C8" s="70">
        <v>1.3299999999999996</v>
      </c>
      <c r="D8" s="70">
        <v>0.85</v>
      </c>
      <c r="E8" s="70">
        <v>1.3299999999999996</v>
      </c>
      <c r="F8" s="70">
        <v>1.0659999999999996</v>
      </c>
      <c r="G8" s="70">
        <v>0.30371428571428588</v>
      </c>
      <c r="H8" s="70">
        <v>0.2</v>
      </c>
      <c r="I8" s="70">
        <v>0.66858823529411759</v>
      </c>
      <c r="M8" s="73" t="s">
        <v>38</v>
      </c>
      <c r="N8" s="74">
        <v>-0.82599999999999962</v>
      </c>
      <c r="O8" s="74">
        <v>0.2</v>
      </c>
      <c r="P8" s="74">
        <v>-0.1642857142857142</v>
      </c>
      <c r="Q8" s="74">
        <v>-0.85</v>
      </c>
      <c r="R8" s="74">
        <v>-1.3299999999999996</v>
      </c>
      <c r="S8" s="74">
        <v>-1.3299999999999996</v>
      </c>
      <c r="T8" s="70">
        <v>-0.49352941176470577</v>
      </c>
      <c r="W8" s="73" t="s">
        <v>38</v>
      </c>
      <c r="X8" s="72">
        <v>0.27647058823529413</v>
      </c>
      <c r="Y8" s="72">
        <v>0.66470588235294115</v>
      </c>
      <c r="Z8" s="72">
        <v>0</v>
      </c>
      <c r="AA8" s="72">
        <v>0</v>
      </c>
      <c r="AB8" s="72">
        <v>5.8823529411764705E-2</v>
      </c>
      <c r="AC8" s="72">
        <v>1</v>
      </c>
    </row>
    <row r="9" spans="2:30" ht="24" customHeight="1">
      <c r="B9" s="73" t="s">
        <v>39</v>
      </c>
      <c r="C9" s="70">
        <v>1.2100000000000002</v>
      </c>
      <c r="D9" s="70">
        <v>0.43</v>
      </c>
      <c r="E9" s="70">
        <v>1.2100000000000002</v>
      </c>
      <c r="F9" s="70">
        <v>0.71799999999999986</v>
      </c>
      <c r="G9" s="70">
        <v>0.43542857142857139</v>
      </c>
      <c r="H9" s="70">
        <v>0.38400000000000001</v>
      </c>
      <c r="I9" s="70">
        <v>0.6032941176470592</v>
      </c>
      <c r="M9" s="73" t="s">
        <v>39</v>
      </c>
      <c r="N9" s="74">
        <v>-0.20199999999999996</v>
      </c>
      <c r="O9" s="74">
        <v>1.6000000000000014E-2</v>
      </c>
      <c r="P9" s="74">
        <v>-0.1245714285714285</v>
      </c>
      <c r="Q9" s="74">
        <v>-0.25000000000000011</v>
      </c>
      <c r="R9" s="74">
        <v>-1.2100000000000002</v>
      </c>
      <c r="S9" s="74">
        <v>-1.2100000000000002</v>
      </c>
      <c r="T9" s="70">
        <v>-0.2658823529411764</v>
      </c>
      <c r="W9" s="73" t="s">
        <v>39</v>
      </c>
      <c r="X9" s="72">
        <v>0.12941176470588237</v>
      </c>
      <c r="Y9" s="72">
        <v>0.74117647058823533</v>
      </c>
      <c r="Z9" s="72">
        <v>0</v>
      </c>
      <c r="AA9" s="72">
        <v>0</v>
      </c>
      <c r="AB9" s="72">
        <v>0.12941176470588237</v>
      </c>
      <c r="AC9" s="72">
        <v>1</v>
      </c>
    </row>
    <row r="10" spans="2:30" ht="24" customHeight="1">
      <c r="B10" s="73" t="s">
        <v>40</v>
      </c>
      <c r="C10" s="70">
        <v>1.1379999999999999</v>
      </c>
      <c r="D10" s="70">
        <v>1.5399999999999998</v>
      </c>
      <c r="E10" s="70">
        <v>1.1379999999999999</v>
      </c>
      <c r="F10" s="70">
        <v>1.0420000000000003</v>
      </c>
      <c r="G10" s="70">
        <v>0.45285714285714279</v>
      </c>
      <c r="H10" s="70">
        <v>0.2</v>
      </c>
      <c r="I10" s="70">
        <v>0.74094117647058844</v>
      </c>
      <c r="M10" s="73" t="s">
        <v>40</v>
      </c>
      <c r="N10" s="74">
        <v>-0.3219999999999999</v>
      </c>
      <c r="O10" s="74">
        <v>0.2</v>
      </c>
      <c r="P10" s="74">
        <v>9.6285714285714363E-2</v>
      </c>
      <c r="Q10" s="74">
        <v>0.8600000000000001</v>
      </c>
      <c r="R10" s="74">
        <v>-0.31000000000000005</v>
      </c>
      <c r="S10" s="74">
        <v>-0.31000000000000005</v>
      </c>
      <c r="T10" s="70">
        <v>-1.7411764705882342E-2</v>
      </c>
      <c r="W10" s="73" t="s">
        <v>40</v>
      </c>
      <c r="X10" s="72">
        <v>0.11764705882352941</v>
      </c>
      <c r="Y10" s="72">
        <v>0.71764705882352942</v>
      </c>
      <c r="Z10" s="72">
        <v>0.10588235294117647</v>
      </c>
      <c r="AA10" s="72">
        <v>0</v>
      </c>
      <c r="AB10" s="72">
        <v>5.8823529411764705E-2</v>
      </c>
      <c r="AC10" s="72">
        <v>1</v>
      </c>
    </row>
    <row r="11" spans="2:30" ht="24" customHeight="1">
      <c r="B11" s="73" t="s">
        <v>41</v>
      </c>
      <c r="C11" s="70">
        <v>0.81000000000000016</v>
      </c>
      <c r="D11" s="70">
        <v>0.14999999999999991</v>
      </c>
      <c r="E11" s="70">
        <v>0.81000000000000016</v>
      </c>
      <c r="F11" s="70">
        <v>0.74599999999999966</v>
      </c>
      <c r="G11" s="70">
        <v>0.4925714285714286</v>
      </c>
      <c r="H11" s="70">
        <v>0.38400000000000001</v>
      </c>
      <c r="I11" s="70">
        <v>0.57152941176470617</v>
      </c>
      <c r="M11" s="73" t="s">
        <v>41</v>
      </c>
      <c r="N11" s="74">
        <v>-0.20599999999999979</v>
      </c>
      <c r="O11" s="74">
        <v>1.6000000000000014E-2</v>
      </c>
      <c r="P11" s="74">
        <v>-6.7428571428571338E-2</v>
      </c>
      <c r="Q11" s="74">
        <v>0.14999999999999991</v>
      </c>
      <c r="R11" s="74">
        <v>-0.81000000000000016</v>
      </c>
      <c r="S11" s="74">
        <v>-0.81000000000000016</v>
      </c>
      <c r="T11" s="70">
        <v>-0.17294117647058815</v>
      </c>
      <c r="W11" s="73" t="s">
        <v>41</v>
      </c>
      <c r="X11" s="72">
        <v>4.7058823529411764E-2</v>
      </c>
      <c r="Y11" s="72">
        <v>0.8</v>
      </c>
      <c r="Z11" s="72">
        <v>0</v>
      </c>
      <c r="AA11" s="72">
        <v>0</v>
      </c>
      <c r="AB11" s="72">
        <v>0.15294117647058825</v>
      </c>
      <c r="AC11" s="72">
        <v>1</v>
      </c>
    </row>
    <row r="12" spans="2:30" ht="24" customHeight="1">
      <c r="B12" s="73" t="s">
        <v>42</v>
      </c>
      <c r="C12" s="70">
        <v>1.9300000000000002</v>
      </c>
      <c r="D12" s="70">
        <v>1.9300000000000002</v>
      </c>
      <c r="E12" s="70">
        <v>1.45</v>
      </c>
      <c r="F12" s="70">
        <v>1.8407999999999998</v>
      </c>
      <c r="G12" s="70">
        <v>0.6465714285714288</v>
      </c>
      <c r="H12" s="70">
        <v>0.8</v>
      </c>
      <c r="I12" s="70">
        <v>1.2141176470588235</v>
      </c>
      <c r="M12" s="73" t="s">
        <v>42</v>
      </c>
      <c r="N12" s="74">
        <v>-1.8407999999999998</v>
      </c>
      <c r="O12" s="74">
        <v>-0.4</v>
      </c>
      <c r="P12" s="74">
        <v>-0.50714285714285723</v>
      </c>
      <c r="Q12" s="74">
        <v>-1.9300000000000002</v>
      </c>
      <c r="R12" s="74">
        <v>-1.45</v>
      </c>
      <c r="S12" s="74">
        <v>-1.9300000000000002</v>
      </c>
      <c r="T12" s="70">
        <v>-1.1096470588235297</v>
      </c>
      <c r="W12" s="73" t="s">
        <v>42</v>
      </c>
      <c r="X12" s="72">
        <v>0.16470588235294117</v>
      </c>
      <c r="Y12" s="72">
        <v>0.50588235294117645</v>
      </c>
      <c r="Z12" s="72">
        <v>0</v>
      </c>
      <c r="AA12" s="72">
        <v>0.30588235294117649</v>
      </c>
      <c r="AB12" s="72">
        <v>2.3529411764705882E-2</v>
      </c>
      <c r="AC12" s="72">
        <v>1</v>
      </c>
    </row>
    <row r="13" spans="2:30" ht="24" customHeight="1">
      <c r="B13" s="73" t="s">
        <v>43</v>
      </c>
      <c r="C13" s="70">
        <v>3.7300000000000004</v>
      </c>
      <c r="D13" s="70">
        <v>3.7300000000000004</v>
      </c>
      <c r="E13" s="70">
        <v>3.25</v>
      </c>
      <c r="F13" s="70">
        <v>1.0184</v>
      </c>
      <c r="G13" s="70">
        <v>1.5357142857142858</v>
      </c>
      <c r="H13" s="70">
        <v>2.2000000000000002</v>
      </c>
      <c r="I13" s="70">
        <v>1.8207058823529414</v>
      </c>
      <c r="M13" s="73" t="s">
        <v>43</v>
      </c>
      <c r="N13" s="74">
        <v>-0.16400000000000017</v>
      </c>
      <c r="O13" s="74">
        <v>-2.2000000000000002</v>
      </c>
      <c r="P13" s="74">
        <v>-1.5357142857142858</v>
      </c>
      <c r="Q13" s="74">
        <v>-3.7300000000000004</v>
      </c>
      <c r="R13" s="74">
        <v>-3.25</v>
      </c>
      <c r="S13" s="74">
        <v>-3.7300000000000004</v>
      </c>
      <c r="T13" s="70">
        <v>-1.5694117647058825</v>
      </c>
      <c r="W13" s="73" t="s">
        <v>43</v>
      </c>
      <c r="X13" s="72">
        <v>0</v>
      </c>
      <c r="Y13" s="72">
        <v>0.37647058823529411</v>
      </c>
      <c r="Z13" s="72">
        <v>3.5294117647058823E-2</v>
      </c>
      <c r="AA13" s="72">
        <v>0.58823529411764708</v>
      </c>
      <c r="AB13" s="72">
        <v>0</v>
      </c>
      <c r="AC13" s="72">
        <v>1</v>
      </c>
    </row>
    <row r="14" spans="2:30" ht="24" customHeight="1">
      <c r="B14" s="73" t="s">
        <v>44</v>
      </c>
      <c r="C14" s="70">
        <v>0.68600000000000005</v>
      </c>
      <c r="D14" s="70">
        <v>0.15799999999999992</v>
      </c>
      <c r="E14" s="70">
        <v>0.68600000000000005</v>
      </c>
      <c r="F14" s="70">
        <v>0.76679999999999982</v>
      </c>
      <c r="G14" s="70">
        <v>0.59942857142857153</v>
      </c>
      <c r="H14" s="70">
        <v>0.38400000000000001</v>
      </c>
      <c r="I14" s="70">
        <v>0.6075294117647061</v>
      </c>
      <c r="M14" s="73" t="s">
        <v>44</v>
      </c>
      <c r="N14" s="74">
        <v>0.49480000000000002</v>
      </c>
      <c r="O14" s="74">
        <v>-0.35199999999999998</v>
      </c>
      <c r="P14" s="74">
        <v>-0.29999999999999988</v>
      </c>
      <c r="Q14" s="74">
        <v>0.15799999999999992</v>
      </c>
      <c r="R14" s="74">
        <v>-0.6100000000000001</v>
      </c>
      <c r="S14" s="74">
        <v>-0.6100000000000001</v>
      </c>
      <c r="T14" s="70">
        <v>-8.188235294117642E-2</v>
      </c>
      <c r="W14" s="73" t="s">
        <v>44</v>
      </c>
      <c r="X14" s="72">
        <v>0.11764705882352941</v>
      </c>
      <c r="Y14" s="72">
        <v>0.68235294117647061</v>
      </c>
      <c r="Z14" s="72">
        <v>1.1764705882352941E-2</v>
      </c>
      <c r="AA14" s="72">
        <v>0</v>
      </c>
      <c r="AB14" s="72">
        <v>0.18823529411764706</v>
      </c>
      <c r="AC14" s="72">
        <v>1</v>
      </c>
    </row>
    <row r="15" spans="2:30" ht="24" customHeight="1">
      <c r="B15" s="73" t="s">
        <v>45</v>
      </c>
      <c r="C15" s="70">
        <v>1.0980000000000001</v>
      </c>
      <c r="D15" s="70">
        <v>1.0980000000000001</v>
      </c>
      <c r="E15" s="70">
        <v>1.0980000000000001</v>
      </c>
      <c r="F15" s="70">
        <v>0.51720000000000033</v>
      </c>
      <c r="G15" s="70">
        <v>0.52399999999999991</v>
      </c>
      <c r="H15" s="70">
        <v>0.184</v>
      </c>
      <c r="I15" s="70">
        <v>0.58329411764705907</v>
      </c>
      <c r="M15" s="73" t="s">
        <v>45</v>
      </c>
      <c r="N15" s="74">
        <v>-0.27720000000000022</v>
      </c>
      <c r="O15" s="74">
        <v>-0.184</v>
      </c>
      <c r="P15" s="74">
        <v>-0.36628571428571421</v>
      </c>
      <c r="Q15" s="74">
        <v>-1.0980000000000001</v>
      </c>
      <c r="R15" s="74">
        <v>-1.0980000000000001</v>
      </c>
      <c r="S15" s="74">
        <v>-1.0980000000000001</v>
      </c>
      <c r="T15" s="70">
        <v>-0.4477647058823529</v>
      </c>
      <c r="W15" s="73" t="s">
        <v>45</v>
      </c>
      <c r="X15" s="72">
        <v>0.18823529411764706</v>
      </c>
      <c r="Y15" s="72">
        <v>0.77647058823529413</v>
      </c>
      <c r="Z15" s="72">
        <v>0</v>
      </c>
      <c r="AA15" s="72">
        <v>0</v>
      </c>
      <c r="AB15" s="72">
        <v>3.5294117647058823E-2</v>
      </c>
      <c r="AC15" s="72">
        <v>1</v>
      </c>
    </row>
    <row r="16" spans="2:30" ht="24" customHeight="1">
      <c r="B16" s="73" t="s">
        <v>46</v>
      </c>
      <c r="C16" s="70">
        <v>1.1300000000000001</v>
      </c>
      <c r="D16" s="70">
        <v>1.1300000000000001</v>
      </c>
      <c r="E16" s="70">
        <v>1.034</v>
      </c>
      <c r="F16" s="70">
        <v>0.51640000000000008</v>
      </c>
      <c r="G16" s="70">
        <v>0.35342857142857143</v>
      </c>
      <c r="H16" s="70">
        <v>0.4</v>
      </c>
      <c r="I16" s="70">
        <v>0.53823529411764737</v>
      </c>
      <c r="M16" s="73" t="s">
        <v>46</v>
      </c>
      <c r="N16" s="74">
        <v>-9.3200000000000116E-2</v>
      </c>
      <c r="O16" s="74">
        <v>0.4</v>
      </c>
      <c r="P16" s="74">
        <v>-7.4571428571428483E-2</v>
      </c>
      <c r="Q16" s="74">
        <v>-1.1300000000000001</v>
      </c>
      <c r="R16" s="74">
        <v>-1.034</v>
      </c>
      <c r="S16" s="74">
        <v>-1.1300000000000001</v>
      </c>
      <c r="T16" s="70">
        <v>-0.20482352941176471</v>
      </c>
      <c r="W16" s="73" t="s">
        <v>46</v>
      </c>
      <c r="X16" s="72">
        <v>0.18823529411764706</v>
      </c>
      <c r="Y16" s="72">
        <v>0.76470588235294112</v>
      </c>
      <c r="Z16" s="72">
        <v>0</v>
      </c>
      <c r="AA16" s="72">
        <v>0</v>
      </c>
      <c r="AB16" s="72">
        <v>4.7058823529411764E-2</v>
      </c>
      <c r="AC16" s="72">
        <v>1</v>
      </c>
    </row>
    <row r="17" spans="2:29" ht="24" customHeight="1">
      <c r="B17" s="73" t="s">
        <v>47</v>
      </c>
      <c r="C17" s="70">
        <v>1.53</v>
      </c>
      <c r="D17" s="70">
        <v>1.53</v>
      </c>
      <c r="E17" s="70">
        <v>1.05</v>
      </c>
      <c r="F17" s="70">
        <v>1.4899999999999998</v>
      </c>
      <c r="G17" s="70">
        <v>0.48200000000000004</v>
      </c>
      <c r="H17" s="70">
        <v>0.36799999999999999</v>
      </c>
      <c r="I17" s="70">
        <v>0.92176470588235304</v>
      </c>
      <c r="M17" s="73" t="s">
        <v>47</v>
      </c>
      <c r="N17" s="74">
        <v>-1.4899999999999998</v>
      </c>
      <c r="O17" s="74">
        <v>-0.36799999999999999</v>
      </c>
      <c r="P17" s="74">
        <v>-0.48200000000000004</v>
      </c>
      <c r="Q17" s="74">
        <v>-1.53</v>
      </c>
      <c r="R17" s="74">
        <v>-1.05</v>
      </c>
      <c r="S17" s="74">
        <v>-1.53</v>
      </c>
      <c r="T17" s="70">
        <v>-0.92176470588235304</v>
      </c>
      <c r="W17" s="73" t="s">
        <v>47</v>
      </c>
      <c r="X17" s="72">
        <v>0.50588235294117645</v>
      </c>
      <c r="Y17" s="72">
        <v>0.49411764705882355</v>
      </c>
      <c r="Z17" s="72">
        <v>0</v>
      </c>
      <c r="AA17" s="72">
        <v>0</v>
      </c>
      <c r="AB17" s="72">
        <v>0</v>
      </c>
      <c r="AC17" s="72">
        <v>1</v>
      </c>
    </row>
    <row r="18" spans="2:29" ht="24" customHeight="1">
      <c r="B18" s="73" t="s">
        <v>48</v>
      </c>
      <c r="C18" s="70">
        <v>4.53</v>
      </c>
      <c r="D18" s="70">
        <v>4.53</v>
      </c>
      <c r="E18" s="70">
        <v>4.05</v>
      </c>
      <c r="F18" s="70">
        <v>2.3784000000000001</v>
      </c>
      <c r="G18" s="70">
        <v>1.9928571428571429</v>
      </c>
      <c r="H18" s="70">
        <v>3</v>
      </c>
      <c r="I18" s="70">
        <v>2.6442352941176468</v>
      </c>
      <c r="M18" s="73" t="s">
        <v>48</v>
      </c>
      <c r="N18" s="74">
        <v>1.0223999999999998</v>
      </c>
      <c r="O18" s="74">
        <v>-3</v>
      </c>
      <c r="P18" s="74">
        <v>-1.9928571428571429</v>
      </c>
      <c r="Q18" s="74">
        <v>-4.53</v>
      </c>
      <c r="R18" s="74">
        <v>-4.05</v>
      </c>
      <c r="S18" s="74">
        <v>-4.53</v>
      </c>
      <c r="T18" s="70">
        <v>-1.6440000000000001</v>
      </c>
      <c r="W18" s="73" t="s">
        <v>48</v>
      </c>
      <c r="X18" s="72">
        <v>0</v>
      </c>
      <c r="Y18" s="72">
        <v>0.23529411764705882</v>
      </c>
      <c r="Z18" s="72">
        <v>0.17647058823529413</v>
      </c>
      <c r="AA18" s="72">
        <v>0.58823529411764708</v>
      </c>
      <c r="AB18" s="72">
        <v>0</v>
      </c>
      <c r="AC18" s="72">
        <v>1</v>
      </c>
    </row>
    <row r="19" spans="2:29" ht="24" customHeight="1">
      <c r="B19" s="73" t="s">
        <v>49</v>
      </c>
      <c r="C19" s="70">
        <v>0.38200000000000001</v>
      </c>
      <c r="D19" s="70">
        <v>0.36199999999999999</v>
      </c>
      <c r="E19" s="70">
        <v>0.38200000000000001</v>
      </c>
      <c r="F19" s="70">
        <v>0.60240000000000005</v>
      </c>
      <c r="G19" s="70">
        <v>0.30285714285714299</v>
      </c>
      <c r="H19" s="70">
        <v>0.20400000000000001</v>
      </c>
      <c r="I19" s="70">
        <v>0.39211764705882368</v>
      </c>
      <c r="M19" s="73" t="s">
        <v>49</v>
      </c>
      <c r="N19" s="74">
        <v>-2.3999999999999664E-3</v>
      </c>
      <c r="O19" s="74">
        <v>0.19600000000000001</v>
      </c>
      <c r="P19" s="74">
        <v>-7.7714285714285611E-2</v>
      </c>
      <c r="Q19" s="74">
        <v>0.23799999999999999</v>
      </c>
      <c r="R19" s="74">
        <v>0.21799999999999997</v>
      </c>
      <c r="S19" s="74">
        <v>0.21799999999999997</v>
      </c>
      <c r="T19" s="70">
        <v>3.0000000000000051E-2</v>
      </c>
      <c r="W19" s="73" t="s">
        <v>49</v>
      </c>
      <c r="X19" s="72">
        <v>3.5294117647058823E-2</v>
      </c>
      <c r="Y19" s="72">
        <v>0.8</v>
      </c>
      <c r="Z19" s="72">
        <v>1.7647058823529412E-2</v>
      </c>
      <c r="AA19" s="72">
        <v>0</v>
      </c>
      <c r="AB19" s="72">
        <v>0.14705882352941177</v>
      </c>
      <c r="AC19" s="72">
        <v>1</v>
      </c>
    </row>
    <row r="20" spans="2:29" ht="24" customHeight="1">
      <c r="B20" s="73" t="s">
        <v>50</v>
      </c>
      <c r="C20" s="70">
        <v>0.69300000000000017</v>
      </c>
      <c r="D20" s="70">
        <v>1.3</v>
      </c>
      <c r="E20" s="70">
        <v>0.69300000000000017</v>
      </c>
      <c r="F20" s="70">
        <v>0.77200000000000002</v>
      </c>
      <c r="G20" s="70">
        <v>0.59385714285714308</v>
      </c>
      <c r="H20" s="70">
        <v>0.28399999999999997</v>
      </c>
      <c r="I20" s="70">
        <v>0.66300000000000026</v>
      </c>
      <c r="M20" s="73" t="s">
        <v>50</v>
      </c>
      <c r="N20" s="74">
        <v>0.22800000000000004</v>
      </c>
      <c r="O20" s="74">
        <v>-0.26799999999999996</v>
      </c>
      <c r="P20" s="74">
        <v>-0.14442857142857152</v>
      </c>
      <c r="Q20" s="74">
        <v>1.3</v>
      </c>
      <c r="R20" s="74">
        <v>0.38299999999999995</v>
      </c>
      <c r="S20" s="74">
        <v>0.38299999999999995</v>
      </c>
      <c r="T20" s="70">
        <v>9.7588235294117434E-2</v>
      </c>
      <c r="W20" s="73" t="s">
        <v>50</v>
      </c>
      <c r="X20" s="72">
        <v>7.0588235294117646E-2</v>
      </c>
      <c r="Y20" s="72">
        <v>0.6470588235294118</v>
      </c>
      <c r="Z20" s="72">
        <v>6.4705882352941183E-2</v>
      </c>
      <c r="AA20" s="72">
        <v>0</v>
      </c>
      <c r="AB20" s="72">
        <v>0.21764705882352942</v>
      </c>
      <c r="AC20" s="72">
        <v>1</v>
      </c>
    </row>
    <row r="21" spans="2:29" ht="24" customHeight="1">
      <c r="B21" s="71" t="s">
        <v>32</v>
      </c>
      <c r="C21" s="70">
        <v>1.4126250000000005</v>
      </c>
      <c r="D21" s="70">
        <v>1.3281250000000002</v>
      </c>
      <c r="E21" s="70">
        <v>1.2866249999999995</v>
      </c>
      <c r="F21" s="70">
        <v>0.99467499999999931</v>
      </c>
      <c r="G21" s="70">
        <v>0.61973214285713973</v>
      </c>
      <c r="H21" s="70">
        <v>0.60500000000000009</v>
      </c>
      <c r="I21" s="70">
        <v>0.85581617647058295</v>
      </c>
      <c r="M21" s="71" t="s">
        <v>32</v>
      </c>
      <c r="N21" s="70">
        <v>-0.26742499999999941</v>
      </c>
      <c r="O21" s="70">
        <v>-0.35100000000000009</v>
      </c>
      <c r="P21" s="70">
        <v>-0.38294642857142613</v>
      </c>
      <c r="Q21" s="70">
        <v>-0.72837500000000044</v>
      </c>
      <c r="R21" s="70">
        <v>-1.0206249999999994</v>
      </c>
      <c r="S21" s="70">
        <v>-1.1466250000000002</v>
      </c>
      <c r="T21" s="70">
        <v>-0.44796323529411713</v>
      </c>
      <c r="W21" s="73" t="s">
        <v>32</v>
      </c>
      <c r="X21" s="72">
        <v>0.13897058823529412</v>
      </c>
      <c r="Y21" s="72">
        <v>0.64485294117647063</v>
      </c>
      <c r="Z21" s="72">
        <v>3.0882352941176472E-2</v>
      </c>
      <c r="AA21" s="72">
        <v>9.2647058823529416E-2</v>
      </c>
      <c r="AB21" s="72">
        <v>9.2647058823529416E-2</v>
      </c>
      <c r="AC21" s="72">
        <v>1</v>
      </c>
    </row>
    <row r="22" spans="2:29">
      <c r="B22" s="65"/>
      <c r="C22" s="65"/>
      <c r="D22" s="65"/>
      <c r="E22" s="65"/>
      <c r="F22" s="65"/>
      <c r="G22" s="65"/>
      <c r="H22" s="65"/>
      <c r="I22" s="65"/>
      <c r="M22" s="65"/>
      <c r="N22" s="65"/>
      <c r="O22" s="65"/>
      <c r="P22" s="65"/>
      <c r="Q22" s="65"/>
      <c r="R22" s="65"/>
      <c r="S22" s="65"/>
      <c r="T22" s="65"/>
    </row>
    <row r="23" spans="2:29">
      <c r="B23" s="65"/>
      <c r="C23" s="65"/>
      <c r="D23" s="65"/>
      <c r="E23" s="65"/>
      <c r="F23" s="65"/>
      <c r="G23" s="65"/>
      <c r="H23" s="65"/>
      <c r="I23" s="65"/>
      <c r="M23" s="65"/>
      <c r="N23" s="65"/>
      <c r="O23" s="65"/>
      <c r="P23" s="65"/>
      <c r="Q23" s="65"/>
      <c r="R23" s="65"/>
      <c r="S23" s="65"/>
      <c r="T23" s="65"/>
    </row>
    <row r="24" spans="2:29">
      <c r="B24" s="65"/>
      <c r="C24" s="65"/>
      <c r="D24" s="65"/>
      <c r="E24" s="65"/>
      <c r="F24" s="65"/>
      <c r="G24" s="65"/>
      <c r="H24" s="65"/>
      <c r="I24" s="65"/>
      <c r="M24" s="65"/>
      <c r="N24" s="65"/>
      <c r="O24" s="65"/>
      <c r="P24" s="65"/>
      <c r="Q24" s="65"/>
      <c r="R24" s="65"/>
      <c r="S24" s="65"/>
      <c r="T24" s="65"/>
    </row>
    <row r="25" spans="2:29">
      <c r="B25" s="65"/>
      <c r="C25" s="65"/>
      <c r="D25" s="65"/>
      <c r="E25" s="65"/>
      <c r="F25" s="65"/>
      <c r="G25" s="65"/>
      <c r="H25" s="65"/>
      <c r="I25" s="65"/>
      <c r="M25" s="65"/>
      <c r="N25" s="65"/>
      <c r="O25" s="65"/>
      <c r="P25" s="65"/>
      <c r="Q25" s="65"/>
      <c r="R25" s="65"/>
      <c r="S25" s="65"/>
      <c r="T25" s="65"/>
    </row>
    <row r="26" spans="2:29">
      <c r="B26" s="65"/>
      <c r="C26" s="65"/>
      <c r="D26" s="65"/>
      <c r="E26" s="65"/>
      <c r="F26" s="65"/>
      <c r="G26" s="65"/>
      <c r="H26" s="65"/>
      <c r="I26" s="65"/>
      <c r="M26" s="65"/>
      <c r="N26" s="65"/>
      <c r="O26" s="65"/>
      <c r="P26" s="65"/>
      <c r="Q26" s="65"/>
      <c r="R26" s="65"/>
      <c r="S26" s="65"/>
      <c r="T26" s="65"/>
    </row>
    <row r="27" spans="2:29">
      <c r="B27" s="65"/>
      <c r="C27" s="65"/>
      <c r="D27" s="65"/>
      <c r="E27" s="65"/>
      <c r="F27" s="65"/>
      <c r="G27" s="65"/>
      <c r="H27" s="65"/>
      <c r="I27" s="65"/>
      <c r="M27" s="65"/>
      <c r="N27" s="65"/>
      <c r="O27" s="65"/>
      <c r="P27" s="65"/>
      <c r="Q27" s="65"/>
      <c r="R27" s="65"/>
      <c r="S27" s="65"/>
      <c r="T27" s="65"/>
    </row>
    <row r="28" spans="2:29">
      <c r="B28" s="65"/>
      <c r="C28" s="65"/>
      <c r="D28" s="65"/>
      <c r="E28" s="65"/>
      <c r="F28" s="65"/>
      <c r="G28" s="65"/>
      <c r="H28" s="65"/>
      <c r="I28" s="65"/>
      <c r="M28" s="65"/>
      <c r="N28" s="65"/>
      <c r="O28" s="65"/>
      <c r="P28" s="65"/>
      <c r="Q28" s="65"/>
      <c r="R28" s="65"/>
      <c r="S28" s="65"/>
      <c r="T28" s="65"/>
    </row>
    <row r="29" spans="2:29">
      <c r="B29" s="65"/>
      <c r="C29" s="65"/>
      <c r="D29" s="65"/>
      <c r="E29" s="65"/>
      <c r="F29" s="65"/>
      <c r="G29" s="65"/>
      <c r="H29" s="65"/>
      <c r="I29" s="65"/>
      <c r="M29" s="65"/>
      <c r="N29" s="65"/>
      <c r="O29" s="65"/>
      <c r="P29" s="65"/>
      <c r="Q29" s="65"/>
      <c r="R29" s="65"/>
      <c r="S29" s="65"/>
      <c r="T29" s="65"/>
    </row>
    <row r="30" spans="2:29">
      <c r="B30" s="65"/>
      <c r="C30" s="65"/>
      <c r="D30" s="65"/>
      <c r="E30" s="65"/>
      <c r="F30" s="65"/>
      <c r="G30" s="65"/>
      <c r="H30" s="65"/>
      <c r="I30" s="65"/>
      <c r="M30" s="65"/>
      <c r="N30" s="65"/>
      <c r="O30" s="65"/>
      <c r="P30" s="65"/>
      <c r="Q30" s="65"/>
      <c r="R30" s="65"/>
      <c r="S30" s="65"/>
      <c r="T30" s="65"/>
    </row>
    <row r="31" spans="2:29">
      <c r="B31" s="65"/>
      <c r="C31" s="65"/>
      <c r="D31" s="65"/>
      <c r="E31" s="65"/>
      <c r="F31" s="65"/>
      <c r="G31" s="65"/>
      <c r="H31" s="65"/>
      <c r="I31" s="65"/>
      <c r="M31" s="65"/>
      <c r="N31" s="65"/>
      <c r="O31" s="65"/>
      <c r="P31" s="65"/>
      <c r="Q31" s="65"/>
      <c r="R31" s="65"/>
      <c r="S31" s="65"/>
      <c r="T31" s="65"/>
    </row>
    <row r="32" spans="2:29">
      <c r="B32" s="65"/>
      <c r="C32" s="65"/>
      <c r="D32" s="65"/>
      <c r="E32" s="65"/>
      <c r="F32" s="65"/>
      <c r="G32" s="65"/>
      <c r="H32" s="65"/>
      <c r="I32" s="65"/>
      <c r="M32" s="65"/>
      <c r="N32" s="65"/>
      <c r="O32" s="65"/>
      <c r="P32" s="65"/>
      <c r="Q32" s="65"/>
      <c r="R32" s="65"/>
      <c r="S32" s="65"/>
      <c r="T32" s="65"/>
    </row>
    <row r="33" spans="10:12" s="65" customFormat="1">
      <c r="J33" s="70"/>
      <c r="K33" s="70"/>
      <c r="L33" s="70"/>
    </row>
    <row r="34" spans="10:12" s="65" customFormat="1">
      <c r="J34" s="70"/>
      <c r="K34" s="70"/>
      <c r="L34" s="70"/>
    </row>
    <row r="35" spans="10:12" s="65" customFormat="1">
      <c r="J35" s="70"/>
      <c r="K35" s="70"/>
      <c r="L35" s="70"/>
    </row>
    <row r="36" spans="10:12" s="65" customFormat="1">
      <c r="J36" s="70"/>
      <c r="K36" s="70"/>
      <c r="L36" s="70"/>
    </row>
    <row r="37" spans="10:12" s="65" customFormat="1">
      <c r="J37" s="70"/>
      <c r="K37" s="70"/>
      <c r="L37" s="70"/>
    </row>
    <row r="38" spans="10:12" s="65" customFormat="1">
      <c r="J38" s="70"/>
      <c r="K38" s="70"/>
      <c r="L38" s="70"/>
    </row>
    <row r="39" spans="10:12" s="65" customFormat="1">
      <c r="J39" s="70"/>
      <c r="K39" s="70"/>
      <c r="L39" s="70"/>
    </row>
    <row r="40" spans="10:12" s="65" customFormat="1">
      <c r="J40" s="70"/>
      <c r="K40" s="70"/>
      <c r="L40" s="70"/>
    </row>
    <row r="41" spans="10:12" s="65" customFormat="1">
      <c r="J41" s="70"/>
      <c r="K41" s="70"/>
      <c r="L41" s="70"/>
    </row>
    <row r="42" spans="10:12" s="65" customFormat="1">
      <c r="J42" s="70"/>
      <c r="K42" s="70"/>
      <c r="L42" s="70"/>
    </row>
    <row r="43" spans="10:12" s="65" customFormat="1">
      <c r="J43" s="70"/>
      <c r="K43" s="70"/>
      <c r="L43" s="70"/>
    </row>
    <row r="44" spans="10:12" s="65" customFormat="1">
      <c r="J44" s="70"/>
      <c r="K44" s="70"/>
      <c r="L44" s="70"/>
    </row>
    <row r="45" spans="10:12" s="65" customFormat="1">
      <c r="J45" s="70"/>
      <c r="K45" s="70"/>
      <c r="L45" s="70"/>
    </row>
    <row r="46" spans="10:12" s="65" customFormat="1">
      <c r="J46" s="70"/>
      <c r="K46" s="70"/>
      <c r="L46" s="70"/>
    </row>
    <row r="47" spans="10:12" s="65" customFormat="1">
      <c r="J47" s="70"/>
      <c r="K47" s="70"/>
      <c r="L47" s="70"/>
    </row>
    <row r="48" spans="10:12" s="65" customFormat="1">
      <c r="J48" s="70"/>
      <c r="K48" s="70"/>
      <c r="L48" s="70"/>
    </row>
    <row r="49" spans="10:12" s="65" customFormat="1">
      <c r="J49" s="70"/>
      <c r="K49" s="70"/>
      <c r="L49" s="70"/>
    </row>
    <row r="50" spans="10:12" s="65" customFormat="1">
      <c r="J50" s="70"/>
      <c r="K50" s="70"/>
      <c r="L50" s="70"/>
    </row>
    <row r="51" spans="10:12" s="65" customFormat="1">
      <c r="J51" s="70"/>
      <c r="K51" s="70"/>
      <c r="L51" s="70"/>
    </row>
    <row r="52" spans="10:12" s="65" customFormat="1">
      <c r="J52" s="70"/>
      <c r="K52" s="70"/>
      <c r="L52" s="70"/>
    </row>
    <row r="53" spans="10:12" s="65" customFormat="1">
      <c r="J53" s="70"/>
      <c r="K53" s="70"/>
      <c r="L53" s="70"/>
    </row>
    <row r="54" spans="10:12" s="65" customFormat="1">
      <c r="J54" s="70"/>
      <c r="K54" s="70"/>
      <c r="L54" s="70"/>
    </row>
    <row r="55" spans="10:12" s="65" customFormat="1">
      <c r="J55" s="70"/>
      <c r="K55" s="70"/>
      <c r="L55" s="70"/>
    </row>
    <row r="56" spans="10:12" s="65" customFormat="1">
      <c r="J56" s="70"/>
      <c r="K56" s="70"/>
      <c r="L56" s="70"/>
    </row>
    <row r="57" spans="10:12" s="65" customFormat="1">
      <c r="J57" s="70"/>
      <c r="K57" s="70"/>
      <c r="L57" s="70"/>
    </row>
    <row r="58" spans="10:12" s="65" customFormat="1">
      <c r="J58" s="70"/>
      <c r="K58" s="70"/>
      <c r="L58" s="70"/>
    </row>
    <row r="59" spans="10:12" s="65" customFormat="1">
      <c r="J59" s="70"/>
      <c r="K59" s="70"/>
      <c r="L59" s="70"/>
    </row>
    <row r="60" spans="10:12" s="65" customFormat="1">
      <c r="J60" s="70"/>
      <c r="K60" s="70"/>
      <c r="L60" s="70"/>
    </row>
    <row r="61" spans="10:12" s="65" customFormat="1">
      <c r="J61" s="70"/>
      <c r="K61" s="70"/>
      <c r="L61" s="70"/>
    </row>
    <row r="62" spans="10:12" s="65" customFormat="1">
      <c r="J62" s="70"/>
      <c r="K62" s="70"/>
      <c r="L62" s="70"/>
    </row>
    <row r="63" spans="10:12" s="65" customFormat="1">
      <c r="J63" s="70"/>
      <c r="K63" s="70"/>
      <c r="L63" s="70"/>
    </row>
    <row r="64" spans="10:12" s="65" customFormat="1">
      <c r="J64" s="70"/>
      <c r="K64" s="70"/>
      <c r="L64" s="70"/>
    </row>
    <row r="65" spans="10:12" s="65" customFormat="1">
      <c r="J65" s="70"/>
      <c r="K65" s="70"/>
      <c r="L65" s="70"/>
    </row>
    <row r="66" spans="10:12" s="65" customFormat="1">
      <c r="J66" s="70"/>
      <c r="K66" s="70"/>
      <c r="L66" s="70"/>
    </row>
    <row r="67" spans="10:12" s="65" customFormat="1">
      <c r="J67" s="70"/>
      <c r="K67" s="70"/>
      <c r="L67" s="70"/>
    </row>
    <row r="68" spans="10:12" s="65" customFormat="1">
      <c r="J68" s="70"/>
      <c r="K68" s="70"/>
      <c r="L68" s="70"/>
    </row>
    <row r="69" spans="10:12" s="65" customFormat="1">
      <c r="J69" s="70"/>
      <c r="K69" s="70"/>
      <c r="L69" s="70"/>
    </row>
    <row r="70" spans="10:12" s="65" customFormat="1">
      <c r="J70" s="70"/>
      <c r="K70" s="70"/>
      <c r="L70" s="70"/>
    </row>
    <row r="71" spans="10:12" s="65" customFormat="1">
      <c r="J71" s="70"/>
      <c r="K71" s="70"/>
      <c r="L71" s="70"/>
    </row>
    <row r="72" spans="10:12" s="65" customFormat="1">
      <c r="J72" s="70"/>
      <c r="K72" s="70"/>
      <c r="L72" s="70"/>
    </row>
    <row r="73" spans="10:12" s="65" customFormat="1">
      <c r="J73" s="70"/>
      <c r="K73" s="70"/>
      <c r="L73" s="70"/>
    </row>
    <row r="74" spans="10:12" s="65" customFormat="1">
      <c r="J74" s="70"/>
      <c r="K74" s="70"/>
      <c r="L74" s="70"/>
    </row>
    <row r="75" spans="10:12" s="65" customFormat="1">
      <c r="J75" s="70"/>
      <c r="K75" s="70"/>
      <c r="L75" s="70"/>
    </row>
    <row r="76" spans="10:12" s="65" customFormat="1">
      <c r="J76" s="70"/>
      <c r="K76" s="70"/>
      <c r="L76" s="70"/>
    </row>
    <row r="77" spans="10:12" s="65" customFormat="1">
      <c r="J77" s="70"/>
      <c r="K77" s="70"/>
      <c r="L77" s="70"/>
    </row>
    <row r="78" spans="10:12" s="65" customFormat="1">
      <c r="J78" s="70"/>
      <c r="K78" s="70"/>
      <c r="L78" s="70"/>
    </row>
    <row r="79" spans="10:12" s="65" customFormat="1">
      <c r="J79" s="70"/>
      <c r="K79" s="70"/>
      <c r="L79" s="70"/>
    </row>
    <row r="80" spans="10:12" s="65" customFormat="1">
      <c r="J80" s="70"/>
      <c r="K80" s="70"/>
      <c r="L80" s="70"/>
    </row>
    <row r="81" spans="10:12" s="65" customFormat="1">
      <c r="J81" s="70"/>
      <c r="K81" s="70"/>
      <c r="L81" s="70"/>
    </row>
    <row r="82" spans="10:12" s="65" customFormat="1">
      <c r="J82" s="70"/>
      <c r="K82" s="70"/>
      <c r="L82" s="70"/>
    </row>
    <row r="83" spans="10:12" s="65" customFormat="1">
      <c r="J83" s="70"/>
      <c r="K83" s="70"/>
      <c r="L83" s="70"/>
    </row>
    <row r="84" spans="10:12" s="65" customFormat="1">
      <c r="J84" s="70"/>
      <c r="K84" s="70"/>
      <c r="L84" s="70"/>
    </row>
    <row r="85" spans="10:12" s="65" customFormat="1">
      <c r="J85" s="70"/>
      <c r="K85" s="70"/>
      <c r="L85" s="70"/>
    </row>
    <row r="86" spans="10:12" s="65" customFormat="1">
      <c r="J86" s="70"/>
      <c r="K86" s="70"/>
      <c r="L86" s="70"/>
    </row>
    <row r="87" spans="10:12" s="65" customFormat="1">
      <c r="J87" s="70"/>
      <c r="K87" s="70"/>
      <c r="L87" s="70"/>
    </row>
    <row r="88" spans="10:12" s="65" customFormat="1">
      <c r="J88" s="70"/>
      <c r="K88" s="70"/>
      <c r="L88" s="70"/>
    </row>
    <row r="89" spans="10:12" s="65" customFormat="1">
      <c r="J89" s="70"/>
      <c r="K89" s="70"/>
      <c r="L89" s="70"/>
    </row>
    <row r="90" spans="10:12" s="65" customFormat="1">
      <c r="J90" s="70"/>
      <c r="K90" s="70"/>
      <c r="L90" s="70"/>
    </row>
    <row r="91" spans="10:12" s="65" customFormat="1">
      <c r="J91" s="70"/>
      <c r="K91" s="70"/>
      <c r="L91" s="70"/>
    </row>
    <row r="92" spans="10:12" s="65" customFormat="1">
      <c r="J92" s="70"/>
      <c r="K92" s="70"/>
      <c r="L92" s="70"/>
    </row>
    <row r="93" spans="10:12" s="65" customFormat="1">
      <c r="J93" s="70"/>
      <c r="K93" s="70"/>
      <c r="L93" s="70"/>
    </row>
    <row r="94" spans="10:12" s="65" customFormat="1">
      <c r="J94" s="70"/>
      <c r="K94" s="70"/>
      <c r="L94" s="70"/>
    </row>
    <row r="95" spans="10:12" s="65" customFormat="1">
      <c r="J95" s="70"/>
      <c r="K95" s="70"/>
      <c r="L95" s="70"/>
    </row>
    <row r="96" spans="10:12" s="65" customFormat="1">
      <c r="J96" s="70"/>
      <c r="K96" s="70"/>
      <c r="L96" s="70"/>
    </row>
    <row r="97" spans="2:23">
      <c r="B97" s="65"/>
      <c r="C97" s="65"/>
      <c r="D97" s="65"/>
      <c r="E97" s="65"/>
      <c r="F97" s="65"/>
      <c r="G97" s="65"/>
      <c r="H97" s="65"/>
      <c r="I97" s="65"/>
      <c r="M97" s="65"/>
      <c r="N97" s="65"/>
      <c r="O97" s="65"/>
      <c r="P97" s="65"/>
      <c r="Q97" s="65"/>
      <c r="R97" s="65"/>
      <c r="S97" s="65"/>
      <c r="T97" s="65"/>
    </row>
    <row r="98" spans="2:23">
      <c r="B98" s="65"/>
      <c r="C98" s="65"/>
      <c r="D98" s="65"/>
      <c r="E98" s="65"/>
      <c r="F98" s="65"/>
      <c r="G98" s="65"/>
      <c r="H98" s="65"/>
      <c r="I98" s="65"/>
      <c r="M98" s="65"/>
      <c r="N98" s="65"/>
      <c r="O98" s="65"/>
      <c r="P98" s="65"/>
      <c r="Q98" s="65"/>
      <c r="R98" s="65"/>
      <c r="S98" s="65"/>
      <c r="T98" s="65"/>
    </row>
    <row r="99" spans="2:23">
      <c r="B99" s="65"/>
      <c r="C99" s="65"/>
      <c r="D99" s="65"/>
      <c r="E99" s="65"/>
      <c r="F99" s="65"/>
      <c r="G99" s="65"/>
      <c r="H99" s="65"/>
      <c r="I99" s="65"/>
      <c r="M99" s="65"/>
      <c r="N99" s="65"/>
      <c r="O99" s="65"/>
      <c r="P99" s="65"/>
      <c r="Q99" s="65"/>
      <c r="R99" s="65"/>
      <c r="S99" s="65"/>
      <c r="T99" s="65"/>
    </row>
    <row r="100" spans="2:23">
      <c r="B100" s="65"/>
      <c r="C100" s="65"/>
      <c r="D100" s="65"/>
      <c r="E100" s="65"/>
      <c r="F100" s="65"/>
      <c r="G100" s="65"/>
      <c r="H100" s="65"/>
      <c r="I100" s="65"/>
      <c r="M100" s="65"/>
      <c r="N100" s="65"/>
      <c r="O100" s="65"/>
      <c r="P100" s="65"/>
      <c r="Q100" s="65"/>
      <c r="R100" s="65"/>
      <c r="S100" s="65"/>
      <c r="T100" s="65"/>
    </row>
    <row r="101" spans="2:23">
      <c r="B101" s="65"/>
      <c r="C101" s="65"/>
      <c r="D101" s="65"/>
      <c r="E101" s="65"/>
      <c r="F101" s="65"/>
      <c r="G101" s="65"/>
      <c r="H101" s="65"/>
      <c r="I101" s="65"/>
      <c r="M101" s="65"/>
      <c r="N101" s="65"/>
      <c r="O101" s="65"/>
      <c r="P101" s="65"/>
      <c r="Q101" s="65"/>
      <c r="R101" s="65"/>
      <c r="S101" s="65"/>
      <c r="T101" s="65"/>
    </row>
    <row r="102" spans="2:23">
      <c r="B102" s="70" t="s">
        <v>19</v>
      </c>
    </row>
    <row r="103" spans="2:23">
      <c r="C103" s="70" t="s">
        <v>22</v>
      </c>
      <c r="U103" s="70"/>
      <c r="V103" s="70"/>
      <c r="W103" s="70"/>
    </row>
    <row r="104" spans="2:23">
      <c r="C104" s="70" t="s">
        <v>31</v>
      </c>
      <c r="F104" s="70" t="s">
        <v>30</v>
      </c>
      <c r="I104" s="70" t="s">
        <v>29</v>
      </c>
      <c r="L104" s="70" t="s">
        <v>28</v>
      </c>
      <c r="O104" s="70" t="s">
        <v>27</v>
      </c>
      <c r="R104" s="70" t="s">
        <v>26</v>
      </c>
      <c r="U104" s="70" t="s">
        <v>51</v>
      </c>
      <c r="V104" s="70" t="s">
        <v>52</v>
      </c>
      <c r="W104" s="70" t="s">
        <v>53</v>
      </c>
    </row>
    <row r="105" spans="2:23">
      <c r="B105" s="70" t="s">
        <v>25</v>
      </c>
      <c r="C105" s="70" t="s">
        <v>21</v>
      </c>
      <c r="D105" s="70" t="s">
        <v>54</v>
      </c>
      <c r="E105" s="70" t="s">
        <v>23</v>
      </c>
      <c r="F105" s="70" t="s">
        <v>21</v>
      </c>
      <c r="G105" s="70" t="s">
        <v>54</v>
      </c>
      <c r="H105" s="70" t="s">
        <v>23</v>
      </c>
      <c r="I105" s="70" t="s">
        <v>21</v>
      </c>
      <c r="J105" s="70" t="s">
        <v>54</v>
      </c>
      <c r="K105" s="70" t="s">
        <v>23</v>
      </c>
      <c r="L105" s="70" t="s">
        <v>21</v>
      </c>
      <c r="M105" s="70" t="s">
        <v>54</v>
      </c>
      <c r="N105" s="70" t="s">
        <v>23</v>
      </c>
      <c r="O105" s="70" t="s">
        <v>21</v>
      </c>
      <c r="P105" s="70" t="s">
        <v>54</v>
      </c>
      <c r="Q105" s="70" t="s">
        <v>23</v>
      </c>
      <c r="R105" s="70" t="s">
        <v>21</v>
      </c>
      <c r="S105" s="70" t="s">
        <v>54</v>
      </c>
      <c r="T105" s="70" t="s">
        <v>23</v>
      </c>
      <c r="U105" s="70"/>
      <c r="V105" s="70"/>
      <c r="W105" s="70"/>
    </row>
    <row r="106" spans="2:23">
      <c r="B106" s="71" t="s">
        <v>38</v>
      </c>
      <c r="C106" s="70">
        <v>0.2</v>
      </c>
      <c r="D106" s="65">
        <v>0.2</v>
      </c>
      <c r="E106" s="70">
        <v>0.2</v>
      </c>
      <c r="F106" s="70">
        <v>0.30371428571428588</v>
      </c>
      <c r="G106" s="65">
        <v>0</v>
      </c>
      <c r="H106" s="70">
        <v>-0.1642857142857142</v>
      </c>
      <c r="I106" s="70">
        <v>1.0659999999999996</v>
      </c>
      <c r="J106" s="65">
        <v>0.57999999999999996</v>
      </c>
      <c r="K106" s="70">
        <v>-0.82599999999999962</v>
      </c>
      <c r="L106" s="70">
        <v>1.3299999999999996</v>
      </c>
      <c r="M106" s="65">
        <v>0.8</v>
      </c>
      <c r="N106" s="70">
        <v>-1.3299999999999996</v>
      </c>
      <c r="O106" s="70">
        <v>0.85</v>
      </c>
      <c r="P106" s="65">
        <v>0.8</v>
      </c>
      <c r="Q106" s="70">
        <v>-0.85</v>
      </c>
      <c r="R106" s="70">
        <v>1.3299999999999996</v>
      </c>
      <c r="S106" s="65">
        <v>0.8</v>
      </c>
      <c r="T106" s="70">
        <v>-1.3299999999999996</v>
      </c>
      <c r="U106" s="70">
        <v>0.66858823529411759</v>
      </c>
      <c r="V106" s="65">
        <v>0.3352941176470588</v>
      </c>
      <c r="W106" s="70">
        <v>-0.49352941176470577</v>
      </c>
    </row>
    <row r="107" spans="2:23">
      <c r="B107" s="71" t="s">
        <v>39</v>
      </c>
      <c r="C107" s="70">
        <v>0.38400000000000001</v>
      </c>
      <c r="D107" s="65">
        <v>0.2</v>
      </c>
      <c r="E107" s="70">
        <v>1.6000000000000014E-2</v>
      </c>
      <c r="F107" s="70">
        <v>0.43542857142857139</v>
      </c>
      <c r="G107" s="65">
        <v>0.2</v>
      </c>
      <c r="H107" s="70">
        <v>-0.1245714285714285</v>
      </c>
      <c r="I107" s="70">
        <v>0.71799999999999986</v>
      </c>
      <c r="J107" s="65">
        <v>0.36</v>
      </c>
      <c r="K107" s="70">
        <v>-0.20199999999999996</v>
      </c>
      <c r="L107" s="70">
        <v>1.2100000000000002</v>
      </c>
      <c r="M107" s="65">
        <v>0.4</v>
      </c>
      <c r="N107" s="70">
        <v>-1.2100000000000002</v>
      </c>
      <c r="O107" s="70">
        <v>0.43</v>
      </c>
      <c r="P107" s="65">
        <v>0</v>
      </c>
      <c r="Q107" s="70">
        <v>-0.25000000000000011</v>
      </c>
      <c r="R107" s="70">
        <v>1.2100000000000002</v>
      </c>
      <c r="S107" s="65">
        <v>0.4</v>
      </c>
      <c r="T107" s="70">
        <v>-1.2100000000000002</v>
      </c>
      <c r="U107" s="70">
        <v>0.6032941176470592</v>
      </c>
      <c r="V107" s="65">
        <v>0.25882352941176473</v>
      </c>
      <c r="W107" s="70">
        <v>-0.2658823529411764</v>
      </c>
    </row>
    <row r="108" spans="2:23">
      <c r="B108" s="71" t="s">
        <v>40</v>
      </c>
      <c r="C108" s="70">
        <v>0.2</v>
      </c>
      <c r="D108" s="65">
        <v>0.2</v>
      </c>
      <c r="E108" s="70">
        <v>0.2</v>
      </c>
      <c r="F108" s="70">
        <v>0.45285714285714279</v>
      </c>
      <c r="G108" s="65">
        <v>8.5714285714285715E-2</v>
      </c>
      <c r="H108" s="70">
        <v>9.6285714285714363E-2</v>
      </c>
      <c r="I108" s="70">
        <v>1.0420000000000003</v>
      </c>
      <c r="J108" s="65">
        <v>0.48</v>
      </c>
      <c r="K108" s="70">
        <v>-0.3219999999999999</v>
      </c>
      <c r="L108" s="70">
        <v>1.1379999999999999</v>
      </c>
      <c r="M108" s="65">
        <v>0.4</v>
      </c>
      <c r="N108" s="70">
        <v>-0.31000000000000005</v>
      </c>
      <c r="O108" s="70">
        <v>1.5399999999999998</v>
      </c>
      <c r="P108" s="65">
        <v>0.6</v>
      </c>
      <c r="Q108" s="70">
        <v>0.8600000000000001</v>
      </c>
      <c r="R108" s="70">
        <v>1.1379999999999999</v>
      </c>
      <c r="S108" s="65">
        <v>0.4</v>
      </c>
      <c r="T108" s="70">
        <v>-0.31000000000000005</v>
      </c>
      <c r="U108" s="70">
        <v>0.74094117647058844</v>
      </c>
      <c r="V108" s="65">
        <v>0.28235294117647058</v>
      </c>
      <c r="W108" s="70">
        <v>-1.7411764705882342E-2</v>
      </c>
    </row>
    <row r="109" spans="2:23">
      <c r="B109" s="71" t="s">
        <v>42</v>
      </c>
      <c r="C109" s="70">
        <v>0.8</v>
      </c>
      <c r="D109" s="65">
        <v>0.6</v>
      </c>
      <c r="E109" s="70">
        <v>-0.4</v>
      </c>
      <c r="F109" s="70">
        <v>0.6465714285714288</v>
      </c>
      <c r="G109" s="65">
        <v>0.22857142857142856</v>
      </c>
      <c r="H109" s="70">
        <v>-0.50714285714285723</v>
      </c>
      <c r="I109" s="70">
        <v>1.8407999999999998</v>
      </c>
      <c r="J109" s="65">
        <v>0.64</v>
      </c>
      <c r="K109" s="70">
        <v>-1.8407999999999998</v>
      </c>
      <c r="L109" s="70">
        <v>1.45</v>
      </c>
      <c r="M109" s="65">
        <v>0.8</v>
      </c>
      <c r="N109" s="70">
        <v>-1.45</v>
      </c>
      <c r="O109" s="70">
        <v>1.9300000000000002</v>
      </c>
      <c r="P109" s="65">
        <v>0.8</v>
      </c>
      <c r="Q109" s="70">
        <v>-1.9300000000000002</v>
      </c>
      <c r="R109" s="70">
        <v>1.9300000000000002</v>
      </c>
      <c r="S109" s="65">
        <v>0.8</v>
      </c>
      <c r="T109" s="70">
        <v>-1.9300000000000002</v>
      </c>
      <c r="U109" s="70">
        <v>1.2141176470588235</v>
      </c>
      <c r="V109" s="65">
        <v>0.49411764705882355</v>
      </c>
      <c r="W109" s="70">
        <v>-1.1096470588235297</v>
      </c>
    </row>
    <row r="110" spans="2:23">
      <c r="B110" s="71" t="s">
        <v>43</v>
      </c>
      <c r="C110" s="70">
        <v>2.2000000000000002</v>
      </c>
      <c r="D110" s="65">
        <v>1</v>
      </c>
      <c r="E110" s="70">
        <v>-2.2000000000000002</v>
      </c>
      <c r="F110" s="70">
        <v>1.5357142857142858</v>
      </c>
      <c r="G110" s="65">
        <v>0.5714285714285714</v>
      </c>
      <c r="H110" s="70">
        <v>-1.5357142857142858</v>
      </c>
      <c r="I110" s="70">
        <v>1.0184</v>
      </c>
      <c r="J110" s="65">
        <v>0.32</v>
      </c>
      <c r="K110" s="70">
        <v>-0.16400000000000017</v>
      </c>
      <c r="L110" s="70">
        <v>3.25</v>
      </c>
      <c r="M110" s="65">
        <v>1</v>
      </c>
      <c r="N110" s="70">
        <v>-3.25</v>
      </c>
      <c r="O110" s="70">
        <v>3.7300000000000004</v>
      </c>
      <c r="P110" s="65">
        <v>1</v>
      </c>
      <c r="Q110" s="70">
        <v>-3.7300000000000004</v>
      </c>
      <c r="R110" s="70">
        <v>3.7300000000000004</v>
      </c>
      <c r="S110" s="65">
        <v>1</v>
      </c>
      <c r="T110" s="70">
        <v>-3.7300000000000004</v>
      </c>
      <c r="U110" s="70">
        <v>1.8207058823529414</v>
      </c>
      <c r="V110" s="65">
        <v>0.62352941176470589</v>
      </c>
      <c r="W110" s="70">
        <v>-1.5694117647058825</v>
      </c>
    </row>
    <row r="111" spans="2:23">
      <c r="B111" s="71" t="s">
        <v>44</v>
      </c>
      <c r="C111" s="70">
        <v>0.38400000000000001</v>
      </c>
      <c r="D111" s="65">
        <v>0</v>
      </c>
      <c r="E111" s="70">
        <v>-0.35199999999999998</v>
      </c>
      <c r="F111" s="70">
        <v>0.59942857142857153</v>
      </c>
      <c r="G111" s="65">
        <v>0.4</v>
      </c>
      <c r="H111" s="70">
        <v>-0.29999999999999988</v>
      </c>
      <c r="I111" s="70">
        <v>0.76679999999999982</v>
      </c>
      <c r="J111" s="65">
        <v>0.52</v>
      </c>
      <c r="K111" s="70">
        <v>0.49480000000000002</v>
      </c>
      <c r="L111" s="70">
        <v>0.68600000000000005</v>
      </c>
      <c r="M111" s="65">
        <v>0</v>
      </c>
      <c r="N111" s="70">
        <v>-0.6100000000000001</v>
      </c>
      <c r="O111" s="70">
        <v>0.15799999999999992</v>
      </c>
      <c r="P111" s="65">
        <v>0</v>
      </c>
      <c r="Q111" s="70">
        <v>0.15799999999999992</v>
      </c>
      <c r="R111" s="70">
        <v>0.68600000000000005</v>
      </c>
      <c r="S111" s="65">
        <v>0</v>
      </c>
      <c r="T111" s="70">
        <v>-0.6100000000000001</v>
      </c>
      <c r="U111" s="70">
        <v>0.6075294117647061</v>
      </c>
      <c r="V111" s="65">
        <v>0.31764705882352939</v>
      </c>
      <c r="W111" s="70">
        <v>-8.188235294117642E-2</v>
      </c>
    </row>
    <row r="112" spans="2:23">
      <c r="B112" s="71" t="s">
        <v>45</v>
      </c>
      <c r="C112" s="70">
        <v>0.184</v>
      </c>
      <c r="D112" s="65">
        <v>0</v>
      </c>
      <c r="E112" s="70">
        <v>-0.184</v>
      </c>
      <c r="F112" s="70">
        <v>0.52399999999999991</v>
      </c>
      <c r="G112" s="65">
        <v>0.2857142857142857</v>
      </c>
      <c r="H112" s="70">
        <v>-0.36628571428571421</v>
      </c>
      <c r="I112" s="70">
        <v>0.51720000000000033</v>
      </c>
      <c r="J112" s="65">
        <v>0.12</v>
      </c>
      <c r="K112" s="70">
        <v>-0.27720000000000022</v>
      </c>
      <c r="L112" s="70">
        <v>1.0980000000000001</v>
      </c>
      <c r="M112" s="65">
        <v>0.4</v>
      </c>
      <c r="N112" s="70">
        <v>-1.0980000000000001</v>
      </c>
      <c r="O112" s="70">
        <v>1.0980000000000001</v>
      </c>
      <c r="P112" s="65">
        <v>0.4</v>
      </c>
      <c r="Q112" s="70">
        <v>-1.0980000000000001</v>
      </c>
      <c r="R112" s="70">
        <v>1.0980000000000001</v>
      </c>
      <c r="S112" s="65">
        <v>0.4</v>
      </c>
      <c r="T112" s="70">
        <v>-1.0980000000000001</v>
      </c>
      <c r="U112" s="70">
        <v>0.58329411764705907</v>
      </c>
      <c r="V112" s="65">
        <v>0.22352941176470589</v>
      </c>
      <c r="W112" s="70">
        <v>-0.4477647058823529</v>
      </c>
    </row>
    <row r="113" spans="2:23">
      <c r="B113" s="71" t="s">
        <v>47</v>
      </c>
      <c r="C113" s="70">
        <v>0.36799999999999999</v>
      </c>
      <c r="D113" s="65">
        <v>0</v>
      </c>
      <c r="E113" s="70">
        <v>-0.36799999999999999</v>
      </c>
      <c r="F113" s="70">
        <v>0.48200000000000004</v>
      </c>
      <c r="G113" s="65">
        <v>0.22857142857142856</v>
      </c>
      <c r="H113" s="70">
        <v>-0.48200000000000004</v>
      </c>
      <c r="I113" s="70">
        <v>1.4899999999999998</v>
      </c>
      <c r="J113" s="65">
        <v>0.8</v>
      </c>
      <c r="K113" s="70">
        <v>-1.4899999999999998</v>
      </c>
      <c r="L113" s="70">
        <v>1.05</v>
      </c>
      <c r="M113" s="65">
        <v>1</v>
      </c>
      <c r="N113" s="70">
        <v>-1.05</v>
      </c>
      <c r="O113" s="70">
        <v>1.53</v>
      </c>
      <c r="P113" s="65">
        <v>1</v>
      </c>
      <c r="Q113" s="70">
        <v>-1.53</v>
      </c>
      <c r="R113" s="70">
        <v>1.53</v>
      </c>
      <c r="S113" s="65">
        <v>1</v>
      </c>
      <c r="T113" s="70">
        <v>-1.53</v>
      </c>
      <c r="U113" s="70">
        <v>0.92176470588235304</v>
      </c>
      <c r="V113" s="65">
        <v>0.50588235294117645</v>
      </c>
      <c r="W113" s="70">
        <v>-0.92176470588235304</v>
      </c>
    </row>
    <row r="114" spans="2:23">
      <c r="B114" s="71" t="s">
        <v>48</v>
      </c>
      <c r="C114" s="70">
        <v>3</v>
      </c>
      <c r="D114" s="65">
        <v>1</v>
      </c>
      <c r="E114" s="70">
        <v>-3</v>
      </c>
      <c r="F114" s="70">
        <v>1.9928571428571429</v>
      </c>
      <c r="G114" s="65">
        <v>0.5714285714285714</v>
      </c>
      <c r="H114" s="70">
        <v>-1.9928571428571429</v>
      </c>
      <c r="I114" s="70">
        <v>2.3784000000000001</v>
      </c>
      <c r="J114" s="65">
        <v>0.8</v>
      </c>
      <c r="K114" s="70">
        <v>1.0223999999999998</v>
      </c>
      <c r="L114" s="70">
        <v>4.05</v>
      </c>
      <c r="M114" s="65">
        <v>1</v>
      </c>
      <c r="N114" s="70">
        <v>-4.05</v>
      </c>
      <c r="O114" s="70">
        <v>4.53</v>
      </c>
      <c r="P114" s="65">
        <v>1</v>
      </c>
      <c r="Q114" s="70">
        <v>-4.53</v>
      </c>
      <c r="R114" s="70">
        <v>4.53</v>
      </c>
      <c r="S114" s="65">
        <v>1</v>
      </c>
      <c r="T114" s="70">
        <v>-4.53</v>
      </c>
      <c r="U114" s="70">
        <v>2.6442352941176468</v>
      </c>
      <c r="V114" s="65">
        <v>0.76470588235294112</v>
      </c>
      <c r="W114" s="70">
        <v>-1.6440000000000001</v>
      </c>
    </row>
    <row r="115" spans="2:23">
      <c r="B115" s="71" t="s">
        <v>50</v>
      </c>
      <c r="C115" s="70">
        <v>0.28399999999999997</v>
      </c>
      <c r="D115" s="65">
        <v>0</v>
      </c>
      <c r="E115" s="70">
        <v>-0.26799999999999996</v>
      </c>
      <c r="F115" s="70">
        <v>0.59385714285714308</v>
      </c>
      <c r="G115" s="65">
        <v>0.31428571428571428</v>
      </c>
      <c r="H115" s="70">
        <v>-0.14442857142857152</v>
      </c>
      <c r="I115" s="70">
        <v>0.77200000000000002</v>
      </c>
      <c r="J115" s="65">
        <v>0.44</v>
      </c>
      <c r="K115" s="70">
        <v>0.22800000000000004</v>
      </c>
      <c r="L115" s="70">
        <v>0.69300000000000017</v>
      </c>
      <c r="M115" s="65">
        <v>0.3</v>
      </c>
      <c r="N115" s="70">
        <v>0.38299999999999995</v>
      </c>
      <c r="O115" s="70">
        <v>1.3</v>
      </c>
      <c r="P115" s="65">
        <v>1</v>
      </c>
      <c r="Q115" s="70">
        <v>1.3</v>
      </c>
      <c r="R115" s="70">
        <v>0.69300000000000017</v>
      </c>
      <c r="S115" s="65">
        <v>0.3</v>
      </c>
      <c r="T115" s="70">
        <v>0.38299999999999995</v>
      </c>
      <c r="U115" s="70">
        <v>0.66300000000000026</v>
      </c>
      <c r="V115" s="65">
        <v>0.35294117647058826</v>
      </c>
      <c r="W115" s="70">
        <v>9.7588235294117434E-2</v>
      </c>
    </row>
    <row r="116" spans="2:23">
      <c r="B116" s="71" t="s">
        <v>32</v>
      </c>
      <c r="C116" s="70">
        <v>0.70733333333333337</v>
      </c>
      <c r="D116" s="65">
        <v>0.28333333333333333</v>
      </c>
      <c r="E116" s="70">
        <v>-0.53533333333333344</v>
      </c>
      <c r="F116" s="70">
        <v>0.70533333333333037</v>
      </c>
      <c r="G116" s="65">
        <v>0.26666666666666666</v>
      </c>
      <c r="H116" s="70">
        <v>-0.48580952380952158</v>
      </c>
      <c r="I116" s="70">
        <v>1.1206333333333325</v>
      </c>
      <c r="J116" s="65">
        <v>0.50666666666666671</v>
      </c>
      <c r="K116" s="70">
        <v>-0.33123333333333316</v>
      </c>
      <c r="L116" s="70">
        <v>1.4981666666666662</v>
      </c>
      <c r="M116" s="65">
        <v>0.6</v>
      </c>
      <c r="N116" s="70">
        <v>-1.2434999999999996</v>
      </c>
      <c r="O116" s="70">
        <v>1.6038333333333339</v>
      </c>
      <c r="P116" s="65">
        <v>0.7</v>
      </c>
      <c r="Q116" s="70">
        <v>-0.92916666666666703</v>
      </c>
      <c r="R116" s="70">
        <v>1.6581666666666672</v>
      </c>
      <c r="S116" s="65">
        <v>0.6</v>
      </c>
      <c r="T116" s="70">
        <v>-1.4035000000000002</v>
      </c>
      <c r="U116" s="70">
        <v>0.98325490196077869</v>
      </c>
      <c r="V116" s="65">
        <v>0.40392156862745099</v>
      </c>
      <c r="W116" s="70">
        <v>-0.57080392156862736</v>
      </c>
    </row>
    <row r="117" spans="2:23">
      <c r="B117" s="65"/>
      <c r="C117" s="65"/>
      <c r="D117" s="65"/>
      <c r="E117" s="65"/>
      <c r="F117" s="65"/>
      <c r="G117" s="65"/>
      <c r="H117" s="65"/>
      <c r="I117" s="65"/>
      <c r="J117" s="65"/>
      <c r="K117" s="65"/>
      <c r="L117" s="65"/>
      <c r="M117" s="65"/>
      <c r="N117" s="65"/>
      <c r="O117" s="65"/>
      <c r="P117" s="65"/>
      <c r="Q117" s="65"/>
      <c r="R117" s="65"/>
      <c r="S117" s="65"/>
      <c r="T117" s="65"/>
    </row>
    <row r="118" spans="2:23">
      <c r="B118" s="65"/>
      <c r="C118" s="65"/>
      <c r="D118" s="65"/>
      <c r="E118" s="65"/>
      <c r="F118" s="65"/>
      <c r="G118" s="65"/>
      <c r="H118" s="65"/>
      <c r="I118" s="65"/>
      <c r="J118" s="65"/>
      <c r="K118" s="65"/>
      <c r="L118" s="65"/>
      <c r="M118" s="65"/>
      <c r="N118" s="65"/>
      <c r="O118" s="65"/>
      <c r="P118" s="65"/>
      <c r="Q118" s="65"/>
      <c r="R118" s="65"/>
      <c r="S118" s="65"/>
      <c r="T118" s="65"/>
    </row>
    <row r="119" spans="2:23">
      <c r="B119" s="65"/>
      <c r="C119" s="65"/>
      <c r="D119" s="65"/>
      <c r="E119" s="65"/>
      <c r="F119" s="65"/>
      <c r="G119" s="65"/>
      <c r="H119" s="65"/>
      <c r="I119" s="65"/>
      <c r="J119" s="65"/>
      <c r="K119" s="65"/>
      <c r="L119" s="65"/>
      <c r="M119" s="65"/>
      <c r="N119" s="65"/>
      <c r="O119" s="65"/>
      <c r="P119" s="65"/>
      <c r="Q119" s="65"/>
      <c r="R119" s="65"/>
      <c r="S119" s="65"/>
      <c r="T119" s="65"/>
    </row>
    <row r="120" spans="2:23">
      <c r="B120" s="65"/>
      <c r="C120" s="65"/>
      <c r="D120" s="65"/>
      <c r="E120" s="65"/>
      <c r="F120" s="65"/>
      <c r="G120" s="65"/>
      <c r="H120" s="65"/>
      <c r="I120" s="65"/>
      <c r="J120" s="65"/>
      <c r="K120" s="65"/>
      <c r="L120" s="65"/>
      <c r="M120" s="65"/>
      <c r="N120" s="65"/>
      <c r="O120" s="65"/>
      <c r="P120" s="65"/>
      <c r="Q120" s="65"/>
      <c r="R120" s="65"/>
      <c r="S120" s="65"/>
      <c r="T120" s="65"/>
    </row>
    <row r="121" spans="2:23">
      <c r="B121" s="65"/>
      <c r="C121" s="65"/>
      <c r="D121" s="65"/>
      <c r="E121" s="65"/>
      <c r="F121" s="65"/>
      <c r="G121" s="65"/>
      <c r="H121" s="65"/>
      <c r="I121" s="65"/>
      <c r="J121" s="65"/>
      <c r="K121" s="65"/>
      <c r="L121" s="65"/>
      <c r="M121" s="65"/>
      <c r="N121" s="65"/>
      <c r="O121" s="65"/>
      <c r="P121" s="65"/>
      <c r="Q121" s="65"/>
      <c r="R121" s="65"/>
      <c r="S121" s="65"/>
      <c r="T121" s="65"/>
    </row>
    <row r="122" spans="2:23">
      <c r="B122" s="65"/>
      <c r="C122" s="65"/>
      <c r="D122" s="65"/>
      <c r="E122" s="65"/>
      <c r="F122" s="65"/>
      <c r="G122" s="65"/>
      <c r="H122" s="65"/>
      <c r="I122" s="65"/>
      <c r="J122" s="65"/>
      <c r="K122" s="65"/>
      <c r="L122" s="65"/>
      <c r="M122" s="65"/>
      <c r="N122" s="65"/>
      <c r="O122" s="65"/>
      <c r="P122" s="65"/>
      <c r="Q122" s="65"/>
      <c r="R122" s="65"/>
      <c r="S122" s="65"/>
      <c r="T122" s="65"/>
    </row>
    <row r="123" spans="2:23">
      <c r="B123" s="65"/>
      <c r="C123" s="65"/>
      <c r="D123" s="65"/>
      <c r="E123" s="65"/>
      <c r="F123" s="65"/>
      <c r="G123" s="65"/>
      <c r="H123" s="65"/>
      <c r="I123" s="65"/>
      <c r="J123" s="65"/>
      <c r="K123" s="65"/>
      <c r="L123" s="65"/>
      <c r="M123" s="65"/>
      <c r="N123" s="65"/>
      <c r="O123" s="65"/>
      <c r="P123" s="65"/>
      <c r="Q123" s="65"/>
      <c r="R123" s="65"/>
      <c r="S123" s="65"/>
      <c r="T123" s="65"/>
    </row>
    <row r="124" spans="2:23">
      <c r="B124" s="65"/>
      <c r="C124" s="65"/>
      <c r="D124" s="65"/>
      <c r="E124" s="65"/>
      <c r="F124" s="65"/>
      <c r="G124" s="65"/>
      <c r="H124" s="65"/>
      <c r="I124" s="65"/>
      <c r="J124" s="65"/>
      <c r="K124" s="65"/>
      <c r="L124" s="65"/>
      <c r="M124" s="65"/>
      <c r="N124" s="65"/>
      <c r="O124" s="65"/>
      <c r="P124" s="65"/>
      <c r="Q124" s="65"/>
      <c r="R124" s="65"/>
      <c r="S124" s="65"/>
      <c r="T124" s="65"/>
    </row>
    <row r="125" spans="2:23">
      <c r="B125" s="65"/>
      <c r="C125" s="65"/>
      <c r="D125" s="65"/>
      <c r="E125" s="65"/>
      <c r="F125" s="65"/>
      <c r="G125" s="65"/>
      <c r="H125" s="65"/>
      <c r="I125" s="65"/>
      <c r="J125" s="65"/>
      <c r="K125" s="65"/>
      <c r="L125" s="65"/>
      <c r="M125" s="65"/>
      <c r="N125" s="65"/>
      <c r="O125" s="65"/>
      <c r="P125" s="65"/>
      <c r="Q125" s="65"/>
      <c r="R125" s="65"/>
      <c r="S125" s="65"/>
      <c r="T125" s="65"/>
    </row>
    <row r="126" spans="2:23">
      <c r="B126" s="65"/>
      <c r="C126" s="65"/>
      <c r="D126" s="65"/>
      <c r="E126" s="65"/>
      <c r="F126" s="65"/>
      <c r="G126" s="65"/>
      <c r="H126" s="65"/>
      <c r="I126" s="65"/>
      <c r="J126" s="65"/>
      <c r="K126" s="65"/>
      <c r="L126" s="65"/>
      <c r="M126" s="65"/>
      <c r="N126" s="65"/>
      <c r="O126" s="65"/>
      <c r="P126" s="65"/>
      <c r="Q126" s="65"/>
      <c r="R126" s="65"/>
      <c r="S126" s="65"/>
      <c r="T126" s="65"/>
    </row>
    <row r="127" spans="2:23">
      <c r="B127" s="65"/>
      <c r="C127" s="65"/>
      <c r="D127" s="65"/>
      <c r="E127" s="65"/>
      <c r="F127" s="65"/>
      <c r="G127" s="65"/>
      <c r="H127" s="65"/>
      <c r="I127" s="65"/>
      <c r="J127" s="65"/>
      <c r="K127" s="65"/>
      <c r="L127" s="65"/>
      <c r="M127" s="65"/>
      <c r="N127" s="65"/>
      <c r="O127" s="65"/>
      <c r="P127" s="65"/>
      <c r="Q127" s="65"/>
      <c r="R127" s="65"/>
      <c r="S127" s="65"/>
      <c r="T127" s="65"/>
    </row>
    <row r="128" spans="2:23">
      <c r="B128" s="65"/>
      <c r="C128" s="65"/>
      <c r="D128" s="65"/>
      <c r="E128" s="65"/>
      <c r="F128" s="65"/>
      <c r="G128" s="65"/>
      <c r="H128" s="65"/>
      <c r="I128" s="65"/>
      <c r="J128" s="65"/>
      <c r="K128" s="65"/>
      <c r="L128" s="65"/>
      <c r="M128" s="65"/>
      <c r="N128" s="65"/>
      <c r="O128" s="65"/>
      <c r="P128" s="65"/>
      <c r="Q128" s="65"/>
      <c r="R128" s="65"/>
      <c r="S128" s="65"/>
      <c r="T128" s="65"/>
    </row>
    <row r="129" s="65" customFormat="1"/>
    <row r="130" s="65" customFormat="1"/>
    <row r="131" s="65" customFormat="1"/>
    <row r="132" s="65" customFormat="1"/>
    <row r="133" s="65" customFormat="1"/>
    <row r="134" s="65" customFormat="1"/>
    <row r="135" s="65" customFormat="1"/>
    <row r="136" s="65" customFormat="1"/>
    <row r="137" s="65" customFormat="1"/>
    <row r="138" s="65" customFormat="1"/>
    <row r="139" s="65" customFormat="1"/>
    <row r="140" s="65" customFormat="1"/>
    <row r="141" s="65" customFormat="1"/>
    <row r="142" s="65" customFormat="1"/>
    <row r="143" s="65" customFormat="1"/>
    <row r="144" s="65" customFormat="1"/>
    <row r="145" s="65" customFormat="1"/>
    <row r="146" s="65" customFormat="1"/>
    <row r="147" s="65" customFormat="1"/>
    <row r="148" s="65" customFormat="1"/>
    <row r="149" s="65" customFormat="1"/>
    <row r="150" s="65" customFormat="1"/>
    <row r="151" s="65" customFormat="1"/>
    <row r="152" s="65" customFormat="1"/>
    <row r="153" s="65" customFormat="1"/>
    <row r="154" s="65" customFormat="1"/>
    <row r="155" s="65" customFormat="1"/>
    <row r="156" s="65" customFormat="1"/>
    <row r="157" s="65" customFormat="1"/>
    <row r="158" s="65" customFormat="1"/>
    <row r="159" s="65" customFormat="1"/>
    <row r="160" s="65" customFormat="1"/>
    <row r="161" s="65" customFormat="1"/>
    <row r="162" s="65" customFormat="1"/>
    <row r="163" s="65" customFormat="1"/>
    <row r="164" s="65" customFormat="1"/>
    <row r="165" s="65" customFormat="1"/>
    <row r="166" s="65" customFormat="1"/>
    <row r="167" s="65" customFormat="1"/>
    <row r="168" s="65" customFormat="1"/>
    <row r="169" s="65" customFormat="1"/>
    <row r="170" s="65" customFormat="1"/>
    <row r="171" s="65" customFormat="1"/>
    <row r="172" s="65" customFormat="1"/>
    <row r="173" s="65" customFormat="1"/>
    <row r="174" s="65" customFormat="1"/>
    <row r="175" s="65" customFormat="1"/>
    <row r="176" s="65" customFormat="1"/>
    <row r="177" s="65" customFormat="1"/>
    <row r="178" s="65" customFormat="1"/>
    <row r="179" s="65" customFormat="1"/>
    <row r="180" s="65" customFormat="1"/>
    <row r="181" s="65" customFormat="1"/>
    <row r="182" s="65" customFormat="1"/>
    <row r="183" s="65" customFormat="1"/>
    <row r="184" s="65" customFormat="1"/>
    <row r="185" s="65" customFormat="1"/>
    <row r="186" s="65" customFormat="1"/>
    <row r="187" s="65" customFormat="1"/>
    <row r="188" s="65" customFormat="1"/>
    <row r="189" s="65" customFormat="1"/>
    <row r="190" s="65" customFormat="1"/>
    <row r="191" s="65" customFormat="1"/>
    <row r="192" s="65" customFormat="1"/>
    <row r="193" spans="2:52">
      <c r="B193" s="65"/>
      <c r="C193" s="65"/>
      <c r="D193" s="65"/>
      <c r="E193" s="65"/>
      <c r="F193" s="65"/>
      <c r="G193" s="65"/>
      <c r="H193" s="65"/>
      <c r="I193" s="65"/>
      <c r="J193" s="65"/>
      <c r="K193" s="65"/>
      <c r="L193" s="65"/>
      <c r="M193" s="65"/>
      <c r="N193" s="65"/>
      <c r="O193" s="65"/>
      <c r="P193" s="65"/>
      <c r="Q193" s="65"/>
      <c r="R193" s="65"/>
      <c r="S193" s="65"/>
      <c r="T193" s="65"/>
    </row>
    <row r="194" spans="2:52">
      <c r="B194" s="65"/>
      <c r="C194" s="65"/>
      <c r="D194" s="65"/>
      <c r="E194" s="65"/>
      <c r="F194" s="65"/>
      <c r="G194" s="65"/>
      <c r="H194" s="65"/>
      <c r="I194" s="65"/>
      <c r="J194" s="65"/>
      <c r="K194" s="65"/>
      <c r="L194" s="65"/>
      <c r="M194" s="65"/>
      <c r="N194" s="65"/>
      <c r="O194" s="65"/>
      <c r="P194" s="65"/>
      <c r="Q194" s="65"/>
      <c r="R194" s="65"/>
      <c r="S194" s="65"/>
      <c r="T194" s="65"/>
    </row>
    <row r="195" spans="2:52">
      <c r="B195" s="65"/>
      <c r="C195" s="65"/>
      <c r="D195" s="65"/>
      <c r="E195" s="65"/>
      <c r="F195" s="65"/>
      <c r="G195" s="65"/>
      <c r="H195" s="65"/>
      <c r="I195" s="65"/>
      <c r="J195" s="65"/>
      <c r="K195" s="65"/>
      <c r="L195" s="65"/>
      <c r="M195" s="65"/>
      <c r="N195" s="65"/>
      <c r="O195" s="65"/>
      <c r="P195" s="65"/>
      <c r="Q195" s="65"/>
      <c r="R195" s="65"/>
      <c r="S195" s="65"/>
      <c r="T195" s="65"/>
    </row>
    <row r="196" spans="2:52">
      <c r="B196" s="65"/>
      <c r="C196" s="65"/>
      <c r="D196" s="65"/>
      <c r="E196" s="65"/>
      <c r="F196" s="65"/>
      <c r="G196" s="65"/>
      <c r="H196" s="65"/>
      <c r="I196" s="65"/>
      <c r="J196" s="65"/>
      <c r="K196" s="65"/>
      <c r="L196" s="65"/>
      <c r="M196" s="65"/>
      <c r="N196" s="65"/>
      <c r="O196" s="65"/>
      <c r="P196" s="65"/>
      <c r="Q196" s="65"/>
      <c r="R196" s="65"/>
      <c r="S196" s="65"/>
      <c r="T196" s="65"/>
    </row>
    <row r="197" spans="2:52">
      <c r="B197" s="65"/>
      <c r="C197" s="65"/>
      <c r="D197" s="65"/>
      <c r="E197" s="65"/>
      <c r="F197" s="65"/>
      <c r="G197" s="65"/>
      <c r="H197" s="65"/>
      <c r="I197" s="65"/>
      <c r="J197" s="65"/>
      <c r="K197" s="65"/>
      <c r="L197" s="65"/>
      <c r="M197" s="65"/>
      <c r="N197" s="65"/>
      <c r="O197" s="65"/>
      <c r="P197" s="65"/>
      <c r="Q197" s="65"/>
      <c r="R197" s="65"/>
      <c r="S197" s="65"/>
      <c r="T197" s="65"/>
    </row>
    <row r="198" spans="2:52">
      <c r="B198" s="65"/>
      <c r="C198" s="65"/>
      <c r="D198" s="65"/>
      <c r="E198" s="65"/>
      <c r="F198" s="65"/>
      <c r="G198" s="65"/>
      <c r="H198" s="65"/>
      <c r="I198" s="65"/>
      <c r="J198" s="65"/>
      <c r="K198" s="65"/>
      <c r="L198" s="65"/>
      <c r="M198" s="65"/>
      <c r="N198" s="65"/>
      <c r="O198" s="65"/>
      <c r="P198" s="65"/>
      <c r="Q198" s="65"/>
      <c r="R198" s="65"/>
      <c r="S198" s="65"/>
      <c r="T198" s="65"/>
    </row>
    <row r="199" spans="2:52">
      <c r="B199" s="65"/>
      <c r="C199" s="65"/>
      <c r="D199" s="65"/>
      <c r="E199" s="65"/>
      <c r="F199" s="65"/>
      <c r="G199" s="65"/>
      <c r="H199" s="65"/>
      <c r="I199" s="65"/>
      <c r="J199" s="65"/>
      <c r="K199" s="65"/>
      <c r="L199" s="65"/>
      <c r="M199" s="65"/>
      <c r="N199" s="65"/>
      <c r="O199" s="65"/>
      <c r="P199" s="65"/>
      <c r="Q199" s="65"/>
      <c r="R199" s="65"/>
      <c r="S199" s="65"/>
      <c r="T199" s="65"/>
    </row>
    <row r="200" spans="2:52">
      <c r="B200" s="65"/>
      <c r="C200" s="65"/>
      <c r="D200" s="65"/>
      <c r="E200" s="65"/>
      <c r="F200" s="65"/>
      <c r="G200" s="65"/>
      <c r="H200" s="65"/>
      <c r="I200" s="65"/>
      <c r="J200" s="65"/>
      <c r="K200" s="65"/>
      <c r="L200" s="65"/>
      <c r="M200" s="65"/>
      <c r="N200" s="65"/>
      <c r="O200" s="65"/>
      <c r="P200" s="65"/>
      <c r="Q200" s="65"/>
      <c r="R200" s="65"/>
      <c r="S200" s="65"/>
      <c r="T200" s="65"/>
    </row>
    <row r="201" spans="2:52">
      <c r="B201" s="65"/>
      <c r="C201" s="65"/>
      <c r="D201" s="65"/>
      <c r="E201" s="65"/>
      <c r="F201" s="65"/>
      <c r="G201" s="65"/>
      <c r="H201" s="65"/>
      <c r="I201" s="65"/>
      <c r="J201" s="65"/>
      <c r="K201" s="65"/>
      <c r="L201" s="65"/>
      <c r="M201" s="65"/>
      <c r="N201" s="65"/>
      <c r="O201" s="65"/>
      <c r="P201" s="65"/>
      <c r="Q201" s="65"/>
      <c r="R201" s="65"/>
      <c r="S201" s="65"/>
      <c r="T201" s="65"/>
    </row>
    <row r="202" spans="2:52">
      <c r="B202" s="65"/>
      <c r="C202" s="65"/>
      <c r="D202" s="65"/>
      <c r="E202" s="65"/>
      <c r="F202" s="65"/>
      <c r="G202" s="65"/>
      <c r="H202" s="65"/>
      <c r="I202" s="65"/>
      <c r="J202" s="65"/>
      <c r="K202" s="65"/>
      <c r="L202" s="65"/>
      <c r="M202" s="65"/>
      <c r="N202" s="65"/>
      <c r="O202" s="65"/>
      <c r="P202" s="65"/>
      <c r="Q202" s="65"/>
      <c r="R202" s="65"/>
      <c r="S202" s="65"/>
      <c r="T202" s="65"/>
    </row>
    <row r="203" spans="2:52">
      <c r="B203" s="65"/>
      <c r="C203" s="65"/>
      <c r="D203" s="65"/>
      <c r="E203" s="65"/>
      <c r="F203" s="65"/>
      <c r="G203" s="65"/>
      <c r="H203" s="65"/>
      <c r="I203" s="65"/>
      <c r="J203" s="65"/>
      <c r="K203" s="65"/>
      <c r="L203" s="65"/>
      <c r="M203" s="65"/>
      <c r="N203" s="65"/>
      <c r="O203" s="65"/>
      <c r="P203" s="65"/>
      <c r="Q203" s="65"/>
      <c r="R203" s="65"/>
      <c r="S203" s="65"/>
      <c r="T203" s="65"/>
    </row>
    <row r="204" spans="2:52">
      <c r="B204" s="65"/>
      <c r="C204" s="65"/>
      <c r="D204" s="65"/>
      <c r="E204" s="65"/>
      <c r="F204" s="65"/>
      <c r="G204" s="65"/>
      <c r="H204" s="65"/>
      <c r="I204" s="65"/>
      <c r="J204" s="65"/>
      <c r="K204" s="65"/>
      <c r="L204" s="65"/>
      <c r="M204" s="65"/>
      <c r="N204" s="65"/>
      <c r="O204" s="65"/>
      <c r="P204" s="65"/>
      <c r="Q204" s="65"/>
      <c r="R204" s="65"/>
      <c r="S204" s="65"/>
      <c r="T204" s="65"/>
    </row>
    <row r="205" spans="2:52">
      <c r="B205" s="65"/>
      <c r="C205" s="65"/>
      <c r="D205" s="65"/>
      <c r="E205" s="65"/>
      <c r="F205" s="65"/>
      <c r="G205" s="65"/>
      <c r="H205" s="65"/>
      <c r="I205" s="65"/>
      <c r="J205" s="65"/>
      <c r="K205" s="65"/>
      <c r="L205" s="65"/>
      <c r="M205" s="65"/>
      <c r="N205" s="65"/>
      <c r="O205" s="65"/>
      <c r="P205" s="65"/>
      <c r="Q205" s="65"/>
      <c r="R205" s="65"/>
      <c r="S205" s="65"/>
      <c r="T205" s="65"/>
    </row>
    <row r="206" spans="2:52">
      <c r="B206" s="65"/>
      <c r="C206" s="70" t="s">
        <v>20</v>
      </c>
      <c r="U206" s="70"/>
    </row>
    <row r="207" spans="2:52">
      <c r="B207" s="65"/>
      <c r="D207" s="70" t="s">
        <v>22</v>
      </c>
      <c r="U207" s="70"/>
      <c r="V207" s="70"/>
      <c r="W207" s="70"/>
      <c r="X207" s="70"/>
      <c r="Y207" s="70"/>
      <c r="Z207" s="70"/>
      <c r="AA207" s="70"/>
      <c r="AB207" s="70"/>
      <c r="AC207" s="70"/>
      <c r="AD207" s="70"/>
      <c r="AE207" s="70"/>
      <c r="AF207" s="70"/>
      <c r="AG207" s="70"/>
      <c r="AH207" s="70"/>
      <c r="AI207" s="70"/>
      <c r="AJ207" s="70"/>
      <c r="AK207" s="70"/>
      <c r="AL207" s="70"/>
      <c r="AM207" s="70"/>
      <c r="AN207" s="70"/>
      <c r="AO207" s="70"/>
      <c r="AP207" s="70"/>
      <c r="AQ207" s="70"/>
      <c r="AR207" s="70"/>
      <c r="AS207" s="70"/>
      <c r="AT207" s="70"/>
      <c r="AU207" s="70"/>
      <c r="AV207" s="70"/>
      <c r="AW207" s="70"/>
      <c r="AX207" s="70"/>
      <c r="AY207" s="70"/>
      <c r="AZ207" s="70"/>
    </row>
    <row r="208" spans="2:52">
      <c r="B208" s="65"/>
      <c r="D208" s="70" t="s">
        <v>31</v>
      </c>
      <c r="K208" s="70" t="s">
        <v>30</v>
      </c>
      <c r="R208" s="70" t="s">
        <v>29</v>
      </c>
      <c r="U208" s="70"/>
      <c r="V208" s="70"/>
      <c r="W208" s="70"/>
      <c r="X208" s="70"/>
      <c r="Y208" s="70" t="s">
        <v>28</v>
      </c>
      <c r="Z208" s="70"/>
      <c r="AA208" s="70"/>
      <c r="AB208" s="70"/>
      <c r="AC208" s="70"/>
      <c r="AD208" s="70"/>
      <c r="AE208" s="70"/>
      <c r="AF208" s="70" t="s">
        <v>27</v>
      </c>
      <c r="AG208" s="70"/>
      <c r="AH208" s="70"/>
      <c r="AI208" s="70"/>
      <c r="AJ208" s="70"/>
      <c r="AK208" s="70"/>
      <c r="AL208" s="70"/>
      <c r="AM208" s="70" t="s">
        <v>26</v>
      </c>
      <c r="AN208" s="70"/>
      <c r="AO208" s="70"/>
      <c r="AP208" s="70"/>
      <c r="AQ208" s="70"/>
      <c r="AR208" s="70"/>
      <c r="AS208" s="70"/>
      <c r="AT208" s="70" t="s">
        <v>55</v>
      </c>
      <c r="AU208" s="70" t="s">
        <v>56</v>
      </c>
      <c r="AV208" s="70" t="s">
        <v>53</v>
      </c>
      <c r="AW208" s="70" t="s">
        <v>51</v>
      </c>
      <c r="AX208" s="70" t="s">
        <v>52</v>
      </c>
      <c r="AY208" s="70" t="s">
        <v>57</v>
      </c>
      <c r="AZ208" s="70" t="s">
        <v>58</v>
      </c>
    </row>
    <row r="209" spans="2:52">
      <c r="B209" s="65"/>
      <c r="C209" s="70" t="s">
        <v>25</v>
      </c>
      <c r="D209" s="70" t="s">
        <v>59</v>
      </c>
      <c r="E209" s="70" t="s">
        <v>60</v>
      </c>
      <c r="F209" s="70" t="s">
        <v>23</v>
      </c>
      <c r="G209" s="70" t="s">
        <v>21</v>
      </c>
      <c r="H209" s="70" t="s">
        <v>54</v>
      </c>
      <c r="I209" s="70" t="s">
        <v>61</v>
      </c>
      <c r="J209" s="70" t="s">
        <v>62</v>
      </c>
      <c r="K209" s="70" t="s">
        <v>59</v>
      </c>
      <c r="L209" s="70" t="s">
        <v>60</v>
      </c>
      <c r="M209" s="70" t="s">
        <v>23</v>
      </c>
      <c r="N209" s="70" t="s">
        <v>21</v>
      </c>
      <c r="O209" s="70" t="s">
        <v>54</v>
      </c>
      <c r="P209" s="70" t="s">
        <v>61</v>
      </c>
      <c r="Q209" s="70" t="s">
        <v>62</v>
      </c>
      <c r="R209" s="70" t="s">
        <v>59</v>
      </c>
      <c r="S209" s="70" t="s">
        <v>60</v>
      </c>
      <c r="T209" s="70" t="s">
        <v>23</v>
      </c>
      <c r="U209" s="70" t="s">
        <v>21</v>
      </c>
      <c r="V209" s="70" t="s">
        <v>54</v>
      </c>
      <c r="W209" s="70" t="s">
        <v>61</v>
      </c>
      <c r="X209" s="70" t="s">
        <v>62</v>
      </c>
      <c r="Y209" s="70" t="s">
        <v>59</v>
      </c>
      <c r="Z209" s="70" t="s">
        <v>60</v>
      </c>
      <c r="AA209" s="70" t="s">
        <v>23</v>
      </c>
      <c r="AB209" s="70" t="s">
        <v>21</v>
      </c>
      <c r="AC209" s="70" t="s">
        <v>54</v>
      </c>
      <c r="AD209" s="70" t="s">
        <v>61</v>
      </c>
      <c r="AE209" s="70" t="s">
        <v>62</v>
      </c>
      <c r="AF209" s="70" t="s">
        <v>59</v>
      </c>
      <c r="AG209" s="70" t="s">
        <v>60</v>
      </c>
      <c r="AH209" s="70" t="s">
        <v>23</v>
      </c>
      <c r="AI209" s="70" t="s">
        <v>21</v>
      </c>
      <c r="AJ209" s="70" t="s">
        <v>54</v>
      </c>
      <c r="AK209" s="70" t="s">
        <v>61</v>
      </c>
      <c r="AL209" s="70" t="s">
        <v>62</v>
      </c>
      <c r="AM209" s="70" t="s">
        <v>59</v>
      </c>
      <c r="AN209" s="70" t="s">
        <v>60</v>
      </c>
      <c r="AO209" s="70" t="s">
        <v>23</v>
      </c>
      <c r="AP209" s="70" t="s">
        <v>21</v>
      </c>
      <c r="AQ209" s="70" t="s">
        <v>54</v>
      </c>
      <c r="AR209" s="70" t="s">
        <v>61</v>
      </c>
      <c r="AS209" s="70" t="s">
        <v>62</v>
      </c>
      <c r="AT209" s="70"/>
      <c r="AU209" s="70"/>
      <c r="AV209" s="70"/>
      <c r="AW209" s="70"/>
      <c r="AX209" s="70"/>
      <c r="AY209" s="70"/>
      <c r="AZ209" s="70"/>
    </row>
    <row r="210" spans="2:52">
      <c r="B210" s="65"/>
      <c r="C210" s="71" t="s">
        <v>38</v>
      </c>
      <c r="D210" s="70">
        <v>1.8</v>
      </c>
      <c r="E210" s="70">
        <v>2</v>
      </c>
      <c r="F210" s="70">
        <v>0.2</v>
      </c>
      <c r="G210" s="70">
        <v>0.2</v>
      </c>
      <c r="H210" s="72">
        <v>0.72727272727272729</v>
      </c>
      <c r="I210" s="72">
        <v>0</v>
      </c>
      <c r="J210" s="72">
        <v>1</v>
      </c>
      <c r="K210" s="70">
        <v>2.7428571428571429</v>
      </c>
      <c r="L210" s="70">
        <v>2.5785714285714287</v>
      </c>
      <c r="M210" s="70">
        <v>-0.1642857142857142</v>
      </c>
      <c r="N210" s="70">
        <v>0.30371428571428588</v>
      </c>
      <c r="O210" s="72">
        <v>0</v>
      </c>
      <c r="P210" s="72">
        <v>0</v>
      </c>
      <c r="Q210" s="72">
        <v>1</v>
      </c>
      <c r="R210" s="70">
        <v>3.18</v>
      </c>
      <c r="S210" s="70">
        <v>2.354000000000001</v>
      </c>
      <c r="T210" s="70">
        <v>-0.82599999999999962</v>
      </c>
      <c r="U210" s="70">
        <v>1.0659999999999996</v>
      </c>
      <c r="V210" s="72">
        <v>1.2960893854748603</v>
      </c>
      <c r="W210" s="72">
        <v>0.46</v>
      </c>
      <c r="X210" s="72">
        <v>0.54</v>
      </c>
      <c r="Y210" s="70">
        <v>1.8</v>
      </c>
      <c r="Z210" s="70">
        <v>0.46999999999999986</v>
      </c>
      <c r="AA210" s="70">
        <v>-1.3299999999999996</v>
      </c>
      <c r="AB210" s="70">
        <v>1.3299999999999996</v>
      </c>
      <c r="AC210" s="72">
        <v>1.5238095238095237</v>
      </c>
      <c r="AD210" s="72">
        <v>0.8</v>
      </c>
      <c r="AE210" s="72">
        <v>0.2</v>
      </c>
      <c r="AF210" s="70">
        <v>1.8</v>
      </c>
      <c r="AG210" s="70">
        <v>0.95</v>
      </c>
      <c r="AH210" s="70">
        <v>-0.85</v>
      </c>
      <c r="AI210" s="70">
        <v>0.85</v>
      </c>
      <c r="AJ210" s="72">
        <v>1.3333333333333335</v>
      </c>
      <c r="AK210" s="72">
        <v>0.8</v>
      </c>
      <c r="AL210" s="72">
        <v>0.2</v>
      </c>
      <c r="AM210" s="70">
        <v>1.8</v>
      </c>
      <c r="AN210" s="70">
        <v>0.46999999999999986</v>
      </c>
      <c r="AO210" s="70">
        <v>-1.3299999999999996</v>
      </c>
      <c r="AP210" s="70">
        <v>1.3299999999999996</v>
      </c>
      <c r="AQ210" s="72">
        <v>1.5238095238095237</v>
      </c>
      <c r="AR210" s="72">
        <v>0.8</v>
      </c>
      <c r="AS210" s="72">
        <v>0.2</v>
      </c>
      <c r="AT210" s="70">
        <v>2.5941176470588236</v>
      </c>
      <c r="AU210" s="70">
        <v>2.1005882352941185</v>
      </c>
      <c r="AV210" s="70">
        <v>-0.49352941176470577</v>
      </c>
      <c r="AW210" s="70">
        <v>0.66858823529411759</v>
      </c>
      <c r="AX210" s="72">
        <v>0.94409937888198747</v>
      </c>
      <c r="AY210" s="72">
        <v>0.27647058823529413</v>
      </c>
      <c r="AZ210" s="72">
        <v>0.72352941176470587</v>
      </c>
    </row>
    <row r="211" spans="2:52">
      <c r="B211" s="65"/>
      <c r="C211" s="71" t="s">
        <v>39</v>
      </c>
      <c r="D211" s="70">
        <v>1.8</v>
      </c>
      <c r="E211" s="70">
        <v>1.8159999999999996</v>
      </c>
      <c r="F211" s="70">
        <v>1.6000000000000014E-2</v>
      </c>
      <c r="G211" s="70">
        <v>0.38400000000000001</v>
      </c>
      <c r="H211" s="72">
        <v>0.72727272727272729</v>
      </c>
      <c r="I211" s="72">
        <v>0</v>
      </c>
      <c r="J211" s="72">
        <v>1</v>
      </c>
      <c r="K211" s="70">
        <v>2.8</v>
      </c>
      <c r="L211" s="70">
        <v>2.6754285714285708</v>
      </c>
      <c r="M211" s="70">
        <v>-0.1245714285714285</v>
      </c>
      <c r="N211" s="70">
        <v>0.43542857142857139</v>
      </c>
      <c r="O211" s="72">
        <v>0.87500000000000011</v>
      </c>
      <c r="P211" s="72">
        <v>0.11428571428571428</v>
      </c>
      <c r="Q211" s="72">
        <v>0.88571428571428568</v>
      </c>
      <c r="R211" s="70">
        <v>3.48</v>
      </c>
      <c r="S211" s="70">
        <v>3.2780000000000014</v>
      </c>
      <c r="T211" s="70">
        <v>-0.20199999999999996</v>
      </c>
      <c r="U211" s="70">
        <v>0.71799999999999986</v>
      </c>
      <c r="V211" s="72">
        <v>0.80446927374301669</v>
      </c>
      <c r="W211" s="72">
        <v>0.12</v>
      </c>
      <c r="X211" s="72">
        <v>0.88</v>
      </c>
      <c r="Y211" s="70">
        <v>2.4</v>
      </c>
      <c r="Z211" s="70">
        <v>1.19</v>
      </c>
      <c r="AA211" s="70">
        <v>-1.2100000000000002</v>
      </c>
      <c r="AB211" s="70">
        <v>1.2100000000000002</v>
      </c>
      <c r="AC211" s="72">
        <v>0.76190476190476186</v>
      </c>
      <c r="AD211" s="72">
        <v>0.4</v>
      </c>
      <c r="AE211" s="72">
        <v>0.6</v>
      </c>
      <c r="AF211" s="70">
        <v>2.4</v>
      </c>
      <c r="AG211" s="70">
        <v>2.15</v>
      </c>
      <c r="AH211" s="70">
        <v>-0.25000000000000011</v>
      </c>
      <c r="AI211" s="70">
        <v>0.43</v>
      </c>
      <c r="AJ211" s="72">
        <v>0</v>
      </c>
      <c r="AK211" s="72">
        <v>0</v>
      </c>
      <c r="AL211" s="72">
        <v>1</v>
      </c>
      <c r="AM211" s="70">
        <v>2.4</v>
      </c>
      <c r="AN211" s="70">
        <v>1.19</v>
      </c>
      <c r="AO211" s="70">
        <v>-1.2100000000000002</v>
      </c>
      <c r="AP211" s="70">
        <v>1.2100000000000002</v>
      </c>
      <c r="AQ211" s="72">
        <v>0.76190476190476186</v>
      </c>
      <c r="AR211" s="72">
        <v>0.4</v>
      </c>
      <c r="AS211" s="72">
        <v>0.6</v>
      </c>
      <c r="AT211" s="70">
        <v>2.8117647058823527</v>
      </c>
      <c r="AU211" s="70">
        <v>2.5458823529411774</v>
      </c>
      <c r="AV211" s="70">
        <v>-0.2658823529411764</v>
      </c>
      <c r="AW211" s="70">
        <v>0.6032941176470592</v>
      </c>
      <c r="AX211" s="72">
        <v>0.72877846790890277</v>
      </c>
      <c r="AY211" s="72">
        <v>0.12941176470588237</v>
      </c>
      <c r="AZ211" s="72">
        <v>0.87058823529411766</v>
      </c>
    </row>
    <row r="212" spans="2:52">
      <c r="B212" s="65"/>
      <c r="C212" s="71" t="s">
        <v>40</v>
      </c>
      <c r="D212" s="70">
        <v>1.8</v>
      </c>
      <c r="E212" s="70">
        <v>2</v>
      </c>
      <c r="F212" s="70">
        <v>0.2</v>
      </c>
      <c r="G212" s="70">
        <v>0.2</v>
      </c>
      <c r="H212" s="72">
        <v>0.72727272727272729</v>
      </c>
      <c r="I212" s="72">
        <v>0</v>
      </c>
      <c r="J212" s="72">
        <v>1</v>
      </c>
      <c r="K212" s="70">
        <v>2.8</v>
      </c>
      <c r="L212" s="70">
        <v>2.8962857142857144</v>
      </c>
      <c r="M212" s="70">
        <v>9.6285714285714363E-2</v>
      </c>
      <c r="N212" s="70">
        <v>0.45285714285714279</v>
      </c>
      <c r="O212" s="72">
        <v>0.375</v>
      </c>
      <c r="P212" s="72">
        <v>0</v>
      </c>
      <c r="Q212" s="72">
        <v>1</v>
      </c>
      <c r="R212" s="70">
        <v>3.36</v>
      </c>
      <c r="S212" s="70">
        <v>3.0380000000000003</v>
      </c>
      <c r="T212" s="70">
        <v>-0.3219999999999999</v>
      </c>
      <c r="U212" s="70">
        <v>1.0420000000000003</v>
      </c>
      <c r="V212" s="72">
        <v>1.0726256983240223</v>
      </c>
      <c r="W212" s="72">
        <v>0.24</v>
      </c>
      <c r="X212" s="72">
        <v>0.76</v>
      </c>
      <c r="Y212" s="70">
        <v>2.4</v>
      </c>
      <c r="Z212" s="70">
        <v>2.09</v>
      </c>
      <c r="AA212" s="70">
        <v>-0.31000000000000005</v>
      </c>
      <c r="AB212" s="70">
        <v>1.1379999999999999</v>
      </c>
      <c r="AC212" s="72">
        <v>0.76190476190476186</v>
      </c>
      <c r="AD212" s="72">
        <v>0.4</v>
      </c>
      <c r="AE212" s="72">
        <v>0.6</v>
      </c>
      <c r="AF212" s="70">
        <v>2.4</v>
      </c>
      <c r="AG212" s="70">
        <v>3.2600000000000002</v>
      </c>
      <c r="AH212" s="70">
        <v>0.8600000000000001</v>
      </c>
      <c r="AI212" s="70">
        <v>1.5399999999999998</v>
      </c>
      <c r="AJ212" s="72">
        <v>1</v>
      </c>
      <c r="AK212" s="72">
        <v>0</v>
      </c>
      <c r="AL212" s="72">
        <v>1</v>
      </c>
      <c r="AM212" s="70">
        <v>2.4</v>
      </c>
      <c r="AN212" s="70">
        <v>2.09</v>
      </c>
      <c r="AO212" s="70">
        <v>-0.31000000000000005</v>
      </c>
      <c r="AP212" s="70">
        <v>1.1379999999999999</v>
      </c>
      <c r="AQ212" s="72">
        <v>0.76190476190476186</v>
      </c>
      <c r="AR212" s="72">
        <v>0.4</v>
      </c>
      <c r="AS212" s="72">
        <v>0.6</v>
      </c>
      <c r="AT212" s="70">
        <v>2.776470588235294</v>
      </c>
      <c r="AU212" s="70">
        <v>2.7590588235294122</v>
      </c>
      <c r="AV212" s="70">
        <v>-1.7411764705882342E-2</v>
      </c>
      <c r="AW212" s="70">
        <v>0.74094117647058844</v>
      </c>
      <c r="AX212" s="72">
        <v>0.79503105590062106</v>
      </c>
      <c r="AY212" s="72">
        <v>0.11764705882352941</v>
      </c>
      <c r="AZ212" s="72">
        <v>0.88235294117647056</v>
      </c>
    </row>
    <row r="213" spans="2:52">
      <c r="B213" s="65"/>
      <c r="C213" s="71" t="s">
        <v>41</v>
      </c>
      <c r="D213" s="70">
        <v>1.8</v>
      </c>
      <c r="E213" s="70">
        <v>1.8160000000000001</v>
      </c>
      <c r="F213" s="70">
        <v>1.6000000000000014E-2</v>
      </c>
      <c r="G213" s="70">
        <v>0.38400000000000001</v>
      </c>
      <c r="H213" s="72">
        <v>0.72727272727272729</v>
      </c>
      <c r="I213" s="72">
        <v>0</v>
      </c>
      <c r="J213" s="72">
        <v>1</v>
      </c>
      <c r="K213" s="70">
        <v>2.7428571428571429</v>
      </c>
      <c r="L213" s="70">
        <v>2.6754285714285708</v>
      </c>
      <c r="M213" s="70">
        <v>-6.7428571428571338E-2</v>
      </c>
      <c r="N213" s="70">
        <v>0.4925714285714286</v>
      </c>
      <c r="O213" s="72">
        <v>1.125</v>
      </c>
      <c r="P213" s="72">
        <v>0.11428571428571428</v>
      </c>
      <c r="Q213" s="72">
        <v>0.88571428571428568</v>
      </c>
      <c r="R213" s="70">
        <v>2.8</v>
      </c>
      <c r="S213" s="70">
        <v>2.5939999999999994</v>
      </c>
      <c r="T213" s="70">
        <v>-0.20599999999999979</v>
      </c>
      <c r="U213" s="70">
        <v>0.74599999999999966</v>
      </c>
      <c r="V213" s="72">
        <v>0.53631284916201116</v>
      </c>
      <c r="W213" s="72">
        <v>0</v>
      </c>
      <c r="X213" s="72">
        <v>1</v>
      </c>
      <c r="Y213" s="70">
        <v>2</v>
      </c>
      <c r="Z213" s="70">
        <v>1.19</v>
      </c>
      <c r="AA213" s="70">
        <v>-0.81000000000000016</v>
      </c>
      <c r="AB213" s="70">
        <v>0.81000000000000016</v>
      </c>
      <c r="AC213" s="72">
        <v>0</v>
      </c>
      <c r="AD213" s="72">
        <v>0</v>
      </c>
      <c r="AE213" s="72">
        <v>1</v>
      </c>
      <c r="AF213" s="70">
        <v>2</v>
      </c>
      <c r="AG213" s="70">
        <v>2.15</v>
      </c>
      <c r="AH213" s="70">
        <v>0.14999999999999991</v>
      </c>
      <c r="AI213" s="70">
        <v>0.14999999999999991</v>
      </c>
      <c r="AJ213" s="72">
        <v>0</v>
      </c>
      <c r="AK213" s="72">
        <v>0</v>
      </c>
      <c r="AL213" s="72">
        <v>1</v>
      </c>
      <c r="AM213" s="70">
        <v>2</v>
      </c>
      <c r="AN213" s="70">
        <v>1.19</v>
      </c>
      <c r="AO213" s="70">
        <v>-0.81000000000000016</v>
      </c>
      <c r="AP213" s="70">
        <v>0.81000000000000016</v>
      </c>
      <c r="AQ213" s="72">
        <v>0</v>
      </c>
      <c r="AR213" s="72">
        <v>0</v>
      </c>
      <c r="AS213" s="72">
        <v>1</v>
      </c>
      <c r="AT213" s="70">
        <v>2.5176470588235293</v>
      </c>
      <c r="AU213" s="70">
        <v>2.3447058823529425</v>
      </c>
      <c r="AV213" s="70">
        <v>-0.17294117647058815</v>
      </c>
      <c r="AW213" s="70">
        <v>0.57152941176470617</v>
      </c>
      <c r="AX213" s="72">
        <v>0.56314699792960665</v>
      </c>
      <c r="AY213" s="72">
        <v>4.7058823529411764E-2</v>
      </c>
      <c r="AZ213" s="72">
        <v>0.95294117647058818</v>
      </c>
    </row>
    <row r="214" spans="2:52">
      <c r="B214" s="65"/>
      <c r="C214" s="71" t="s">
        <v>42</v>
      </c>
      <c r="D214" s="70">
        <v>2.4</v>
      </c>
      <c r="E214" s="70">
        <v>2</v>
      </c>
      <c r="F214" s="70">
        <v>-0.4</v>
      </c>
      <c r="G214" s="70">
        <v>0.8</v>
      </c>
      <c r="H214" s="72">
        <v>2.1818181818181817</v>
      </c>
      <c r="I214" s="72">
        <v>0.4</v>
      </c>
      <c r="J214" s="72">
        <v>0.8</v>
      </c>
      <c r="K214" s="70">
        <v>3.0857142857142859</v>
      </c>
      <c r="L214" s="70">
        <v>2.5785714285714287</v>
      </c>
      <c r="M214" s="70">
        <v>-0.50714285714285723</v>
      </c>
      <c r="N214" s="70">
        <v>0.6465714285714288</v>
      </c>
      <c r="O214" s="72">
        <v>1</v>
      </c>
      <c r="P214" s="72">
        <v>0.22857142857142856</v>
      </c>
      <c r="Q214" s="72">
        <v>0.77142857142857146</v>
      </c>
      <c r="R214" s="70">
        <v>4.08</v>
      </c>
      <c r="S214" s="70">
        <v>2.2392000000000003</v>
      </c>
      <c r="T214" s="70">
        <v>-1.8407999999999998</v>
      </c>
      <c r="U214" s="70">
        <v>1.8407999999999998</v>
      </c>
      <c r="V214" s="72">
        <v>1.4301675977653632</v>
      </c>
      <c r="W214" s="72">
        <v>0.64</v>
      </c>
      <c r="X214" s="72">
        <v>0.36</v>
      </c>
      <c r="Y214" s="70">
        <v>2.4</v>
      </c>
      <c r="Z214" s="70">
        <v>0.95</v>
      </c>
      <c r="AA214" s="70">
        <v>-1.45</v>
      </c>
      <c r="AB214" s="70">
        <v>1.45</v>
      </c>
      <c r="AC214" s="72">
        <v>1.5238095238095237</v>
      </c>
      <c r="AD214" s="72">
        <v>0.8</v>
      </c>
      <c r="AE214" s="72">
        <v>0.2</v>
      </c>
      <c r="AF214" s="70">
        <v>2.4</v>
      </c>
      <c r="AG214" s="70">
        <v>0.46999999999999992</v>
      </c>
      <c r="AH214" s="70">
        <v>-1.9300000000000002</v>
      </c>
      <c r="AI214" s="70">
        <v>1.9300000000000002</v>
      </c>
      <c r="AJ214" s="72">
        <v>1.3333333333333335</v>
      </c>
      <c r="AK214" s="72">
        <v>0.8</v>
      </c>
      <c r="AL214" s="72">
        <v>0.2</v>
      </c>
      <c r="AM214" s="70">
        <v>2.4</v>
      </c>
      <c r="AN214" s="70">
        <v>0.46999999999999992</v>
      </c>
      <c r="AO214" s="70">
        <v>-1.9300000000000002</v>
      </c>
      <c r="AP214" s="70">
        <v>1.9300000000000002</v>
      </c>
      <c r="AQ214" s="72">
        <v>1.5238095238095237</v>
      </c>
      <c r="AR214" s="72">
        <v>0.8</v>
      </c>
      <c r="AS214" s="72">
        <v>0.2</v>
      </c>
      <c r="AT214" s="70">
        <v>3.1764705882352939</v>
      </c>
      <c r="AU214" s="70">
        <v>2.0668235294117636</v>
      </c>
      <c r="AV214" s="70">
        <v>-1.1096470588235297</v>
      </c>
      <c r="AW214" s="70">
        <v>1.2141176470588235</v>
      </c>
      <c r="AX214" s="72">
        <v>1.3913043478260869</v>
      </c>
      <c r="AY214" s="72">
        <v>0.47058823529411764</v>
      </c>
      <c r="AZ214" s="72">
        <v>0.55294117647058827</v>
      </c>
    </row>
    <row r="215" spans="2:52">
      <c r="B215" s="65"/>
      <c r="C215" s="71" t="s">
        <v>43</v>
      </c>
      <c r="D215" s="70">
        <v>4.2</v>
      </c>
      <c r="E215" s="70">
        <v>2</v>
      </c>
      <c r="F215" s="70">
        <v>-2.2000000000000002</v>
      </c>
      <c r="G215" s="70">
        <v>2.2000000000000002</v>
      </c>
      <c r="H215" s="72">
        <v>3.6363636363636362</v>
      </c>
      <c r="I215" s="72">
        <v>1</v>
      </c>
      <c r="J215" s="72">
        <v>0</v>
      </c>
      <c r="K215" s="70">
        <v>4.1142857142857139</v>
      </c>
      <c r="L215" s="70">
        <v>2.5785714285714287</v>
      </c>
      <c r="M215" s="70">
        <v>-1.5357142857142858</v>
      </c>
      <c r="N215" s="70">
        <v>1.5357142857142858</v>
      </c>
      <c r="O215" s="72">
        <v>2.5</v>
      </c>
      <c r="P215" s="72">
        <v>0.5714285714285714</v>
      </c>
      <c r="Q215" s="72">
        <v>0.42857142857142855</v>
      </c>
      <c r="R215" s="70">
        <v>3.72</v>
      </c>
      <c r="S215" s="70">
        <v>3.556</v>
      </c>
      <c r="T215" s="70">
        <v>-0.16400000000000017</v>
      </c>
      <c r="U215" s="70">
        <v>1.0184</v>
      </c>
      <c r="V215" s="72">
        <v>0.71508379888268159</v>
      </c>
      <c r="W215" s="72">
        <v>0.2</v>
      </c>
      <c r="X215" s="72">
        <v>0.8</v>
      </c>
      <c r="Y215" s="70">
        <v>4.2</v>
      </c>
      <c r="Z215" s="70">
        <v>0.95</v>
      </c>
      <c r="AA215" s="70">
        <v>-3.25</v>
      </c>
      <c r="AB215" s="70">
        <v>3.25</v>
      </c>
      <c r="AC215" s="72">
        <v>1.9047619047619047</v>
      </c>
      <c r="AD215" s="72">
        <v>1</v>
      </c>
      <c r="AE215" s="72">
        <v>0</v>
      </c>
      <c r="AF215" s="70">
        <v>4.2</v>
      </c>
      <c r="AG215" s="70">
        <v>0.46999999999999992</v>
      </c>
      <c r="AH215" s="70">
        <v>-3.7300000000000004</v>
      </c>
      <c r="AI215" s="70">
        <v>3.7300000000000004</v>
      </c>
      <c r="AJ215" s="72">
        <v>1.6666666666666667</v>
      </c>
      <c r="AK215" s="72">
        <v>1</v>
      </c>
      <c r="AL215" s="72">
        <v>0</v>
      </c>
      <c r="AM215" s="70">
        <v>4.2</v>
      </c>
      <c r="AN215" s="70">
        <v>0.46999999999999992</v>
      </c>
      <c r="AO215" s="70">
        <v>-3.7300000000000004</v>
      </c>
      <c r="AP215" s="70">
        <v>3.7300000000000004</v>
      </c>
      <c r="AQ215" s="72">
        <v>1.9047619047619047</v>
      </c>
      <c r="AR215" s="72">
        <v>1</v>
      </c>
      <c r="AS215" s="72">
        <v>0</v>
      </c>
      <c r="AT215" s="70">
        <v>4.0235294117647058</v>
      </c>
      <c r="AU215" s="70">
        <v>2.4541176470588213</v>
      </c>
      <c r="AV215" s="70">
        <v>-1.5694117647058825</v>
      </c>
      <c r="AW215" s="70">
        <v>1.8207058823529414</v>
      </c>
      <c r="AX215" s="72">
        <v>1.7556935817805381</v>
      </c>
      <c r="AY215" s="72">
        <v>0.58823529411764708</v>
      </c>
      <c r="AZ215" s="72">
        <v>0.41176470588235292</v>
      </c>
    </row>
    <row r="216" spans="2:52">
      <c r="B216" s="65"/>
      <c r="C216" s="71" t="s">
        <v>44</v>
      </c>
      <c r="D216" s="70">
        <v>1.8</v>
      </c>
      <c r="E216" s="70">
        <v>1.448</v>
      </c>
      <c r="F216" s="70">
        <v>-0.35199999999999998</v>
      </c>
      <c r="G216" s="70">
        <v>0.38400000000000001</v>
      </c>
      <c r="H216" s="72">
        <v>0</v>
      </c>
      <c r="I216" s="72">
        <v>0</v>
      </c>
      <c r="J216" s="72">
        <v>1</v>
      </c>
      <c r="K216" s="70">
        <v>2.7428571428571429</v>
      </c>
      <c r="L216" s="70">
        <v>2.4428571428571431</v>
      </c>
      <c r="M216" s="70">
        <v>-0.29999999999999988</v>
      </c>
      <c r="N216" s="70">
        <v>0.59942857142857153</v>
      </c>
      <c r="O216" s="72">
        <v>1.7500000000000002</v>
      </c>
      <c r="P216" s="72">
        <v>0.2857142857142857</v>
      </c>
      <c r="Q216" s="72">
        <v>0.7142857142857143</v>
      </c>
      <c r="R216" s="70">
        <v>2.88</v>
      </c>
      <c r="S216" s="70">
        <v>3.3748000000000009</v>
      </c>
      <c r="T216" s="70">
        <v>0.49480000000000002</v>
      </c>
      <c r="U216" s="70">
        <v>0.76679999999999982</v>
      </c>
      <c r="V216" s="72">
        <v>1.1620111731843576</v>
      </c>
      <c r="W216" s="72">
        <v>0</v>
      </c>
      <c r="X216" s="72">
        <v>1</v>
      </c>
      <c r="Y216" s="70">
        <v>1.8</v>
      </c>
      <c r="Z216" s="70">
        <v>1.19</v>
      </c>
      <c r="AA216" s="70">
        <v>-0.6100000000000001</v>
      </c>
      <c r="AB216" s="70">
        <v>0.68600000000000005</v>
      </c>
      <c r="AC216" s="72">
        <v>0</v>
      </c>
      <c r="AD216" s="72">
        <v>0</v>
      </c>
      <c r="AE216" s="72">
        <v>1</v>
      </c>
      <c r="AF216" s="70">
        <v>1.8</v>
      </c>
      <c r="AG216" s="70">
        <v>1.9579999999999997</v>
      </c>
      <c r="AH216" s="70">
        <v>0.15799999999999992</v>
      </c>
      <c r="AI216" s="70">
        <v>0.15799999999999992</v>
      </c>
      <c r="AJ216" s="72">
        <v>0</v>
      </c>
      <c r="AK216" s="72">
        <v>0</v>
      </c>
      <c r="AL216" s="72">
        <v>1</v>
      </c>
      <c r="AM216" s="70">
        <v>1.8</v>
      </c>
      <c r="AN216" s="70">
        <v>1.19</v>
      </c>
      <c r="AO216" s="70">
        <v>-0.6100000000000001</v>
      </c>
      <c r="AP216" s="70">
        <v>0.68600000000000005</v>
      </c>
      <c r="AQ216" s="72">
        <v>0</v>
      </c>
      <c r="AR216" s="72">
        <v>0</v>
      </c>
      <c r="AS216" s="72">
        <v>1</v>
      </c>
      <c r="AT216" s="70">
        <v>2.5058823529411764</v>
      </c>
      <c r="AU216" s="70">
        <v>2.4239999999999999</v>
      </c>
      <c r="AV216" s="70">
        <v>-8.188235294117642E-2</v>
      </c>
      <c r="AW216" s="70">
        <v>0.6075294117647061</v>
      </c>
      <c r="AX216" s="72">
        <v>0.89440993788819867</v>
      </c>
      <c r="AY216" s="72">
        <v>0.11764705882352941</v>
      </c>
      <c r="AZ216" s="72">
        <v>0.88235294117647056</v>
      </c>
    </row>
    <row r="217" spans="2:52">
      <c r="B217" s="65"/>
      <c r="C217" s="71" t="s">
        <v>45</v>
      </c>
      <c r="D217" s="70">
        <v>2</v>
      </c>
      <c r="E217" s="70">
        <v>1.8160000000000001</v>
      </c>
      <c r="F217" s="70">
        <v>-0.184</v>
      </c>
      <c r="G217" s="70">
        <v>0.184</v>
      </c>
      <c r="H217" s="72">
        <v>0</v>
      </c>
      <c r="I217" s="72">
        <v>0</v>
      </c>
      <c r="J217" s="72">
        <v>1</v>
      </c>
      <c r="K217" s="70">
        <v>2.8571428571428572</v>
      </c>
      <c r="L217" s="70">
        <v>2.4908571428571435</v>
      </c>
      <c r="M217" s="70">
        <v>-0.36628571428571421</v>
      </c>
      <c r="N217" s="70">
        <v>0.52399999999999991</v>
      </c>
      <c r="O217" s="72">
        <v>1.25</v>
      </c>
      <c r="P217" s="72">
        <v>0.2857142857142857</v>
      </c>
      <c r="Q217" s="72">
        <v>0.7142857142857143</v>
      </c>
      <c r="R217" s="70">
        <v>4</v>
      </c>
      <c r="S217" s="70">
        <v>3.7228000000000003</v>
      </c>
      <c r="T217" s="70">
        <v>-0.27720000000000022</v>
      </c>
      <c r="U217" s="70">
        <v>0.51720000000000033</v>
      </c>
      <c r="V217" s="72">
        <v>0.26815642458100558</v>
      </c>
      <c r="W217" s="72">
        <v>0</v>
      </c>
      <c r="X217" s="72">
        <v>1</v>
      </c>
      <c r="Y217" s="70">
        <v>2</v>
      </c>
      <c r="Z217" s="70">
        <v>0.90199999999999991</v>
      </c>
      <c r="AA217" s="70">
        <v>-1.0980000000000001</v>
      </c>
      <c r="AB217" s="70">
        <v>1.0980000000000001</v>
      </c>
      <c r="AC217" s="72">
        <v>0.76190476190476186</v>
      </c>
      <c r="AD217" s="72">
        <v>0.4</v>
      </c>
      <c r="AE217" s="72">
        <v>0.6</v>
      </c>
      <c r="AF217" s="70">
        <v>2</v>
      </c>
      <c r="AG217" s="70">
        <v>0.90199999999999991</v>
      </c>
      <c r="AH217" s="70">
        <v>-1.0980000000000001</v>
      </c>
      <c r="AI217" s="70">
        <v>1.0980000000000001</v>
      </c>
      <c r="AJ217" s="72">
        <v>0.66666666666666674</v>
      </c>
      <c r="AK217" s="72">
        <v>0.4</v>
      </c>
      <c r="AL217" s="72">
        <v>0.6</v>
      </c>
      <c r="AM217" s="70">
        <v>2</v>
      </c>
      <c r="AN217" s="70">
        <v>0.90199999999999991</v>
      </c>
      <c r="AO217" s="70">
        <v>-1.0980000000000001</v>
      </c>
      <c r="AP217" s="70">
        <v>1.0980000000000001</v>
      </c>
      <c r="AQ217" s="72">
        <v>0.76190476190476186</v>
      </c>
      <c r="AR217" s="72">
        <v>0.4</v>
      </c>
      <c r="AS217" s="72">
        <v>0.6</v>
      </c>
      <c r="AT217" s="70">
        <v>2.9411764705882355</v>
      </c>
      <c r="AU217" s="70">
        <v>2.4934117647058804</v>
      </c>
      <c r="AV217" s="70">
        <v>-0.4477647058823529</v>
      </c>
      <c r="AW217" s="70">
        <v>0.58329411764705907</v>
      </c>
      <c r="AX217" s="72">
        <v>0.62939958592132506</v>
      </c>
      <c r="AY217" s="72">
        <v>0.18823529411764706</v>
      </c>
      <c r="AZ217" s="72">
        <v>0.81176470588235294</v>
      </c>
    </row>
    <row r="218" spans="2:52">
      <c r="B218" s="65"/>
      <c r="C218" s="71" t="s">
        <v>46</v>
      </c>
      <c r="D218" s="70">
        <v>1.6</v>
      </c>
      <c r="E218" s="70">
        <v>2</v>
      </c>
      <c r="F218" s="70">
        <v>0.4</v>
      </c>
      <c r="G218" s="70">
        <v>0.4</v>
      </c>
      <c r="H218" s="72">
        <v>1.4545454545454546</v>
      </c>
      <c r="I218" s="72">
        <v>0</v>
      </c>
      <c r="J218" s="72">
        <v>1</v>
      </c>
      <c r="K218" s="70">
        <v>2.6285714285714286</v>
      </c>
      <c r="L218" s="70">
        <v>2.5540000000000003</v>
      </c>
      <c r="M218" s="70">
        <v>-7.4571428571428483E-2</v>
      </c>
      <c r="N218" s="70">
        <v>0.35342857142857143</v>
      </c>
      <c r="O218" s="72">
        <v>0.5</v>
      </c>
      <c r="P218" s="72">
        <v>0.11428571428571428</v>
      </c>
      <c r="Q218" s="72">
        <v>0.88571428571428568</v>
      </c>
      <c r="R218" s="70">
        <v>3.32</v>
      </c>
      <c r="S218" s="70">
        <v>3.2267999999999999</v>
      </c>
      <c r="T218" s="70">
        <v>-9.3200000000000116E-2</v>
      </c>
      <c r="U218" s="70">
        <v>0.51640000000000008</v>
      </c>
      <c r="V218" s="72">
        <v>0.26815642458100558</v>
      </c>
      <c r="W218" s="72">
        <v>0.12</v>
      </c>
      <c r="X218" s="72">
        <v>0.88</v>
      </c>
      <c r="Y218" s="70">
        <v>1.6</v>
      </c>
      <c r="Z218" s="70">
        <v>0.56600000000000006</v>
      </c>
      <c r="AA218" s="70">
        <v>-1.034</v>
      </c>
      <c r="AB218" s="70">
        <v>1.034</v>
      </c>
      <c r="AC218" s="72">
        <v>1.1428571428571428</v>
      </c>
      <c r="AD218" s="72">
        <v>0.6</v>
      </c>
      <c r="AE218" s="72">
        <v>0.4</v>
      </c>
      <c r="AF218" s="70">
        <v>1.6</v>
      </c>
      <c r="AG218" s="70">
        <v>0.46999999999999992</v>
      </c>
      <c r="AH218" s="70">
        <v>-1.1300000000000001</v>
      </c>
      <c r="AI218" s="70">
        <v>1.1300000000000001</v>
      </c>
      <c r="AJ218" s="72">
        <v>1</v>
      </c>
      <c r="AK218" s="72">
        <v>0.6</v>
      </c>
      <c r="AL218" s="72">
        <v>0.4</v>
      </c>
      <c r="AM218" s="70">
        <v>1.6</v>
      </c>
      <c r="AN218" s="70">
        <v>0.46999999999999992</v>
      </c>
      <c r="AO218" s="70">
        <v>-1.1300000000000001</v>
      </c>
      <c r="AP218" s="70">
        <v>1.1300000000000001</v>
      </c>
      <c r="AQ218" s="72">
        <v>1.1428571428571428</v>
      </c>
      <c r="AR218" s="72">
        <v>0.6</v>
      </c>
      <c r="AS218" s="72">
        <v>0.4</v>
      </c>
      <c r="AT218" s="70">
        <v>2.5294117647058822</v>
      </c>
      <c r="AU218" s="70">
        <v>2.3245882352941165</v>
      </c>
      <c r="AV218" s="70">
        <v>-0.20482352941176471</v>
      </c>
      <c r="AW218" s="70">
        <v>0.53823529411764737</v>
      </c>
      <c r="AX218" s="72">
        <v>0.66252587991718426</v>
      </c>
      <c r="AY218" s="72">
        <v>0.18823529411764706</v>
      </c>
      <c r="AZ218" s="72">
        <v>0.81176470588235294</v>
      </c>
    </row>
    <row r="219" spans="2:52">
      <c r="B219" s="65"/>
      <c r="C219" s="71" t="s">
        <v>47</v>
      </c>
      <c r="D219" s="70">
        <v>2</v>
      </c>
      <c r="E219" s="70">
        <v>1.6320000000000001</v>
      </c>
      <c r="F219" s="70">
        <v>-0.36799999999999999</v>
      </c>
      <c r="G219" s="70">
        <v>0.36799999999999999</v>
      </c>
      <c r="H219" s="72">
        <v>0</v>
      </c>
      <c r="I219" s="72">
        <v>0</v>
      </c>
      <c r="J219" s="72">
        <v>1</v>
      </c>
      <c r="K219" s="70">
        <v>2.8571428571428572</v>
      </c>
      <c r="L219" s="70">
        <v>2.375142857142857</v>
      </c>
      <c r="M219" s="70">
        <v>-0.48200000000000004</v>
      </c>
      <c r="N219" s="70">
        <v>0.48200000000000004</v>
      </c>
      <c r="O219" s="72">
        <v>1</v>
      </c>
      <c r="P219" s="72">
        <v>0.22857142857142856</v>
      </c>
      <c r="Q219" s="72">
        <v>0.77142857142857146</v>
      </c>
      <c r="R219" s="70">
        <v>3.4</v>
      </c>
      <c r="S219" s="70">
        <v>1.91</v>
      </c>
      <c r="T219" s="70">
        <v>-1.4899999999999998</v>
      </c>
      <c r="U219" s="70">
        <v>1.4899999999999998</v>
      </c>
      <c r="V219" s="72">
        <v>1.787709497206704</v>
      </c>
      <c r="W219" s="72">
        <v>0.8</v>
      </c>
      <c r="X219" s="72">
        <v>0.2</v>
      </c>
      <c r="Y219" s="70">
        <v>2</v>
      </c>
      <c r="Z219" s="70">
        <v>0.95</v>
      </c>
      <c r="AA219" s="70">
        <v>-1.05</v>
      </c>
      <c r="AB219" s="70">
        <v>1.05</v>
      </c>
      <c r="AC219" s="72">
        <v>1.9047619047619047</v>
      </c>
      <c r="AD219" s="72">
        <v>1</v>
      </c>
      <c r="AE219" s="72">
        <v>0</v>
      </c>
      <c r="AF219" s="70">
        <v>2</v>
      </c>
      <c r="AG219" s="70">
        <v>0.46999999999999992</v>
      </c>
      <c r="AH219" s="70">
        <v>-1.53</v>
      </c>
      <c r="AI219" s="70">
        <v>1.53</v>
      </c>
      <c r="AJ219" s="72">
        <v>1.6666666666666667</v>
      </c>
      <c r="AK219" s="72">
        <v>1</v>
      </c>
      <c r="AL219" s="72">
        <v>0</v>
      </c>
      <c r="AM219" s="70">
        <v>2</v>
      </c>
      <c r="AN219" s="70">
        <v>0.46999999999999992</v>
      </c>
      <c r="AO219" s="70">
        <v>-1.53</v>
      </c>
      <c r="AP219" s="70">
        <v>1.53</v>
      </c>
      <c r="AQ219" s="72">
        <v>1.9047619047619047</v>
      </c>
      <c r="AR219" s="72">
        <v>1</v>
      </c>
      <c r="AS219" s="72">
        <v>0</v>
      </c>
      <c r="AT219" s="70">
        <v>2.7647058823529411</v>
      </c>
      <c r="AU219" s="70">
        <v>1.8429411764705879</v>
      </c>
      <c r="AV219" s="70">
        <v>-0.92176470588235304</v>
      </c>
      <c r="AW219" s="70">
        <v>0.92176470588235304</v>
      </c>
      <c r="AX219" s="72">
        <v>1.4244306418219461</v>
      </c>
      <c r="AY219" s="72">
        <v>0.50588235294117645</v>
      </c>
      <c r="AZ219" s="72">
        <v>0.49411764705882355</v>
      </c>
    </row>
    <row r="220" spans="2:52">
      <c r="B220" s="65"/>
      <c r="C220" s="71" t="s">
        <v>48</v>
      </c>
      <c r="D220" s="70">
        <v>5</v>
      </c>
      <c r="E220" s="70">
        <v>2</v>
      </c>
      <c r="F220" s="70">
        <v>-3</v>
      </c>
      <c r="G220" s="70">
        <v>3</v>
      </c>
      <c r="H220" s="72">
        <v>3.6363636363636362</v>
      </c>
      <c r="I220" s="72">
        <v>1</v>
      </c>
      <c r="J220" s="72">
        <v>0</v>
      </c>
      <c r="K220" s="70">
        <v>4.5714285714285712</v>
      </c>
      <c r="L220" s="70">
        <v>2.5785714285714287</v>
      </c>
      <c r="M220" s="70">
        <v>-1.9928571428571429</v>
      </c>
      <c r="N220" s="70">
        <v>1.9928571428571429</v>
      </c>
      <c r="O220" s="72">
        <v>2.5</v>
      </c>
      <c r="P220" s="72">
        <v>0.5714285714285714</v>
      </c>
      <c r="Q220" s="72">
        <v>0.42857142857142855</v>
      </c>
      <c r="R220" s="70">
        <v>2.2000000000000002</v>
      </c>
      <c r="S220" s="70">
        <v>3.2223999999999999</v>
      </c>
      <c r="T220" s="70">
        <v>1.0223999999999998</v>
      </c>
      <c r="U220" s="70">
        <v>2.3784000000000001</v>
      </c>
      <c r="V220" s="72">
        <v>1.787709497206704</v>
      </c>
      <c r="W220" s="72">
        <v>0.2</v>
      </c>
      <c r="X220" s="72">
        <v>0.8</v>
      </c>
      <c r="Y220" s="70">
        <v>5</v>
      </c>
      <c r="Z220" s="70">
        <v>0.95</v>
      </c>
      <c r="AA220" s="70">
        <v>-4.05</v>
      </c>
      <c r="AB220" s="70">
        <v>4.05</v>
      </c>
      <c r="AC220" s="72">
        <v>1.9047619047619047</v>
      </c>
      <c r="AD220" s="72">
        <v>1</v>
      </c>
      <c r="AE220" s="72">
        <v>0</v>
      </c>
      <c r="AF220" s="70">
        <v>5</v>
      </c>
      <c r="AG220" s="70">
        <v>0.46999999999999992</v>
      </c>
      <c r="AH220" s="70">
        <v>-4.53</v>
      </c>
      <c r="AI220" s="70">
        <v>4.53</v>
      </c>
      <c r="AJ220" s="72">
        <v>1.6666666666666667</v>
      </c>
      <c r="AK220" s="72">
        <v>1</v>
      </c>
      <c r="AL220" s="72">
        <v>0</v>
      </c>
      <c r="AM220" s="70">
        <v>5</v>
      </c>
      <c r="AN220" s="70">
        <v>0.46999999999999992</v>
      </c>
      <c r="AO220" s="70">
        <v>-4.53</v>
      </c>
      <c r="AP220" s="70">
        <v>4.53</v>
      </c>
      <c r="AQ220" s="72">
        <v>1.9047619047619047</v>
      </c>
      <c r="AR220" s="72">
        <v>1</v>
      </c>
      <c r="AS220" s="72">
        <v>0</v>
      </c>
      <c r="AT220" s="70">
        <v>4</v>
      </c>
      <c r="AU220" s="70">
        <v>2.3559999999999985</v>
      </c>
      <c r="AV220" s="70">
        <v>-1.6440000000000001</v>
      </c>
      <c r="AW220" s="70">
        <v>2.6442352941176468</v>
      </c>
      <c r="AX220" s="72">
        <v>2.1532091097308488</v>
      </c>
      <c r="AY220" s="72">
        <v>0.58823529411764708</v>
      </c>
      <c r="AZ220" s="72">
        <v>0.41176470588235292</v>
      </c>
    </row>
    <row r="221" spans="2:52">
      <c r="B221" s="65"/>
      <c r="C221" s="71" t="s">
        <v>49</v>
      </c>
      <c r="D221" s="70">
        <v>1.85</v>
      </c>
      <c r="E221" s="70">
        <v>2.0460000000000003</v>
      </c>
      <c r="F221" s="70">
        <v>0.19600000000000001</v>
      </c>
      <c r="G221" s="70">
        <v>0.20400000000000001</v>
      </c>
      <c r="H221" s="72">
        <v>0.72727272727272729</v>
      </c>
      <c r="I221" s="72">
        <v>0</v>
      </c>
      <c r="J221" s="72">
        <v>1</v>
      </c>
      <c r="K221" s="70">
        <v>2.9571428571428573</v>
      </c>
      <c r="L221" s="70">
        <v>2.879428571428571</v>
      </c>
      <c r="M221" s="70">
        <v>-7.7714285714285611E-2</v>
      </c>
      <c r="N221" s="70">
        <v>0.30285714285714299</v>
      </c>
      <c r="O221" s="72">
        <v>0.1875</v>
      </c>
      <c r="P221" s="72">
        <v>0</v>
      </c>
      <c r="Q221" s="72">
        <v>1</v>
      </c>
      <c r="R221" s="70">
        <v>4.04</v>
      </c>
      <c r="S221" s="70">
        <v>4.0376000000000003</v>
      </c>
      <c r="T221" s="70">
        <v>-2.3999999999999664E-3</v>
      </c>
      <c r="U221" s="70">
        <v>0.60240000000000005</v>
      </c>
      <c r="V221" s="72">
        <v>0.80446927374301669</v>
      </c>
      <c r="W221" s="72">
        <v>0.12</v>
      </c>
      <c r="X221" s="72">
        <v>1</v>
      </c>
      <c r="Y221" s="70">
        <v>4.3</v>
      </c>
      <c r="Z221" s="70">
        <v>4.5179999999999998</v>
      </c>
      <c r="AA221" s="70">
        <v>0.21799999999999997</v>
      </c>
      <c r="AB221" s="70">
        <v>0.38200000000000001</v>
      </c>
      <c r="AC221" s="72">
        <v>0.5714285714285714</v>
      </c>
      <c r="AD221" s="72">
        <v>0</v>
      </c>
      <c r="AE221" s="72">
        <v>1</v>
      </c>
      <c r="AF221" s="70">
        <v>4.3</v>
      </c>
      <c r="AG221" s="70">
        <v>4.5379999999999994</v>
      </c>
      <c r="AH221" s="70">
        <v>0.23799999999999999</v>
      </c>
      <c r="AI221" s="70">
        <v>0.36199999999999999</v>
      </c>
      <c r="AJ221" s="72">
        <v>0.5</v>
      </c>
      <c r="AK221" s="72">
        <v>0</v>
      </c>
      <c r="AL221" s="72">
        <v>1</v>
      </c>
      <c r="AM221" s="70">
        <v>4.3</v>
      </c>
      <c r="AN221" s="70">
        <v>4.5179999999999998</v>
      </c>
      <c r="AO221" s="70">
        <v>0.21799999999999997</v>
      </c>
      <c r="AP221" s="70">
        <v>0.38200000000000001</v>
      </c>
      <c r="AQ221" s="72">
        <v>0.5714285714285714</v>
      </c>
      <c r="AR221" s="72">
        <v>0</v>
      </c>
      <c r="AS221" s="72">
        <v>1</v>
      </c>
      <c r="AT221" s="70">
        <v>3.3823529411764706</v>
      </c>
      <c r="AU221" s="70">
        <v>3.4123529411764695</v>
      </c>
      <c r="AV221" s="70">
        <v>3.0000000000000051E-2</v>
      </c>
      <c r="AW221" s="70">
        <v>0.39211764705882368</v>
      </c>
      <c r="AX221" s="72">
        <v>0.56314699792960665</v>
      </c>
      <c r="AY221" s="72">
        <v>3.5294117647058823E-2</v>
      </c>
      <c r="AZ221" s="72">
        <v>1</v>
      </c>
    </row>
    <row r="222" spans="2:52">
      <c r="B222" s="65"/>
      <c r="C222" s="71" t="s">
        <v>50</v>
      </c>
      <c r="D222" s="70">
        <v>1.9</v>
      </c>
      <c r="E222" s="70">
        <v>1.6319999999999997</v>
      </c>
      <c r="F222" s="70">
        <v>-0.26799999999999996</v>
      </c>
      <c r="G222" s="70">
        <v>0.28399999999999997</v>
      </c>
      <c r="H222" s="72">
        <v>0</v>
      </c>
      <c r="I222" s="72">
        <v>0</v>
      </c>
      <c r="J222" s="72">
        <v>1</v>
      </c>
      <c r="K222" s="70">
        <v>2.9428571428571431</v>
      </c>
      <c r="L222" s="70">
        <v>2.798428571428571</v>
      </c>
      <c r="M222" s="70">
        <v>-0.14442857142857152</v>
      </c>
      <c r="N222" s="70">
        <v>0.59385714285714308</v>
      </c>
      <c r="O222" s="72">
        <v>1.375</v>
      </c>
      <c r="P222" s="72">
        <v>0.17142857142857143</v>
      </c>
      <c r="Q222" s="72">
        <v>0.82857142857142863</v>
      </c>
      <c r="R222" s="70">
        <v>3.36</v>
      </c>
      <c r="S222" s="70">
        <v>3.5880000000000005</v>
      </c>
      <c r="T222" s="70">
        <v>0.22800000000000004</v>
      </c>
      <c r="U222" s="70">
        <v>0.77200000000000002</v>
      </c>
      <c r="V222" s="72">
        <v>0.98324022346368711</v>
      </c>
      <c r="W222" s="72">
        <v>0</v>
      </c>
      <c r="X222" s="72">
        <v>1</v>
      </c>
      <c r="Y222" s="70">
        <v>3</v>
      </c>
      <c r="Z222" s="70">
        <v>3.3830000000000005</v>
      </c>
      <c r="AA222" s="70">
        <v>0.38299999999999995</v>
      </c>
      <c r="AB222" s="70">
        <v>0.69300000000000017</v>
      </c>
      <c r="AC222" s="72">
        <v>0.5714285714285714</v>
      </c>
      <c r="AD222" s="72">
        <v>0</v>
      </c>
      <c r="AE222" s="72">
        <v>1</v>
      </c>
      <c r="AF222" s="70">
        <v>3</v>
      </c>
      <c r="AG222" s="70">
        <v>4.3</v>
      </c>
      <c r="AH222" s="70">
        <v>1.3</v>
      </c>
      <c r="AI222" s="70">
        <v>1.3</v>
      </c>
      <c r="AJ222" s="72">
        <v>1.6666666666666667</v>
      </c>
      <c r="AK222" s="72">
        <v>0</v>
      </c>
      <c r="AL222" s="72">
        <v>1</v>
      </c>
      <c r="AM222" s="70">
        <v>3</v>
      </c>
      <c r="AN222" s="70">
        <v>3.3830000000000005</v>
      </c>
      <c r="AO222" s="70">
        <v>0.38299999999999995</v>
      </c>
      <c r="AP222" s="70">
        <v>0.69300000000000017</v>
      </c>
      <c r="AQ222" s="72">
        <v>0.5714285714285714</v>
      </c>
      <c r="AR222" s="72">
        <v>0</v>
      </c>
      <c r="AS222" s="72">
        <v>1</v>
      </c>
      <c r="AT222" s="70">
        <v>2.9529411764705884</v>
      </c>
      <c r="AU222" s="70">
        <v>3.0505294117647059</v>
      </c>
      <c r="AV222" s="70">
        <v>9.7588235294117434E-2</v>
      </c>
      <c r="AW222" s="70">
        <v>0.66300000000000026</v>
      </c>
      <c r="AX222" s="72">
        <v>0.99378881987577639</v>
      </c>
      <c r="AY222" s="72">
        <v>7.0588235294117646E-2</v>
      </c>
      <c r="AZ222" s="72">
        <v>0.92941176470588238</v>
      </c>
    </row>
    <row r="223" spans="2:52">
      <c r="B223" s="65"/>
      <c r="C223" s="71" t="s">
        <v>32</v>
      </c>
      <c r="D223" s="70">
        <v>2.21875</v>
      </c>
      <c r="E223" s="70">
        <v>1.8677500000000005</v>
      </c>
      <c r="F223" s="70">
        <v>-0.35100000000000009</v>
      </c>
      <c r="G223" s="70">
        <v>0.60500000000000009</v>
      </c>
      <c r="H223" s="72">
        <v>1</v>
      </c>
      <c r="I223" s="72">
        <v>0.15</v>
      </c>
      <c r="J223" s="72">
        <v>0.86250000000000004</v>
      </c>
      <c r="K223" s="70">
        <v>3.030357142857143</v>
      </c>
      <c r="L223" s="70">
        <v>2.6474107142857184</v>
      </c>
      <c r="M223" s="70">
        <v>-0.38294642857142613</v>
      </c>
      <c r="N223" s="70">
        <v>0.61973214285713973</v>
      </c>
      <c r="O223" s="72">
        <v>1</v>
      </c>
      <c r="P223" s="72">
        <v>0.17857142857142858</v>
      </c>
      <c r="Q223" s="72">
        <v>0.8214285714285714</v>
      </c>
      <c r="R223" s="70">
        <v>3.4</v>
      </c>
      <c r="S223" s="70">
        <v>3.1325749999999983</v>
      </c>
      <c r="T223" s="70">
        <v>-0.26742499999999941</v>
      </c>
      <c r="U223" s="70">
        <v>0.99467499999999931</v>
      </c>
      <c r="V223" s="72">
        <v>1</v>
      </c>
      <c r="W223" s="72">
        <v>0.2175</v>
      </c>
      <c r="X223" s="72">
        <v>0.79749999999999999</v>
      </c>
      <c r="Y223" s="70">
        <v>2.75</v>
      </c>
      <c r="Z223" s="70">
        <v>1.7293749999999979</v>
      </c>
      <c r="AA223" s="70">
        <v>-1.0206249999999994</v>
      </c>
      <c r="AB223" s="70">
        <v>1.2866249999999995</v>
      </c>
      <c r="AC223" s="72">
        <v>1</v>
      </c>
      <c r="AD223" s="72">
        <v>0.45</v>
      </c>
      <c r="AE223" s="72">
        <v>0.55000000000000004</v>
      </c>
      <c r="AF223" s="70">
        <v>2.75</v>
      </c>
      <c r="AG223" s="70">
        <v>2.0216249999999993</v>
      </c>
      <c r="AH223" s="70">
        <v>-0.72837500000000044</v>
      </c>
      <c r="AI223" s="70">
        <v>1.3281250000000002</v>
      </c>
      <c r="AJ223" s="72">
        <v>1</v>
      </c>
      <c r="AK223" s="72">
        <v>0.4</v>
      </c>
      <c r="AL223" s="72">
        <v>0.6</v>
      </c>
      <c r="AM223" s="70">
        <v>2.75</v>
      </c>
      <c r="AN223" s="70">
        <v>1.6033749999999987</v>
      </c>
      <c r="AO223" s="70">
        <v>-1.1466250000000002</v>
      </c>
      <c r="AP223" s="70">
        <v>1.4126250000000005</v>
      </c>
      <c r="AQ223" s="72">
        <v>1</v>
      </c>
      <c r="AR223" s="72">
        <v>0.45</v>
      </c>
      <c r="AS223" s="72">
        <v>0.55000000000000004</v>
      </c>
      <c r="AT223" s="70">
        <v>2.9941176470588236</v>
      </c>
      <c r="AU223" s="70">
        <v>2.5461544117646997</v>
      </c>
      <c r="AV223" s="70">
        <v>-0.44796323529411713</v>
      </c>
      <c r="AW223" s="70">
        <v>0.85581617647058295</v>
      </c>
      <c r="AX223" s="72">
        <v>1</v>
      </c>
      <c r="AY223" s="72">
        <v>0.23161764705882354</v>
      </c>
      <c r="AZ223" s="72">
        <v>0.77426470588235297</v>
      </c>
    </row>
    <row r="224" spans="2:52">
      <c r="B224" s="65"/>
      <c r="C224" s="65"/>
      <c r="D224" s="65"/>
      <c r="E224" s="65"/>
      <c r="F224" s="65"/>
      <c r="G224" s="65"/>
      <c r="H224" s="65"/>
      <c r="I224" s="65"/>
      <c r="J224" s="65"/>
      <c r="K224" s="65"/>
      <c r="L224" s="65"/>
      <c r="M224" s="65"/>
      <c r="N224" s="65"/>
      <c r="O224" s="65"/>
      <c r="P224" s="65"/>
      <c r="Q224" s="65"/>
      <c r="R224" s="65"/>
      <c r="S224" s="65"/>
      <c r="T224" s="65"/>
    </row>
    <row r="225" spans="3:20">
      <c r="C225" s="65"/>
      <c r="D225" s="65"/>
      <c r="E225" s="65"/>
      <c r="F225" s="65"/>
      <c r="G225" s="65"/>
      <c r="H225" s="65"/>
      <c r="I225" s="65"/>
      <c r="J225" s="65"/>
      <c r="K225" s="65"/>
      <c r="L225" s="65"/>
      <c r="M225" s="65"/>
      <c r="N225" s="65"/>
      <c r="O225" s="65"/>
      <c r="P225" s="65"/>
      <c r="Q225" s="65"/>
      <c r="R225" s="65"/>
      <c r="S225" s="65"/>
      <c r="T225" s="65"/>
    </row>
    <row r="226" spans="3:20">
      <c r="C226" s="65"/>
      <c r="D226" s="65"/>
      <c r="E226" s="65"/>
      <c r="F226" s="65"/>
      <c r="G226" s="65"/>
      <c r="H226" s="65"/>
      <c r="I226" s="65"/>
      <c r="J226" s="65"/>
      <c r="K226" s="65"/>
      <c r="L226" s="65"/>
      <c r="M226" s="65"/>
      <c r="N226" s="65"/>
      <c r="O226" s="65"/>
      <c r="P226" s="65"/>
      <c r="Q226" s="65"/>
      <c r="R226" s="65"/>
      <c r="S226" s="65"/>
      <c r="T226" s="65"/>
    </row>
    <row r="227" spans="3:20">
      <c r="C227" s="65"/>
      <c r="D227" s="65"/>
      <c r="E227" s="65"/>
      <c r="F227" s="65"/>
      <c r="G227" s="65"/>
      <c r="H227" s="65"/>
      <c r="I227" s="65"/>
      <c r="J227" s="65"/>
      <c r="K227" s="65"/>
      <c r="L227" s="65"/>
      <c r="M227" s="65"/>
      <c r="N227" s="65"/>
      <c r="O227" s="65"/>
      <c r="P227" s="65"/>
      <c r="Q227" s="65"/>
      <c r="R227" s="65"/>
      <c r="S227" s="65"/>
      <c r="T227" s="65"/>
    </row>
    <row r="228" spans="3:20">
      <c r="C228" s="65"/>
      <c r="D228" s="65"/>
      <c r="E228" s="65"/>
      <c r="F228" s="65"/>
      <c r="G228" s="65"/>
      <c r="H228" s="65"/>
      <c r="I228" s="65"/>
      <c r="J228" s="65"/>
      <c r="K228" s="65"/>
      <c r="L228" s="65"/>
      <c r="M228" s="65"/>
      <c r="N228" s="65"/>
      <c r="O228" s="65"/>
      <c r="P228" s="65"/>
      <c r="Q228" s="65"/>
      <c r="R228" s="65"/>
      <c r="S228" s="65"/>
      <c r="T228" s="65"/>
    </row>
    <row r="229" spans="3:20">
      <c r="C229" s="65"/>
      <c r="D229" s="65"/>
      <c r="E229" s="65"/>
      <c r="F229" s="65"/>
      <c r="G229" s="65"/>
      <c r="H229" s="65"/>
      <c r="I229" s="65"/>
      <c r="J229" s="65"/>
      <c r="K229" s="65"/>
      <c r="L229" s="65"/>
      <c r="M229" s="65"/>
      <c r="N229" s="65"/>
      <c r="O229" s="65"/>
      <c r="P229" s="65"/>
      <c r="Q229" s="65"/>
      <c r="R229" s="65"/>
      <c r="S229" s="65"/>
      <c r="T229" s="65"/>
    </row>
    <row r="230" spans="3:20">
      <c r="C230" s="65"/>
      <c r="D230" s="65"/>
      <c r="E230" s="65"/>
      <c r="F230" s="65"/>
      <c r="G230" s="65"/>
      <c r="H230" s="65"/>
      <c r="I230" s="65"/>
      <c r="J230" s="65"/>
      <c r="K230" s="65"/>
      <c r="L230" s="65"/>
      <c r="M230" s="65"/>
      <c r="N230" s="65"/>
      <c r="O230" s="65"/>
      <c r="P230" s="65"/>
      <c r="Q230" s="65"/>
      <c r="R230" s="65"/>
      <c r="S230" s="65"/>
      <c r="T230" s="65"/>
    </row>
    <row r="231" spans="3:20">
      <c r="C231" s="65"/>
      <c r="D231" s="65"/>
      <c r="E231" s="65"/>
      <c r="F231" s="65"/>
      <c r="G231" s="65"/>
      <c r="H231" s="65"/>
      <c r="I231" s="65"/>
      <c r="J231" s="65"/>
      <c r="K231" s="65"/>
      <c r="L231" s="65"/>
      <c r="M231" s="65"/>
      <c r="N231" s="65"/>
      <c r="O231" s="65"/>
      <c r="P231" s="65"/>
      <c r="Q231" s="65"/>
      <c r="R231" s="65"/>
      <c r="S231" s="65"/>
      <c r="T231" s="65"/>
    </row>
    <row r="232" spans="3:20">
      <c r="C232" s="65"/>
      <c r="D232" s="65"/>
      <c r="E232" s="65"/>
      <c r="F232" s="65"/>
      <c r="G232" s="65"/>
      <c r="H232" s="65"/>
      <c r="I232" s="65"/>
      <c r="J232" s="65"/>
      <c r="K232" s="65"/>
      <c r="L232" s="65"/>
      <c r="M232" s="65"/>
      <c r="N232" s="65"/>
      <c r="O232" s="65"/>
      <c r="P232" s="65"/>
      <c r="Q232" s="65"/>
      <c r="R232" s="65"/>
      <c r="S232" s="65"/>
      <c r="T232" s="65"/>
    </row>
    <row r="233" spans="3:20">
      <c r="C233" s="65"/>
      <c r="D233" s="65"/>
      <c r="E233" s="65"/>
      <c r="F233" s="65"/>
      <c r="G233" s="65"/>
      <c r="H233" s="65"/>
      <c r="I233" s="65"/>
      <c r="J233" s="65"/>
      <c r="K233" s="65"/>
      <c r="L233" s="65"/>
      <c r="M233" s="65"/>
      <c r="N233" s="65"/>
      <c r="O233" s="65"/>
      <c r="P233" s="65"/>
      <c r="Q233" s="65"/>
      <c r="R233" s="65"/>
      <c r="S233" s="65"/>
      <c r="T233" s="65"/>
    </row>
    <row r="234" spans="3:20">
      <c r="C234" s="65"/>
      <c r="D234" s="65"/>
      <c r="E234" s="65"/>
      <c r="F234" s="65"/>
      <c r="G234" s="65"/>
      <c r="H234" s="65"/>
      <c r="I234" s="65"/>
      <c r="J234" s="65"/>
      <c r="K234" s="65"/>
      <c r="L234" s="65"/>
      <c r="M234" s="65"/>
      <c r="N234" s="65"/>
      <c r="O234" s="65"/>
      <c r="P234" s="65"/>
      <c r="Q234" s="65"/>
      <c r="R234" s="65"/>
      <c r="S234" s="65"/>
      <c r="T234" s="65"/>
    </row>
    <row r="235" spans="3:20">
      <c r="C235" s="65"/>
      <c r="D235" s="65"/>
      <c r="E235" s="65"/>
      <c r="F235" s="65"/>
      <c r="G235" s="65"/>
      <c r="H235" s="65"/>
      <c r="I235" s="65"/>
      <c r="J235" s="65"/>
      <c r="K235" s="65"/>
      <c r="L235" s="65"/>
      <c r="M235" s="65"/>
      <c r="N235" s="65"/>
      <c r="O235" s="65"/>
      <c r="P235" s="65"/>
      <c r="Q235" s="65"/>
      <c r="R235" s="65"/>
      <c r="S235" s="65"/>
      <c r="T235" s="65"/>
    </row>
    <row r="236" spans="3:20">
      <c r="C236" s="65"/>
      <c r="D236" s="65"/>
      <c r="E236" s="65"/>
      <c r="F236" s="65"/>
      <c r="G236" s="65"/>
      <c r="H236" s="65"/>
      <c r="I236" s="65"/>
      <c r="J236" s="65"/>
      <c r="K236" s="65"/>
      <c r="L236" s="65"/>
      <c r="M236" s="65"/>
      <c r="N236" s="65"/>
      <c r="O236" s="65"/>
      <c r="P236" s="65"/>
      <c r="Q236" s="65"/>
      <c r="R236" s="65"/>
      <c r="S236" s="65"/>
      <c r="T236" s="65"/>
    </row>
    <row r="237" spans="3:20">
      <c r="C237" s="65"/>
      <c r="D237" s="65"/>
      <c r="E237" s="65"/>
      <c r="F237" s="65"/>
      <c r="G237" s="65"/>
      <c r="H237" s="65"/>
      <c r="I237" s="65"/>
      <c r="J237" s="65"/>
      <c r="K237" s="65"/>
      <c r="L237" s="65"/>
      <c r="M237" s="65"/>
      <c r="N237" s="65"/>
      <c r="O237" s="65"/>
      <c r="P237" s="65"/>
      <c r="Q237" s="65"/>
      <c r="R237" s="65"/>
      <c r="S237" s="65"/>
      <c r="T237" s="65"/>
    </row>
    <row r="238" spans="3:20">
      <c r="C238" s="65"/>
      <c r="D238" s="65"/>
      <c r="E238" s="65"/>
      <c r="F238" s="65"/>
      <c r="G238" s="65"/>
      <c r="H238" s="65"/>
      <c r="I238" s="65"/>
      <c r="J238" s="65"/>
      <c r="K238" s="65"/>
      <c r="L238" s="65"/>
      <c r="M238" s="65"/>
      <c r="N238" s="65"/>
      <c r="O238" s="65"/>
      <c r="P238" s="65"/>
      <c r="Q238" s="65"/>
      <c r="R238" s="65"/>
      <c r="S238" s="65"/>
      <c r="T238" s="65"/>
    </row>
    <row r="239" spans="3:20">
      <c r="C239" s="65"/>
      <c r="D239" s="65"/>
      <c r="E239" s="65"/>
      <c r="F239" s="65"/>
      <c r="G239" s="65"/>
      <c r="H239" s="65"/>
      <c r="I239" s="65"/>
      <c r="J239" s="65"/>
      <c r="K239" s="65"/>
      <c r="L239" s="65"/>
      <c r="M239" s="65"/>
      <c r="N239" s="65"/>
      <c r="O239" s="65"/>
      <c r="P239" s="65"/>
      <c r="Q239" s="65"/>
      <c r="R239" s="65"/>
      <c r="S239" s="65"/>
      <c r="T239" s="65"/>
    </row>
    <row r="240" spans="3:20">
      <c r="C240" s="65"/>
      <c r="D240" s="65"/>
      <c r="E240" s="65"/>
      <c r="F240" s="65"/>
      <c r="G240" s="65"/>
      <c r="H240" s="65"/>
      <c r="I240" s="65"/>
      <c r="J240" s="65"/>
      <c r="K240" s="65"/>
      <c r="L240" s="65"/>
      <c r="M240" s="65"/>
      <c r="N240" s="65"/>
      <c r="O240" s="65"/>
      <c r="P240" s="65"/>
      <c r="Q240" s="65"/>
      <c r="R240" s="65"/>
      <c r="S240" s="65"/>
      <c r="T240" s="65"/>
    </row>
    <row r="241" spans="3:20">
      <c r="C241" s="65"/>
      <c r="D241" s="65"/>
      <c r="E241" s="65"/>
      <c r="F241" s="65"/>
      <c r="G241" s="65"/>
      <c r="H241" s="65"/>
      <c r="I241" s="65"/>
      <c r="J241" s="65"/>
      <c r="K241" s="65"/>
      <c r="L241" s="65"/>
      <c r="M241" s="65"/>
      <c r="N241" s="65"/>
      <c r="O241" s="65"/>
      <c r="P241" s="65"/>
      <c r="Q241" s="65"/>
      <c r="R241" s="65"/>
      <c r="S241" s="65"/>
      <c r="T241" s="65"/>
    </row>
    <row r="242" spans="3:20">
      <c r="C242" s="65"/>
      <c r="D242" s="65"/>
      <c r="E242" s="65"/>
      <c r="F242" s="65"/>
      <c r="G242" s="65"/>
      <c r="H242" s="65"/>
      <c r="I242" s="65"/>
      <c r="J242" s="65"/>
      <c r="K242" s="65"/>
      <c r="L242" s="65"/>
      <c r="M242" s="65"/>
      <c r="N242" s="65"/>
      <c r="O242" s="65"/>
      <c r="P242" s="65"/>
      <c r="Q242" s="65"/>
      <c r="R242" s="65"/>
      <c r="S242" s="65"/>
      <c r="T242" s="65"/>
    </row>
    <row r="243" spans="3:20">
      <c r="C243" s="65"/>
      <c r="D243" s="65"/>
      <c r="E243" s="65"/>
      <c r="F243" s="65"/>
      <c r="G243" s="65"/>
      <c r="H243" s="65"/>
      <c r="I243" s="65"/>
      <c r="J243" s="65"/>
      <c r="K243" s="65"/>
      <c r="L243" s="65"/>
      <c r="M243" s="65"/>
      <c r="N243" s="65"/>
      <c r="O243" s="65"/>
      <c r="P243" s="65"/>
      <c r="Q243" s="65"/>
      <c r="R243" s="65"/>
      <c r="S243" s="65"/>
      <c r="T243" s="65"/>
    </row>
    <row r="244" spans="3:20">
      <c r="C244" s="65"/>
      <c r="D244" s="65"/>
      <c r="E244" s="65"/>
      <c r="F244" s="65"/>
      <c r="G244" s="65"/>
      <c r="H244" s="65"/>
      <c r="I244" s="65"/>
      <c r="J244" s="65"/>
      <c r="K244" s="65"/>
      <c r="L244" s="65"/>
      <c r="M244" s="65"/>
      <c r="N244" s="65"/>
      <c r="O244" s="65"/>
      <c r="P244" s="65"/>
      <c r="Q244" s="65"/>
      <c r="R244" s="65"/>
      <c r="S244" s="65"/>
      <c r="T244" s="65"/>
    </row>
    <row r="245" spans="3:20">
      <c r="C245" s="65"/>
      <c r="D245" s="65"/>
      <c r="E245" s="65"/>
      <c r="F245" s="65"/>
      <c r="G245" s="65"/>
      <c r="H245" s="65"/>
      <c r="I245" s="65"/>
      <c r="J245" s="65"/>
      <c r="K245" s="65"/>
      <c r="L245" s="65"/>
      <c r="M245" s="65"/>
      <c r="N245" s="65"/>
      <c r="O245" s="65"/>
      <c r="P245" s="65"/>
      <c r="Q245" s="65"/>
      <c r="R245" s="65"/>
      <c r="S245" s="65"/>
      <c r="T245" s="65"/>
    </row>
    <row r="246" spans="3:20">
      <c r="C246" s="65"/>
      <c r="D246" s="65"/>
      <c r="E246" s="65"/>
      <c r="F246" s="65"/>
      <c r="G246" s="65"/>
      <c r="H246" s="65"/>
      <c r="I246" s="65"/>
      <c r="J246" s="65"/>
      <c r="K246" s="65"/>
      <c r="L246" s="65"/>
      <c r="M246" s="65"/>
      <c r="N246" s="65"/>
      <c r="O246" s="65"/>
      <c r="P246" s="65"/>
      <c r="Q246" s="65"/>
      <c r="R246" s="65"/>
      <c r="S246" s="65"/>
      <c r="T246" s="65"/>
    </row>
    <row r="247" spans="3:20">
      <c r="C247" s="65"/>
      <c r="D247" s="65"/>
      <c r="E247" s="65"/>
      <c r="F247" s="65"/>
      <c r="G247" s="65"/>
      <c r="H247" s="65"/>
      <c r="I247" s="65"/>
      <c r="J247" s="65"/>
      <c r="K247" s="65"/>
      <c r="L247" s="65"/>
      <c r="M247" s="65"/>
      <c r="N247" s="65"/>
      <c r="O247" s="65"/>
      <c r="P247" s="65"/>
      <c r="Q247" s="65"/>
      <c r="R247" s="65"/>
      <c r="S247" s="65"/>
      <c r="T247" s="65"/>
    </row>
    <row r="248" spans="3:20">
      <c r="C248" s="65"/>
      <c r="D248" s="65"/>
      <c r="E248" s="65"/>
      <c r="F248" s="65"/>
      <c r="G248" s="65"/>
      <c r="H248" s="65"/>
      <c r="I248" s="65"/>
      <c r="J248" s="65"/>
      <c r="K248" s="65"/>
      <c r="L248" s="65"/>
      <c r="M248" s="65"/>
      <c r="N248" s="65"/>
      <c r="O248" s="65"/>
      <c r="P248" s="65"/>
      <c r="Q248" s="65"/>
      <c r="R248" s="65"/>
      <c r="S248" s="65"/>
      <c r="T248" s="65"/>
    </row>
    <row r="249" spans="3:20">
      <c r="C249" s="65"/>
      <c r="D249" s="65"/>
      <c r="E249" s="65"/>
      <c r="F249" s="65"/>
      <c r="G249" s="65"/>
      <c r="H249" s="65"/>
      <c r="I249" s="65"/>
      <c r="J249" s="65"/>
      <c r="K249" s="65"/>
      <c r="L249" s="65"/>
      <c r="M249" s="65"/>
      <c r="N249" s="65"/>
      <c r="O249" s="65"/>
      <c r="P249" s="65"/>
      <c r="Q249" s="65"/>
      <c r="R249" s="65"/>
      <c r="S249" s="65"/>
      <c r="T249" s="65"/>
    </row>
    <row r="250" spans="3:20">
      <c r="C250" s="65"/>
      <c r="D250" s="65"/>
      <c r="E250" s="65"/>
      <c r="F250" s="65"/>
      <c r="G250" s="65"/>
      <c r="H250" s="65"/>
      <c r="I250" s="65"/>
      <c r="J250" s="65"/>
      <c r="K250" s="65"/>
      <c r="L250" s="65"/>
      <c r="M250" s="65"/>
      <c r="N250" s="65"/>
      <c r="O250" s="65"/>
      <c r="P250" s="65"/>
      <c r="Q250" s="65"/>
      <c r="R250" s="65"/>
      <c r="S250" s="65"/>
      <c r="T250" s="65"/>
    </row>
    <row r="251" spans="3:20">
      <c r="C251" s="65"/>
      <c r="D251" s="65"/>
      <c r="E251" s="65"/>
      <c r="F251" s="65"/>
      <c r="G251" s="65"/>
      <c r="H251" s="65"/>
      <c r="I251" s="65"/>
      <c r="J251" s="65"/>
      <c r="K251" s="65"/>
      <c r="L251" s="65"/>
      <c r="M251" s="65"/>
      <c r="N251" s="65"/>
      <c r="O251" s="65"/>
      <c r="P251" s="65"/>
      <c r="Q251" s="65"/>
      <c r="R251" s="65"/>
      <c r="S251" s="65"/>
      <c r="T251" s="65"/>
    </row>
    <row r="252" spans="3:20">
      <c r="C252" s="65"/>
      <c r="D252" s="65"/>
      <c r="E252" s="65"/>
      <c r="F252" s="65"/>
      <c r="G252" s="65"/>
      <c r="H252" s="65"/>
      <c r="I252" s="65"/>
      <c r="J252" s="65"/>
      <c r="K252" s="65"/>
      <c r="L252" s="65"/>
      <c r="M252" s="65"/>
      <c r="N252" s="65"/>
      <c r="O252" s="65"/>
      <c r="P252" s="65"/>
      <c r="Q252" s="65"/>
      <c r="R252" s="65"/>
      <c r="S252" s="65"/>
      <c r="T252" s="65"/>
    </row>
    <row r="253" spans="3:20">
      <c r="C253" s="65"/>
      <c r="D253" s="65"/>
      <c r="E253" s="65"/>
      <c r="F253" s="65"/>
      <c r="G253" s="65"/>
      <c r="H253" s="65"/>
      <c r="I253" s="65"/>
      <c r="J253" s="65"/>
      <c r="K253" s="65"/>
      <c r="L253" s="65"/>
      <c r="M253" s="65"/>
      <c r="N253" s="65"/>
      <c r="O253" s="65"/>
      <c r="P253" s="65"/>
      <c r="Q253" s="65"/>
      <c r="R253" s="65"/>
      <c r="S253" s="65"/>
      <c r="T253" s="65"/>
    </row>
    <row r="254" spans="3:20">
      <c r="C254" s="65"/>
      <c r="D254" s="65"/>
      <c r="E254" s="65"/>
      <c r="F254" s="65"/>
      <c r="G254" s="65"/>
      <c r="H254" s="65"/>
      <c r="I254" s="65"/>
      <c r="J254" s="65"/>
      <c r="K254" s="65"/>
      <c r="L254" s="65"/>
      <c r="M254" s="65"/>
      <c r="N254" s="65"/>
      <c r="O254" s="65"/>
      <c r="P254" s="65"/>
      <c r="Q254" s="65"/>
      <c r="R254" s="65"/>
      <c r="S254" s="65"/>
      <c r="T254" s="65"/>
    </row>
    <row r="255" spans="3:20">
      <c r="C255" s="65"/>
      <c r="D255" s="65"/>
      <c r="E255" s="65"/>
      <c r="F255" s="65"/>
      <c r="G255" s="65"/>
      <c r="H255" s="65"/>
      <c r="I255" s="65"/>
      <c r="J255" s="65"/>
      <c r="K255" s="65"/>
      <c r="L255" s="65"/>
      <c r="M255" s="65"/>
      <c r="N255" s="65"/>
      <c r="O255" s="65"/>
      <c r="P255" s="65"/>
      <c r="Q255" s="65"/>
      <c r="R255" s="65"/>
      <c r="S255" s="65"/>
      <c r="T255" s="65"/>
    </row>
    <row r="256" spans="3:20">
      <c r="C256" s="65"/>
      <c r="D256" s="65"/>
      <c r="E256" s="65"/>
      <c r="F256" s="65"/>
      <c r="G256" s="65"/>
      <c r="H256" s="65"/>
      <c r="I256" s="65"/>
      <c r="J256" s="65"/>
      <c r="K256" s="65"/>
      <c r="L256" s="65"/>
      <c r="M256" s="65"/>
      <c r="N256" s="65"/>
      <c r="O256" s="65"/>
      <c r="P256" s="65"/>
      <c r="Q256" s="65"/>
      <c r="R256" s="65"/>
      <c r="S256" s="65"/>
      <c r="T256" s="65"/>
    </row>
    <row r="257" spans="3:20">
      <c r="C257" s="65"/>
      <c r="D257" s="65"/>
      <c r="E257" s="65"/>
      <c r="F257" s="65"/>
      <c r="G257" s="65"/>
      <c r="H257" s="65"/>
      <c r="I257" s="65"/>
      <c r="J257" s="65"/>
      <c r="K257" s="65"/>
      <c r="L257" s="65"/>
      <c r="M257" s="65"/>
      <c r="N257" s="65"/>
      <c r="O257" s="65"/>
      <c r="P257" s="65"/>
      <c r="Q257" s="65"/>
      <c r="R257" s="65"/>
      <c r="S257" s="65"/>
      <c r="T257" s="65"/>
    </row>
    <row r="258" spans="3:20">
      <c r="C258" s="65"/>
      <c r="D258" s="65"/>
      <c r="E258" s="65"/>
      <c r="F258" s="65"/>
      <c r="G258" s="65"/>
      <c r="H258" s="65"/>
      <c r="I258" s="65"/>
      <c r="J258" s="65"/>
      <c r="K258" s="65"/>
      <c r="L258" s="65"/>
      <c r="M258" s="65"/>
      <c r="N258" s="65"/>
      <c r="O258" s="65"/>
      <c r="P258" s="65"/>
      <c r="Q258" s="65"/>
      <c r="R258" s="65"/>
      <c r="S258" s="65"/>
      <c r="T258" s="65"/>
    </row>
    <row r="259" spans="3:20">
      <c r="C259" s="65"/>
      <c r="D259" s="65"/>
      <c r="E259" s="65"/>
      <c r="F259" s="65"/>
      <c r="G259" s="65"/>
      <c r="H259" s="65"/>
      <c r="I259" s="65"/>
      <c r="J259" s="65"/>
      <c r="K259" s="65"/>
      <c r="L259" s="65"/>
      <c r="M259" s="65"/>
      <c r="N259" s="65"/>
      <c r="O259" s="65"/>
      <c r="P259" s="65"/>
      <c r="Q259" s="65"/>
      <c r="R259" s="65"/>
      <c r="S259" s="65"/>
      <c r="T259" s="65"/>
    </row>
    <row r="260" spans="3:20">
      <c r="C260" s="65"/>
      <c r="D260" s="65"/>
      <c r="E260" s="65"/>
      <c r="F260" s="65"/>
      <c r="G260" s="65"/>
      <c r="H260" s="65"/>
      <c r="I260" s="65"/>
      <c r="J260" s="65"/>
      <c r="K260" s="65"/>
      <c r="L260" s="65"/>
      <c r="M260" s="65"/>
      <c r="N260" s="65"/>
      <c r="O260" s="65"/>
      <c r="P260" s="65"/>
      <c r="Q260" s="65"/>
      <c r="R260" s="65"/>
      <c r="S260" s="65"/>
      <c r="T260" s="65"/>
    </row>
    <row r="261" spans="3:20">
      <c r="C261" s="65"/>
      <c r="D261" s="65"/>
      <c r="E261" s="65"/>
      <c r="F261" s="65"/>
      <c r="G261" s="65"/>
      <c r="H261" s="65"/>
      <c r="I261" s="65"/>
      <c r="J261" s="65"/>
      <c r="K261" s="65"/>
      <c r="L261" s="65"/>
      <c r="M261" s="65"/>
      <c r="N261" s="65"/>
      <c r="O261" s="65"/>
      <c r="P261" s="65"/>
      <c r="Q261" s="65"/>
      <c r="R261" s="65"/>
      <c r="S261" s="65"/>
      <c r="T261" s="65"/>
    </row>
    <row r="262" spans="3:20">
      <c r="C262" s="65"/>
      <c r="D262" s="65"/>
      <c r="E262" s="65"/>
      <c r="F262" s="65"/>
      <c r="G262" s="65"/>
      <c r="H262" s="65"/>
      <c r="I262" s="65"/>
      <c r="J262" s="65"/>
      <c r="K262" s="65"/>
      <c r="L262" s="65"/>
      <c r="M262" s="65"/>
      <c r="N262" s="65"/>
      <c r="O262" s="65"/>
      <c r="P262" s="65"/>
      <c r="Q262" s="65"/>
      <c r="R262" s="65"/>
      <c r="S262" s="65"/>
      <c r="T262" s="65"/>
    </row>
    <row r="263" spans="3:20">
      <c r="C263" s="65"/>
      <c r="D263" s="65"/>
      <c r="E263" s="65"/>
      <c r="F263" s="65"/>
      <c r="G263" s="65"/>
      <c r="H263" s="65"/>
      <c r="I263" s="65"/>
      <c r="J263" s="65"/>
      <c r="K263" s="65"/>
      <c r="L263" s="65"/>
      <c r="M263" s="65"/>
      <c r="N263" s="65"/>
      <c r="O263" s="65"/>
      <c r="P263" s="65"/>
      <c r="Q263" s="65"/>
      <c r="R263" s="65"/>
      <c r="S263" s="65"/>
      <c r="T263" s="65"/>
    </row>
    <row r="264" spans="3:20">
      <c r="C264" s="65"/>
      <c r="D264" s="65"/>
      <c r="E264" s="65"/>
      <c r="F264" s="65"/>
      <c r="G264" s="65"/>
      <c r="H264" s="65"/>
      <c r="I264" s="65"/>
      <c r="J264" s="65"/>
      <c r="K264" s="65"/>
      <c r="L264" s="65"/>
      <c r="M264" s="65"/>
      <c r="N264" s="65"/>
      <c r="O264" s="65"/>
      <c r="P264" s="65"/>
      <c r="Q264" s="65"/>
      <c r="R264" s="65"/>
      <c r="S264" s="65"/>
      <c r="T264" s="65"/>
    </row>
    <row r="265" spans="3:20">
      <c r="C265" s="65"/>
      <c r="D265" s="65"/>
      <c r="E265" s="65"/>
      <c r="F265" s="65"/>
      <c r="G265" s="65"/>
      <c r="H265" s="65"/>
      <c r="I265" s="65"/>
      <c r="J265" s="65"/>
      <c r="K265" s="65"/>
      <c r="L265" s="65"/>
      <c r="M265" s="65"/>
      <c r="N265" s="65"/>
      <c r="O265" s="65"/>
      <c r="P265" s="65"/>
      <c r="Q265" s="65"/>
      <c r="R265" s="65"/>
      <c r="S265" s="65"/>
      <c r="T265" s="65"/>
    </row>
    <row r="266" spans="3:20">
      <c r="C266" s="65"/>
      <c r="D266" s="65"/>
      <c r="E266" s="65"/>
      <c r="F266" s="65"/>
      <c r="G266" s="65"/>
      <c r="H266" s="65"/>
      <c r="I266" s="65"/>
      <c r="J266" s="65"/>
      <c r="K266" s="65"/>
      <c r="L266" s="65"/>
      <c r="M266" s="65"/>
      <c r="N266" s="65"/>
      <c r="O266" s="65"/>
      <c r="P266" s="65"/>
      <c r="Q266" s="65"/>
      <c r="R266" s="65"/>
      <c r="S266" s="65"/>
      <c r="T266" s="65"/>
    </row>
    <row r="267" spans="3:20">
      <c r="C267" s="65"/>
      <c r="D267" s="65"/>
      <c r="E267" s="65"/>
      <c r="F267" s="65"/>
      <c r="G267" s="65"/>
      <c r="H267" s="65"/>
      <c r="I267" s="65"/>
      <c r="J267" s="65"/>
      <c r="K267" s="65"/>
      <c r="L267" s="65"/>
      <c r="M267" s="65"/>
      <c r="N267" s="65"/>
      <c r="O267" s="65"/>
      <c r="P267" s="65"/>
      <c r="Q267" s="65"/>
      <c r="R267" s="65"/>
      <c r="S267" s="65"/>
      <c r="T267" s="65"/>
    </row>
    <row r="268" spans="3:20">
      <c r="C268" s="65"/>
      <c r="D268" s="65"/>
      <c r="E268" s="65"/>
      <c r="F268" s="65"/>
      <c r="G268" s="65"/>
      <c r="H268" s="65"/>
      <c r="I268" s="65"/>
      <c r="J268" s="65"/>
      <c r="K268" s="65"/>
      <c r="L268" s="65"/>
      <c r="M268" s="65"/>
      <c r="N268" s="65"/>
      <c r="O268" s="65"/>
      <c r="P268" s="65"/>
      <c r="Q268" s="65"/>
      <c r="R268" s="65"/>
      <c r="S268" s="65"/>
      <c r="T268" s="65"/>
    </row>
    <row r="269" spans="3:20">
      <c r="C269" s="65"/>
      <c r="D269" s="65"/>
      <c r="E269" s="65"/>
      <c r="F269" s="65"/>
      <c r="G269" s="65"/>
      <c r="H269" s="65"/>
      <c r="I269" s="65"/>
      <c r="J269" s="65"/>
      <c r="K269" s="65"/>
      <c r="L269" s="65"/>
      <c r="M269" s="65"/>
      <c r="N269" s="65"/>
      <c r="O269" s="65"/>
      <c r="P269" s="65"/>
      <c r="Q269" s="65"/>
      <c r="R269" s="65"/>
      <c r="S269" s="65"/>
      <c r="T269" s="65"/>
    </row>
    <row r="270" spans="3:20">
      <c r="C270" s="65"/>
      <c r="D270" s="65"/>
      <c r="E270" s="65"/>
      <c r="F270" s="65"/>
      <c r="G270" s="65"/>
      <c r="H270" s="65"/>
      <c r="I270" s="65"/>
      <c r="J270" s="65"/>
      <c r="K270" s="65"/>
      <c r="L270" s="65"/>
      <c r="M270" s="65"/>
      <c r="N270" s="65"/>
      <c r="O270" s="65"/>
      <c r="P270" s="65"/>
      <c r="Q270" s="65"/>
      <c r="R270" s="65"/>
      <c r="S270" s="65"/>
      <c r="T270" s="65"/>
    </row>
    <row r="271" spans="3:20">
      <c r="C271" s="65"/>
      <c r="D271" s="65"/>
      <c r="E271" s="65"/>
      <c r="F271" s="65"/>
      <c r="G271" s="65"/>
      <c r="H271" s="65"/>
      <c r="I271" s="65"/>
      <c r="J271" s="65"/>
      <c r="K271" s="65"/>
      <c r="L271" s="65"/>
      <c r="M271" s="65"/>
      <c r="N271" s="65"/>
      <c r="O271" s="65"/>
      <c r="P271" s="65"/>
      <c r="Q271" s="65"/>
      <c r="R271" s="65"/>
      <c r="S271" s="65"/>
      <c r="T271" s="65"/>
    </row>
    <row r="272" spans="3:20">
      <c r="C272" s="65"/>
      <c r="D272" s="65"/>
      <c r="E272" s="65"/>
      <c r="F272" s="65"/>
      <c r="G272" s="65"/>
      <c r="H272" s="65"/>
      <c r="I272" s="65"/>
      <c r="J272" s="65"/>
      <c r="K272" s="65"/>
      <c r="L272" s="65"/>
      <c r="M272" s="65"/>
      <c r="N272" s="65"/>
      <c r="O272" s="65"/>
      <c r="P272" s="65"/>
      <c r="Q272" s="65"/>
      <c r="R272" s="65"/>
      <c r="S272" s="65"/>
      <c r="T272" s="65"/>
    </row>
    <row r="273" spans="3:20">
      <c r="C273" s="65"/>
      <c r="D273" s="65"/>
      <c r="E273" s="65"/>
      <c r="F273" s="65"/>
      <c r="G273" s="65"/>
      <c r="H273" s="65"/>
      <c r="I273" s="65"/>
      <c r="J273" s="65"/>
      <c r="K273" s="65"/>
      <c r="L273" s="65"/>
      <c r="M273" s="65"/>
      <c r="N273" s="65"/>
      <c r="O273" s="65"/>
      <c r="P273" s="65"/>
      <c r="Q273" s="65"/>
      <c r="R273" s="65"/>
      <c r="S273" s="65"/>
      <c r="T273" s="65"/>
    </row>
    <row r="274" spans="3:20">
      <c r="C274" s="65"/>
      <c r="D274" s="65"/>
      <c r="E274" s="65"/>
      <c r="F274" s="65"/>
      <c r="G274" s="65"/>
      <c r="H274" s="65"/>
      <c r="I274" s="65"/>
      <c r="J274" s="65"/>
      <c r="K274" s="65"/>
      <c r="L274" s="65"/>
      <c r="M274" s="65"/>
      <c r="N274" s="65"/>
      <c r="O274" s="65"/>
      <c r="P274" s="65"/>
      <c r="Q274" s="65"/>
      <c r="R274" s="65"/>
      <c r="S274" s="65"/>
      <c r="T274" s="65"/>
    </row>
    <row r="275" spans="3:20">
      <c r="C275" s="65"/>
      <c r="D275" s="65"/>
      <c r="E275" s="65"/>
      <c r="F275" s="65"/>
      <c r="G275" s="65"/>
      <c r="H275" s="65"/>
      <c r="I275" s="65"/>
      <c r="J275" s="65"/>
      <c r="K275" s="65"/>
      <c r="L275" s="65"/>
      <c r="M275" s="65"/>
      <c r="N275" s="65"/>
      <c r="O275" s="65"/>
      <c r="P275" s="65"/>
      <c r="Q275" s="65"/>
      <c r="R275" s="65"/>
      <c r="S275" s="65"/>
      <c r="T275" s="65"/>
    </row>
    <row r="276" spans="3:20">
      <c r="C276" s="65"/>
      <c r="D276" s="65"/>
      <c r="E276" s="65"/>
      <c r="F276" s="65"/>
      <c r="G276" s="65"/>
      <c r="H276" s="65"/>
      <c r="I276" s="65"/>
      <c r="J276" s="65"/>
      <c r="K276" s="65"/>
      <c r="L276" s="65"/>
      <c r="M276" s="65"/>
      <c r="N276" s="65"/>
      <c r="O276" s="65"/>
      <c r="P276" s="65"/>
      <c r="Q276" s="65"/>
      <c r="R276" s="65"/>
      <c r="S276" s="65"/>
      <c r="T276" s="65"/>
    </row>
    <row r="277" spans="3:20">
      <c r="C277" s="65"/>
      <c r="D277" s="65"/>
      <c r="E277" s="65"/>
      <c r="F277" s="65"/>
      <c r="G277" s="65"/>
      <c r="H277" s="65"/>
      <c r="I277" s="65"/>
      <c r="J277" s="65"/>
      <c r="K277" s="65"/>
      <c r="L277" s="65"/>
      <c r="M277" s="65"/>
      <c r="N277" s="65"/>
      <c r="O277" s="65"/>
      <c r="P277" s="65"/>
      <c r="Q277" s="65"/>
      <c r="R277" s="65"/>
      <c r="S277" s="65"/>
      <c r="T277" s="65"/>
    </row>
    <row r="278" spans="3:20">
      <c r="C278" s="65"/>
      <c r="D278" s="65"/>
      <c r="E278" s="65"/>
      <c r="F278" s="65"/>
      <c r="G278" s="65"/>
      <c r="H278" s="65"/>
      <c r="I278" s="65"/>
      <c r="J278" s="65"/>
      <c r="K278" s="65"/>
      <c r="L278" s="65"/>
      <c r="M278" s="65"/>
      <c r="N278" s="65"/>
      <c r="O278" s="65"/>
      <c r="P278" s="65"/>
      <c r="Q278" s="65"/>
      <c r="R278" s="65"/>
      <c r="S278" s="65"/>
      <c r="T278" s="65"/>
    </row>
    <row r="279" spans="3:20">
      <c r="C279" s="65"/>
      <c r="D279" s="65"/>
      <c r="E279" s="65"/>
      <c r="F279" s="65"/>
      <c r="G279" s="65"/>
      <c r="H279" s="65"/>
      <c r="I279" s="65"/>
      <c r="J279" s="65"/>
      <c r="K279" s="65"/>
      <c r="L279" s="65"/>
      <c r="M279" s="65"/>
      <c r="N279" s="65"/>
      <c r="O279" s="65"/>
      <c r="P279" s="65"/>
      <c r="Q279" s="65"/>
      <c r="R279" s="65"/>
      <c r="S279" s="65"/>
      <c r="T279" s="65"/>
    </row>
    <row r="280" spans="3:20">
      <c r="C280" s="65"/>
      <c r="D280" s="65"/>
      <c r="E280" s="65"/>
      <c r="F280" s="65"/>
      <c r="G280" s="65"/>
      <c r="H280" s="65"/>
      <c r="I280" s="65"/>
      <c r="J280" s="65"/>
      <c r="K280" s="65"/>
      <c r="L280" s="65"/>
      <c r="M280" s="65"/>
      <c r="N280" s="65"/>
      <c r="O280" s="65"/>
      <c r="P280" s="65"/>
      <c r="Q280" s="65"/>
      <c r="R280" s="65"/>
      <c r="S280" s="65"/>
      <c r="T280" s="65"/>
    </row>
    <row r="281" spans="3:20">
      <c r="C281" s="65"/>
      <c r="D281" s="65"/>
      <c r="E281" s="65"/>
      <c r="F281" s="65"/>
      <c r="G281" s="65"/>
      <c r="H281" s="65"/>
      <c r="I281" s="65"/>
      <c r="J281" s="65"/>
      <c r="K281" s="65"/>
      <c r="L281" s="65"/>
      <c r="M281" s="65"/>
      <c r="N281" s="65"/>
      <c r="O281" s="65"/>
      <c r="P281" s="65"/>
      <c r="Q281" s="65"/>
      <c r="R281" s="65"/>
      <c r="S281" s="65"/>
      <c r="T281" s="65"/>
    </row>
    <row r="282" spans="3:20">
      <c r="C282" s="65"/>
      <c r="D282" s="65"/>
      <c r="E282" s="65"/>
      <c r="F282" s="65"/>
      <c r="G282" s="65"/>
      <c r="H282" s="65"/>
      <c r="I282" s="65"/>
      <c r="J282" s="65"/>
      <c r="K282" s="65"/>
      <c r="L282" s="65"/>
      <c r="M282" s="65"/>
      <c r="N282" s="65"/>
      <c r="O282" s="65"/>
      <c r="P282" s="65"/>
      <c r="Q282" s="65"/>
      <c r="R282" s="65"/>
      <c r="S282" s="65"/>
      <c r="T282" s="65"/>
    </row>
    <row r="283" spans="3:20">
      <c r="C283" s="65"/>
      <c r="D283" s="65"/>
      <c r="E283" s="65"/>
      <c r="F283" s="65"/>
      <c r="G283" s="65"/>
      <c r="H283" s="65"/>
      <c r="I283" s="65"/>
      <c r="J283" s="65"/>
      <c r="K283" s="65"/>
      <c r="L283" s="65"/>
      <c r="M283" s="65"/>
      <c r="N283" s="65"/>
      <c r="O283" s="65"/>
      <c r="P283" s="65"/>
      <c r="Q283" s="65"/>
      <c r="R283" s="65"/>
      <c r="S283" s="65"/>
      <c r="T283" s="65"/>
    </row>
    <row r="284" spans="3:20">
      <c r="C284" s="65"/>
      <c r="D284" s="65"/>
      <c r="E284" s="65"/>
      <c r="F284" s="65"/>
      <c r="G284" s="65"/>
      <c r="H284" s="65"/>
      <c r="I284" s="65"/>
      <c r="J284" s="65"/>
      <c r="K284" s="65"/>
      <c r="L284" s="65"/>
      <c r="M284" s="65"/>
      <c r="N284" s="65"/>
      <c r="O284" s="65"/>
      <c r="P284" s="65"/>
      <c r="Q284" s="65"/>
      <c r="R284" s="65"/>
      <c r="S284" s="65"/>
      <c r="T284" s="65"/>
    </row>
    <row r="285" spans="3:20">
      <c r="C285" s="65"/>
      <c r="D285" s="65"/>
      <c r="E285" s="65"/>
      <c r="F285" s="65"/>
      <c r="G285" s="65"/>
      <c r="H285" s="65"/>
      <c r="I285" s="65"/>
      <c r="J285" s="65"/>
      <c r="K285" s="65"/>
      <c r="L285" s="65"/>
      <c r="M285" s="65"/>
      <c r="N285" s="65"/>
      <c r="O285" s="65"/>
      <c r="P285" s="65"/>
      <c r="Q285" s="65"/>
      <c r="R285" s="65"/>
      <c r="S285" s="65"/>
      <c r="T285" s="65"/>
    </row>
    <row r="286" spans="3:20">
      <c r="C286" s="65"/>
      <c r="D286" s="65"/>
      <c r="E286" s="65"/>
      <c r="F286" s="65"/>
      <c r="G286" s="65"/>
      <c r="H286" s="65"/>
      <c r="I286" s="65"/>
      <c r="J286" s="65"/>
      <c r="K286" s="65"/>
      <c r="L286" s="65"/>
      <c r="M286" s="65"/>
      <c r="N286" s="65"/>
      <c r="O286" s="65"/>
      <c r="P286" s="65"/>
      <c r="Q286" s="65"/>
      <c r="R286" s="65"/>
      <c r="S286" s="65"/>
      <c r="T286" s="65"/>
    </row>
    <row r="287" spans="3:20">
      <c r="C287" s="65"/>
      <c r="D287" s="65"/>
      <c r="E287" s="65"/>
      <c r="F287" s="65"/>
      <c r="G287" s="65"/>
      <c r="H287" s="65"/>
      <c r="I287" s="65"/>
      <c r="J287" s="65"/>
      <c r="K287" s="65"/>
      <c r="L287" s="65"/>
      <c r="M287" s="65"/>
      <c r="N287" s="65"/>
      <c r="O287" s="65"/>
      <c r="P287" s="65"/>
      <c r="Q287" s="65"/>
      <c r="R287" s="65"/>
      <c r="S287" s="65"/>
      <c r="T287" s="65"/>
    </row>
    <row r="288" spans="3:20">
      <c r="C288" s="65"/>
      <c r="D288" s="65"/>
      <c r="E288" s="65"/>
      <c r="F288" s="65"/>
      <c r="G288" s="65"/>
      <c r="H288" s="65"/>
      <c r="I288" s="65"/>
      <c r="J288" s="65"/>
      <c r="K288" s="65"/>
      <c r="L288" s="65"/>
      <c r="M288" s="65"/>
      <c r="N288" s="65"/>
      <c r="O288" s="65"/>
      <c r="P288" s="65"/>
      <c r="Q288" s="65"/>
      <c r="R288" s="65"/>
      <c r="S288" s="65"/>
      <c r="T288" s="65"/>
    </row>
    <row r="289" spans="3:20">
      <c r="C289" s="65"/>
      <c r="D289" s="65"/>
      <c r="E289" s="65"/>
      <c r="F289" s="65"/>
      <c r="G289" s="65"/>
      <c r="H289" s="65"/>
      <c r="I289" s="65"/>
      <c r="J289" s="65"/>
      <c r="K289" s="65"/>
      <c r="L289" s="65"/>
      <c r="M289" s="65"/>
      <c r="N289" s="65"/>
      <c r="O289" s="65"/>
      <c r="P289" s="65"/>
      <c r="Q289" s="65"/>
      <c r="R289" s="65"/>
      <c r="S289" s="65"/>
      <c r="T289" s="65"/>
    </row>
    <row r="290" spans="3:20">
      <c r="C290" s="65"/>
      <c r="D290" s="65"/>
      <c r="E290" s="65"/>
      <c r="F290" s="65"/>
      <c r="G290" s="65"/>
      <c r="H290" s="65"/>
      <c r="I290" s="65"/>
      <c r="J290" s="65"/>
      <c r="K290" s="65"/>
      <c r="L290" s="65"/>
      <c r="M290" s="65"/>
      <c r="N290" s="65"/>
      <c r="O290" s="65"/>
      <c r="P290" s="65"/>
      <c r="Q290" s="65"/>
      <c r="R290" s="65"/>
      <c r="S290" s="65"/>
      <c r="T290" s="65"/>
    </row>
    <row r="291" spans="3:20">
      <c r="C291" s="65"/>
      <c r="D291" s="65"/>
      <c r="E291" s="65"/>
      <c r="F291" s="65"/>
      <c r="G291" s="65"/>
      <c r="H291" s="65"/>
      <c r="I291" s="65"/>
      <c r="J291" s="65"/>
      <c r="K291" s="65"/>
      <c r="L291" s="65"/>
      <c r="M291" s="65"/>
      <c r="N291" s="65"/>
      <c r="O291" s="65"/>
      <c r="P291" s="65"/>
      <c r="Q291" s="65"/>
      <c r="R291" s="65"/>
      <c r="S291" s="65"/>
      <c r="T291" s="65"/>
    </row>
    <row r="292" spans="3:20">
      <c r="C292" s="65"/>
      <c r="D292" s="65"/>
      <c r="E292" s="65"/>
      <c r="F292" s="65"/>
      <c r="G292" s="65"/>
      <c r="H292" s="65"/>
      <c r="I292" s="65"/>
      <c r="J292" s="65"/>
      <c r="K292" s="65"/>
      <c r="L292" s="65"/>
      <c r="M292" s="65"/>
      <c r="N292" s="65"/>
      <c r="O292" s="65"/>
      <c r="P292" s="65"/>
      <c r="Q292" s="65"/>
      <c r="R292" s="65"/>
      <c r="S292" s="65"/>
      <c r="T292" s="65"/>
    </row>
    <row r="293" spans="3:20">
      <c r="C293" s="65"/>
      <c r="D293" s="65"/>
      <c r="E293" s="65"/>
      <c r="F293" s="65"/>
      <c r="G293" s="65"/>
      <c r="H293" s="65"/>
      <c r="I293" s="65"/>
      <c r="J293" s="65"/>
      <c r="K293" s="65"/>
      <c r="L293" s="65"/>
      <c r="M293" s="65"/>
      <c r="N293" s="65"/>
      <c r="O293" s="65"/>
      <c r="P293" s="65"/>
      <c r="Q293" s="65"/>
      <c r="R293" s="65"/>
      <c r="S293" s="65"/>
      <c r="T293" s="65"/>
    </row>
    <row r="294" spans="3:20">
      <c r="C294" s="65"/>
      <c r="D294" s="65"/>
      <c r="E294" s="65"/>
      <c r="F294" s="65"/>
      <c r="G294" s="65"/>
      <c r="H294" s="65"/>
      <c r="I294" s="65"/>
      <c r="J294" s="65"/>
      <c r="K294" s="65"/>
      <c r="L294" s="65"/>
      <c r="M294" s="65"/>
      <c r="N294" s="65"/>
      <c r="O294" s="65"/>
      <c r="P294" s="65"/>
      <c r="Q294" s="65"/>
      <c r="R294" s="65"/>
      <c r="S294" s="65"/>
      <c r="T294" s="65"/>
    </row>
    <row r="295" spans="3:20">
      <c r="C295" s="65"/>
      <c r="D295" s="65"/>
      <c r="E295" s="65"/>
      <c r="F295" s="65"/>
      <c r="G295" s="65"/>
      <c r="H295" s="65"/>
      <c r="I295" s="65"/>
      <c r="J295" s="65"/>
      <c r="K295" s="65"/>
      <c r="L295" s="65"/>
      <c r="M295" s="65"/>
      <c r="N295" s="65"/>
      <c r="O295" s="65"/>
      <c r="P295" s="65"/>
      <c r="Q295" s="65"/>
      <c r="R295" s="65"/>
      <c r="S295" s="65"/>
      <c r="T295" s="65"/>
    </row>
    <row r="296" spans="3:20">
      <c r="C296" s="65"/>
      <c r="D296" s="65"/>
      <c r="E296" s="65"/>
      <c r="F296" s="65"/>
      <c r="G296" s="65"/>
      <c r="H296" s="65"/>
      <c r="I296" s="65"/>
      <c r="J296" s="65"/>
      <c r="K296" s="65"/>
      <c r="L296" s="65"/>
      <c r="M296" s="65"/>
      <c r="N296" s="65"/>
      <c r="O296" s="65"/>
      <c r="P296" s="65"/>
      <c r="Q296" s="65"/>
      <c r="R296" s="65"/>
      <c r="S296" s="65"/>
      <c r="T296" s="65"/>
    </row>
    <row r="297" spans="3:20">
      <c r="C297" s="65"/>
      <c r="D297" s="65"/>
      <c r="E297" s="65"/>
      <c r="F297" s="65"/>
      <c r="G297" s="65"/>
      <c r="H297" s="65"/>
      <c r="I297" s="65"/>
      <c r="J297" s="65"/>
      <c r="K297" s="65"/>
      <c r="L297" s="65"/>
      <c r="M297" s="65"/>
      <c r="N297" s="65"/>
      <c r="O297" s="65"/>
      <c r="P297" s="65"/>
      <c r="Q297" s="65"/>
      <c r="R297" s="65"/>
      <c r="S297" s="65"/>
      <c r="T297" s="65"/>
    </row>
    <row r="298" spans="3:20">
      <c r="C298" s="65"/>
      <c r="D298" s="65"/>
      <c r="E298" s="65"/>
      <c r="F298" s="65"/>
      <c r="G298" s="65"/>
      <c r="H298" s="65"/>
      <c r="I298" s="65"/>
      <c r="J298" s="65"/>
      <c r="K298" s="65"/>
      <c r="L298" s="65"/>
      <c r="M298" s="65"/>
      <c r="N298" s="65"/>
      <c r="O298" s="65"/>
      <c r="P298" s="65"/>
      <c r="Q298" s="65"/>
      <c r="R298" s="65"/>
      <c r="S298" s="65"/>
      <c r="T298" s="65"/>
    </row>
    <row r="299" spans="3:20">
      <c r="C299" s="65"/>
      <c r="D299" s="65"/>
      <c r="E299" s="65"/>
      <c r="F299" s="65"/>
      <c r="G299" s="65"/>
      <c r="H299" s="65"/>
      <c r="I299" s="65"/>
      <c r="J299" s="65"/>
      <c r="K299" s="65"/>
      <c r="L299" s="65"/>
      <c r="M299" s="65"/>
      <c r="N299" s="65"/>
      <c r="O299" s="65"/>
      <c r="P299" s="65"/>
      <c r="Q299" s="65"/>
      <c r="R299" s="65"/>
      <c r="S299" s="65"/>
      <c r="T299" s="65"/>
    </row>
    <row r="300" spans="3:20">
      <c r="C300" s="65"/>
      <c r="D300" s="65"/>
      <c r="E300" s="65"/>
      <c r="F300" s="65"/>
      <c r="G300" s="65"/>
      <c r="H300" s="65"/>
      <c r="I300" s="65"/>
      <c r="J300" s="65"/>
      <c r="K300" s="65"/>
      <c r="L300" s="65"/>
      <c r="M300" s="65"/>
      <c r="N300" s="65"/>
      <c r="O300" s="65"/>
      <c r="P300" s="65"/>
      <c r="Q300" s="65"/>
      <c r="R300" s="65"/>
      <c r="S300" s="65"/>
      <c r="T300" s="65"/>
    </row>
    <row r="301" spans="3:20">
      <c r="C301" s="65"/>
      <c r="D301" s="65"/>
      <c r="E301" s="65"/>
      <c r="F301" s="65"/>
      <c r="G301" s="65"/>
      <c r="H301" s="65"/>
      <c r="I301" s="65"/>
      <c r="J301" s="65"/>
      <c r="K301" s="65"/>
      <c r="L301" s="65"/>
      <c r="M301" s="65"/>
      <c r="N301" s="65"/>
      <c r="O301" s="65"/>
      <c r="P301" s="65"/>
      <c r="Q301" s="65"/>
      <c r="R301" s="65"/>
      <c r="S301" s="65"/>
      <c r="T301" s="65"/>
    </row>
    <row r="302" spans="3:20">
      <c r="C302" s="65"/>
      <c r="D302" s="65"/>
      <c r="E302" s="65"/>
      <c r="F302" s="65"/>
      <c r="G302" s="65"/>
      <c r="H302" s="65"/>
      <c r="I302" s="65"/>
      <c r="J302" s="65"/>
      <c r="K302" s="65"/>
      <c r="L302" s="65"/>
      <c r="M302" s="65"/>
      <c r="N302" s="65"/>
      <c r="O302" s="65"/>
      <c r="P302" s="65"/>
      <c r="Q302" s="65"/>
      <c r="R302" s="65"/>
      <c r="S302" s="65"/>
      <c r="T302" s="65"/>
    </row>
    <row r="303" spans="3:20">
      <c r="C303" s="65"/>
      <c r="D303" s="65"/>
      <c r="E303" s="65"/>
      <c r="F303" s="65"/>
      <c r="G303" s="65"/>
      <c r="H303" s="65"/>
      <c r="I303" s="65"/>
      <c r="J303" s="65"/>
      <c r="K303" s="65"/>
      <c r="L303" s="65"/>
      <c r="M303" s="65"/>
      <c r="N303" s="65"/>
      <c r="O303" s="65"/>
      <c r="P303" s="65"/>
      <c r="Q303" s="65"/>
      <c r="R303" s="65"/>
      <c r="S303" s="65"/>
      <c r="T303" s="65"/>
    </row>
    <row r="304" spans="3:20">
      <c r="C304" s="65"/>
      <c r="D304" s="65"/>
      <c r="E304" s="65"/>
      <c r="F304" s="65"/>
      <c r="G304" s="65"/>
      <c r="H304" s="65"/>
      <c r="I304" s="65"/>
      <c r="J304" s="65"/>
      <c r="K304" s="65"/>
      <c r="L304" s="65"/>
      <c r="M304" s="65"/>
      <c r="N304" s="65"/>
      <c r="O304" s="65"/>
      <c r="P304" s="65"/>
      <c r="Q304" s="65"/>
      <c r="R304" s="65"/>
      <c r="S304" s="65"/>
      <c r="T304" s="65"/>
    </row>
    <row r="305" spans="3:20">
      <c r="C305" s="65"/>
      <c r="D305" s="65"/>
      <c r="E305" s="65"/>
      <c r="F305" s="65"/>
      <c r="G305" s="65"/>
      <c r="H305" s="65"/>
      <c r="I305" s="65"/>
      <c r="J305" s="65"/>
      <c r="K305" s="65"/>
      <c r="L305" s="65"/>
      <c r="M305" s="65"/>
      <c r="N305" s="65"/>
      <c r="O305" s="65"/>
      <c r="P305" s="65"/>
      <c r="Q305" s="65"/>
      <c r="R305" s="65"/>
      <c r="S305" s="65"/>
      <c r="T305" s="65"/>
    </row>
    <row r="306" spans="3:20">
      <c r="C306" s="65"/>
      <c r="D306" s="65"/>
      <c r="E306" s="65"/>
      <c r="F306" s="65"/>
      <c r="G306" s="65"/>
      <c r="H306" s="65"/>
      <c r="I306" s="65"/>
      <c r="J306" s="65"/>
      <c r="K306" s="65"/>
      <c r="L306" s="65"/>
      <c r="M306" s="65"/>
      <c r="N306" s="65"/>
      <c r="O306" s="65"/>
      <c r="P306" s="65"/>
      <c r="Q306" s="65"/>
      <c r="R306" s="65"/>
      <c r="S306" s="65"/>
      <c r="T306" s="65"/>
    </row>
    <row r="307" spans="3:20">
      <c r="C307" s="65"/>
      <c r="D307" s="65"/>
      <c r="E307" s="65"/>
      <c r="F307" s="65"/>
      <c r="G307" s="65"/>
      <c r="H307" s="65"/>
      <c r="I307" s="65"/>
      <c r="J307" s="65"/>
      <c r="K307" s="65"/>
      <c r="L307" s="65"/>
      <c r="M307" s="65"/>
      <c r="N307" s="65"/>
      <c r="O307" s="65"/>
      <c r="P307" s="65"/>
      <c r="Q307" s="65"/>
      <c r="R307" s="65"/>
      <c r="S307" s="65"/>
      <c r="T307" s="65"/>
    </row>
    <row r="308" spans="3:20">
      <c r="C308" s="65"/>
      <c r="D308" s="65"/>
      <c r="E308" s="65"/>
      <c r="F308" s="65"/>
      <c r="G308" s="65"/>
      <c r="H308" s="65"/>
      <c r="I308" s="65"/>
      <c r="J308" s="65"/>
      <c r="K308" s="65"/>
      <c r="L308" s="65"/>
      <c r="M308" s="65"/>
      <c r="N308" s="65"/>
      <c r="O308" s="65"/>
      <c r="P308" s="65"/>
      <c r="Q308" s="65"/>
      <c r="R308" s="65"/>
      <c r="S308" s="65"/>
      <c r="T308" s="65"/>
    </row>
    <row r="309" spans="3:20">
      <c r="C309" s="65"/>
      <c r="D309" s="65"/>
      <c r="E309" s="65"/>
      <c r="F309" s="65"/>
      <c r="G309" s="65"/>
      <c r="H309" s="65"/>
      <c r="I309" s="65"/>
      <c r="J309" s="65"/>
      <c r="K309" s="65"/>
      <c r="L309" s="65"/>
      <c r="M309" s="65"/>
      <c r="N309" s="65"/>
      <c r="O309" s="65"/>
      <c r="P309" s="65"/>
      <c r="Q309" s="65"/>
      <c r="R309" s="65"/>
      <c r="S309" s="65"/>
      <c r="T309" s="65"/>
    </row>
    <row r="310" spans="3:20">
      <c r="C310" s="65"/>
      <c r="D310" s="65"/>
      <c r="E310" s="65"/>
      <c r="F310" s="65"/>
      <c r="G310" s="65"/>
      <c r="H310" s="65"/>
      <c r="I310" s="65"/>
      <c r="J310" s="65"/>
      <c r="K310" s="65"/>
      <c r="L310" s="65"/>
      <c r="M310" s="65"/>
      <c r="N310" s="65"/>
      <c r="O310" s="65"/>
      <c r="P310" s="65"/>
      <c r="Q310" s="65"/>
      <c r="R310" s="65"/>
      <c r="S310" s="65"/>
      <c r="T310" s="65"/>
    </row>
    <row r="311" spans="3:20">
      <c r="C311" s="65"/>
      <c r="D311" s="65"/>
      <c r="E311" s="65"/>
      <c r="F311" s="65"/>
      <c r="G311" s="65"/>
      <c r="H311" s="65"/>
      <c r="I311" s="65"/>
      <c r="J311" s="65"/>
      <c r="K311" s="65"/>
      <c r="L311" s="65"/>
      <c r="M311" s="65"/>
      <c r="N311" s="65"/>
      <c r="O311" s="65"/>
      <c r="P311" s="65"/>
      <c r="Q311" s="65"/>
      <c r="R311" s="65"/>
      <c r="S311" s="65"/>
      <c r="T311" s="65"/>
    </row>
    <row r="312" spans="3:20">
      <c r="C312" s="65"/>
      <c r="D312" s="65"/>
      <c r="E312" s="65"/>
      <c r="F312" s="65"/>
      <c r="G312" s="65"/>
      <c r="H312" s="65"/>
      <c r="I312" s="65"/>
      <c r="J312" s="65"/>
      <c r="K312" s="65"/>
      <c r="L312" s="65"/>
      <c r="M312" s="65"/>
      <c r="N312" s="65"/>
      <c r="O312" s="65"/>
      <c r="P312" s="65"/>
      <c r="Q312" s="65"/>
      <c r="R312" s="65"/>
      <c r="S312" s="65"/>
      <c r="T312" s="65"/>
    </row>
    <row r="313" spans="3:20">
      <c r="C313" s="65"/>
      <c r="D313" s="65"/>
      <c r="E313" s="65"/>
      <c r="F313" s="65"/>
      <c r="G313" s="65"/>
      <c r="H313" s="65"/>
      <c r="I313" s="65"/>
      <c r="J313" s="65"/>
      <c r="K313" s="65"/>
      <c r="L313" s="65"/>
      <c r="M313" s="65"/>
      <c r="N313" s="65"/>
      <c r="O313" s="65"/>
      <c r="P313" s="65"/>
      <c r="Q313" s="65"/>
      <c r="R313" s="65"/>
      <c r="S313" s="65"/>
      <c r="T313" s="65"/>
    </row>
    <row r="314" spans="3:20">
      <c r="C314" s="65"/>
      <c r="D314" s="65"/>
      <c r="E314" s="65"/>
      <c r="F314" s="65"/>
      <c r="G314" s="65"/>
      <c r="H314" s="65"/>
      <c r="I314" s="65"/>
      <c r="J314" s="65"/>
      <c r="K314" s="65"/>
      <c r="L314" s="65"/>
      <c r="M314" s="65"/>
      <c r="N314" s="65"/>
      <c r="O314" s="65"/>
      <c r="P314" s="65"/>
      <c r="Q314" s="65"/>
      <c r="R314" s="65"/>
      <c r="S314" s="65"/>
      <c r="T314" s="65"/>
    </row>
    <row r="315" spans="3:20">
      <c r="C315" s="65"/>
      <c r="D315" s="65"/>
      <c r="E315" s="65"/>
      <c r="F315" s="65"/>
      <c r="G315" s="65"/>
      <c r="H315" s="65"/>
      <c r="I315" s="65"/>
      <c r="J315" s="65"/>
      <c r="K315" s="65"/>
      <c r="L315" s="65"/>
      <c r="M315" s="65"/>
      <c r="N315" s="65"/>
      <c r="O315" s="65"/>
      <c r="P315" s="65"/>
      <c r="Q315" s="65"/>
      <c r="R315" s="65"/>
      <c r="S315" s="65"/>
      <c r="T315" s="65"/>
    </row>
    <row r="316" spans="3:20">
      <c r="C316" s="65"/>
      <c r="D316" s="65"/>
      <c r="E316" s="65"/>
      <c r="F316" s="65"/>
      <c r="G316" s="65"/>
      <c r="H316" s="65"/>
      <c r="I316" s="65"/>
      <c r="J316" s="65"/>
      <c r="K316" s="65"/>
      <c r="L316" s="65"/>
      <c r="M316" s="65"/>
      <c r="N316" s="65"/>
      <c r="O316" s="65"/>
      <c r="P316" s="65"/>
      <c r="Q316" s="65"/>
      <c r="R316" s="65"/>
      <c r="S316" s="65"/>
      <c r="T316" s="65"/>
    </row>
    <row r="317" spans="3:20">
      <c r="C317" s="65"/>
      <c r="D317" s="65"/>
      <c r="E317" s="65"/>
      <c r="F317" s="65"/>
      <c r="G317" s="65"/>
      <c r="H317" s="65"/>
      <c r="I317" s="65"/>
      <c r="J317" s="65"/>
      <c r="K317" s="65"/>
      <c r="L317" s="65"/>
      <c r="M317" s="65"/>
      <c r="N317" s="65"/>
      <c r="O317" s="65"/>
      <c r="P317" s="65"/>
      <c r="Q317" s="65"/>
      <c r="R317" s="65"/>
      <c r="S317" s="65"/>
      <c r="T317" s="65"/>
    </row>
    <row r="318" spans="3:20">
      <c r="C318" s="65"/>
      <c r="D318" s="65"/>
      <c r="E318" s="65"/>
      <c r="F318" s="65"/>
      <c r="G318" s="65"/>
      <c r="H318" s="65"/>
      <c r="I318" s="65"/>
      <c r="J318" s="65"/>
      <c r="K318" s="65"/>
      <c r="L318" s="65"/>
      <c r="M318" s="65"/>
      <c r="N318" s="65"/>
      <c r="O318" s="65"/>
      <c r="P318" s="65"/>
      <c r="Q318" s="65"/>
      <c r="R318" s="65"/>
      <c r="S318" s="65"/>
      <c r="T318" s="65"/>
    </row>
    <row r="319" spans="3:20">
      <c r="C319" s="65"/>
      <c r="D319" s="65"/>
      <c r="E319" s="65"/>
      <c r="F319" s="65"/>
      <c r="G319" s="65"/>
      <c r="H319" s="65"/>
      <c r="I319" s="65"/>
      <c r="J319" s="65"/>
      <c r="K319" s="65"/>
      <c r="L319" s="65"/>
      <c r="M319" s="65"/>
      <c r="N319" s="65"/>
      <c r="O319" s="65"/>
      <c r="P319" s="65"/>
      <c r="Q319" s="65"/>
      <c r="R319" s="65"/>
      <c r="S319" s="65"/>
      <c r="T319" s="65"/>
    </row>
    <row r="320" spans="3:20">
      <c r="C320" s="65"/>
      <c r="D320" s="65"/>
      <c r="E320" s="65"/>
      <c r="F320" s="65"/>
      <c r="G320" s="65"/>
      <c r="H320" s="65"/>
      <c r="I320" s="65"/>
      <c r="J320" s="65"/>
      <c r="K320" s="65"/>
      <c r="L320" s="65"/>
      <c r="M320" s="65"/>
      <c r="N320" s="65"/>
      <c r="O320" s="65"/>
      <c r="P320" s="65"/>
      <c r="Q320" s="65"/>
      <c r="R320" s="65"/>
      <c r="S320" s="65"/>
      <c r="T320" s="65"/>
    </row>
    <row r="321" spans="3:20">
      <c r="C321" s="65"/>
      <c r="D321" s="65"/>
      <c r="E321" s="65"/>
      <c r="F321" s="65"/>
      <c r="G321" s="65"/>
      <c r="H321" s="65"/>
      <c r="I321" s="65"/>
      <c r="J321" s="65"/>
      <c r="K321" s="65"/>
      <c r="L321" s="65"/>
      <c r="M321" s="65"/>
      <c r="N321" s="65"/>
      <c r="O321" s="65"/>
      <c r="P321" s="65"/>
      <c r="Q321" s="65"/>
      <c r="R321" s="65"/>
      <c r="S321" s="65"/>
      <c r="T321" s="65"/>
    </row>
    <row r="322" spans="3:20">
      <c r="C322" s="65"/>
      <c r="D322" s="65"/>
      <c r="E322" s="65"/>
      <c r="F322" s="65"/>
      <c r="G322" s="65"/>
      <c r="H322" s="65"/>
      <c r="I322" s="65"/>
      <c r="J322" s="65"/>
      <c r="K322" s="65"/>
      <c r="L322" s="65"/>
      <c r="M322" s="65"/>
      <c r="N322" s="65"/>
      <c r="O322" s="65"/>
      <c r="P322" s="65"/>
      <c r="Q322" s="65"/>
      <c r="R322" s="65"/>
      <c r="S322" s="65"/>
      <c r="T322" s="65"/>
    </row>
    <row r="323" spans="3:20">
      <c r="C323" s="65"/>
      <c r="D323" s="65"/>
      <c r="E323" s="65"/>
      <c r="F323" s="65"/>
      <c r="G323" s="65"/>
      <c r="H323" s="65"/>
      <c r="I323" s="65"/>
      <c r="J323" s="65"/>
      <c r="K323" s="65"/>
      <c r="L323" s="65"/>
      <c r="M323" s="65"/>
      <c r="N323" s="65"/>
      <c r="O323" s="65"/>
      <c r="P323" s="65"/>
      <c r="Q323" s="65"/>
      <c r="R323" s="65"/>
      <c r="S323" s="65"/>
      <c r="T323" s="65"/>
    </row>
    <row r="324" spans="3:20">
      <c r="C324" s="65"/>
      <c r="D324" s="65"/>
      <c r="E324" s="65"/>
      <c r="F324" s="65"/>
      <c r="G324" s="65"/>
      <c r="H324" s="65"/>
      <c r="I324" s="65"/>
      <c r="J324" s="65"/>
      <c r="K324" s="65"/>
      <c r="L324" s="65"/>
      <c r="M324" s="65"/>
      <c r="N324" s="65"/>
      <c r="O324" s="65"/>
      <c r="P324" s="65"/>
      <c r="Q324" s="65"/>
      <c r="R324" s="65"/>
      <c r="S324" s="65"/>
      <c r="T324" s="65"/>
    </row>
    <row r="325" spans="3:20">
      <c r="C325" s="65"/>
      <c r="D325" s="65"/>
      <c r="E325" s="65"/>
      <c r="F325" s="65"/>
      <c r="G325" s="65"/>
      <c r="H325" s="65"/>
      <c r="I325" s="65"/>
      <c r="J325" s="65"/>
      <c r="K325" s="65"/>
      <c r="L325" s="65"/>
      <c r="M325" s="65"/>
      <c r="N325" s="65"/>
      <c r="O325" s="65"/>
      <c r="P325" s="65"/>
      <c r="Q325" s="65"/>
      <c r="R325" s="65"/>
      <c r="S325" s="65"/>
      <c r="T325" s="65"/>
    </row>
    <row r="326" spans="3:20">
      <c r="C326" s="65"/>
      <c r="D326" s="65"/>
      <c r="E326" s="65"/>
      <c r="F326" s="65"/>
      <c r="G326" s="65"/>
      <c r="H326" s="65"/>
      <c r="I326" s="65"/>
      <c r="J326" s="65"/>
      <c r="K326" s="65"/>
      <c r="L326" s="65"/>
      <c r="M326" s="65"/>
      <c r="N326" s="65"/>
      <c r="O326" s="65"/>
      <c r="P326" s="65"/>
      <c r="Q326" s="65"/>
      <c r="R326" s="65"/>
      <c r="S326" s="65"/>
      <c r="T326" s="65"/>
    </row>
    <row r="327" spans="3:20">
      <c r="C327" s="65"/>
      <c r="D327" s="65"/>
      <c r="E327" s="65"/>
      <c r="F327" s="65"/>
      <c r="G327" s="65"/>
      <c r="H327" s="65"/>
      <c r="I327" s="65"/>
      <c r="J327" s="65"/>
      <c r="K327" s="65"/>
      <c r="L327" s="65"/>
      <c r="M327" s="65"/>
      <c r="N327" s="65"/>
      <c r="O327" s="65"/>
      <c r="P327" s="65"/>
      <c r="Q327" s="65"/>
      <c r="R327" s="65"/>
      <c r="S327" s="65"/>
      <c r="T327" s="65"/>
    </row>
    <row r="328" spans="3:20">
      <c r="C328" s="65"/>
      <c r="D328" s="65"/>
      <c r="E328" s="65"/>
      <c r="F328" s="65"/>
      <c r="G328" s="65"/>
      <c r="H328" s="65"/>
      <c r="I328" s="65"/>
      <c r="J328" s="65"/>
      <c r="K328" s="65"/>
      <c r="L328" s="65"/>
      <c r="M328" s="65"/>
      <c r="N328" s="65"/>
      <c r="O328" s="65"/>
      <c r="P328" s="65"/>
      <c r="Q328" s="65"/>
      <c r="R328" s="65"/>
      <c r="S328" s="65"/>
      <c r="T328" s="65"/>
    </row>
    <row r="329" spans="3:20">
      <c r="C329" s="65"/>
      <c r="D329" s="65"/>
      <c r="E329" s="65"/>
      <c r="F329" s="65"/>
      <c r="G329" s="65"/>
      <c r="H329" s="65"/>
      <c r="I329" s="65"/>
      <c r="J329" s="65"/>
      <c r="K329" s="65"/>
      <c r="L329" s="65"/>
      <c r="M329" s="65"/>
      <c r="N329" s="65"/>
      <c r="O329" s="65"/>
      <c r="P329" s="65"/>
      <c r="Q329" s="65"/>
      <c r="R329" s="65"/>
      <c r="S329" s="65"/>
      <c r="T329" s="65"/>
    </row>
    <row r="330" spans="3:20">
      <c r="C330" s="65"/>
      <c r="D330" s="65"/>
      <c r="E330" s="65"/>
      <c r="F330" s="65"/>
      <c r="G330" s="65"/>
      <c r="H330" s="65"/>
      <c r="I330" s="65"/>
      <c r="J330" s="65"/>
      <c r="K330" s="65"/>
      <c r="L330" s="65"/>
      <c r="M330" s="65"/>
      <c r="N330" s="65"/>
      <c r="O330" s="65"/>
      <c r="P330" s="65"/>
      <c r="Q330" s="65"/>
      <c r="R330" s="65"/>
      <c r="S330" s="65"/>
      <c r="T330" s="65"/>
    </row>
    <row r="331" spans="3:20">
      <c r="C331" s="65"/>
      <c r="D331" s="65"/>
      <c r="E331" s="65"/>
      <c r="F331" s="65"/>
      <c r="G331" s="65"/>
      <c r="H331" s="65"/>
      <c r="I331" s="65"/>
      <c r="J331" s="65"/>
      <c r="K331" s="65"/>
      <c r="L331" s="65"/>
      <c r="M331" s="65"/>
      <c r="N331" s="65"/>
      <c r="O331" s="65"/>
      <c r="P331" s="65"/>
      <c r="Q331" s="65"/>
      <c r="R331" s="65"/>
      <c r="S331" s="65"/>
      <c r="T331" s="65"/>
    </row>
    <row r="332" spans="3:20">
      <c r="C332" s="65"/>
      <c r="D332" s="65"/>
      <c r="E332" s="65"/>
      <c r="F332" s="65"/>
      <c r="G332" s="65"/>
      <c r="H332" s="65"/>
      <c r="I332" s="65"/>
      <c r="J332" s="65"/>
      <c r="K332" s="65"/>
      <c r="L332" s="65"/>
      <c r="M332" s="65"/>
      <c r="N332" s="65"/>
      <c r="O332" s="65"/>
      <c r="P332" s="65"/>
      <c r="Q332" s="65"/>
      <c r="R332" s="65"/>
      <c r="S332" s="65"/>
      <c r="T332" s="65"/>
    </row>
    <row r="333" spans="3:20">
      <c r="C333" s="65"/>
      <c r="D333" s="65"/>
      <c r="E333" s="65"/>
      <c r="F333" s="65"/>
      <c r="G333" s="65"/>
      <c r="H333" s="65"/>
      <c r="I333" s="65"/>
      <c r="J333" s="65"/>
      <c r="K333" s="65"/>
      <c r="L333" s="65"/>
      <c r="M333" s="65"/>
      <c r="N333" s="65"/>
      <c r="O333" s="65"/>
      <c r="P333" s="65"/>
      <c r="Q333" s="65"/>
      <c r="R333" s="65"/>
      <c r="S333" s="65"/>
      <c r="T333" s="65"/>
    </row>
    <row r="334" spans="3:20">
      <c r="C334" s="65"/>
      <c r="D334" s="65"/>
      <c r="E334" s="65"/>
      <c r="F334" s="65"/>
      <c r="G334" s="65"/>
      <c r="H334" s="65"/>
      <c r="I334" s="65"/>
      <c r="J334" s="65"/>
      <c r="K334" s="65"/>
      <c r="L334" s="65"/>
      <c r="M334" s="65"/>
      <c r="N334" s="65"/>
      <c r="O334" s="65"/>
      <c r="P334" s="65"/>
      <c r="Q334" s="65"/>
      <c r="R334" s="65"/>
      <c r="S334" s="65"/>
      <c r="T334" s="65"/>
    </row>
    <row r="335" spans="3:20">
      <c r="C335" s="65"/>
      <c r="D335" s="65"/>
      <c r="E335" s="65"/>
      <c r="F335" s="65"/>
      <c r="G335" s="65"/>
      <c r="H335" s="65"/>
      <c r="I335" s="65"/>
      <c r="J335" s="65"/>
      <c r="K335" s="65"/>
      <c r="L335" s="65"/>
      <c r="M335" s="65"/>
      <c r="N335" s="65"/>
      <c r="O335" s="65"/>
      <c r="P335" s="65"/>
      <c r="Q335" s="65"/>
      <c r="R335" s="65"/>
      <c r="S335" s="65"/>
      <c r="T335" s="65"/>
    </row>
    <row r="336" spans="3:20">
      <c r="C336" s="65"/>
      <c r="D336" s="65"/>
      <c r="E336" s="65"/>
      <c r="F336" s="65"/>
      <c r="G336" s="65"/>
      <c r="H336" s="65"/>
      <c r="I336" s="65"/>
      <c r="J336" s="65"/>
      <c r="K336" s="65"/>
      <c r="L336" s="65"/>
      <c r="M336" s="65"/>
      <c r="N336" s="65"/>
      <c r="O336" s="65"/>
      <c r="P336" s="65"/>
      <c r="Q336" s="65"/>
      <c r="R336" s="65"/>
      <c r="S336" s="65"/>
      <c r="T336" s="65"/>
    </row>
    <row r="337" spans="3:20">
      <c r="C337" s="65"/>
      <c r="D337" s="65"/>
      <c r="E337" s="65"/>
      <c r="F337" s="65"/>
      <c r="G337" s="65"/>
      <c r="H337" s="65"/>
      <c r="I337" s="65"/>
      <c r="J337" s="65"/>
      <c r="K337" s="65"/>
      <c r="L337" s="65"/>
      <c r="M337" s="65"/>
      <c r="N337" s="65"/>
      <c r="O337" s="65"/>
      <c r="P337" s="65"/>
      <c r="Q337" s="65"/>
      <c r="R337" s="65"/>
      <c r="S337" s="65"/>
      <c r="T337" s="65"/>
    </row>
    <row r="338" spans="3:20">
      <c r="C338" s="65"/>
      <c r="D338" s="65"/>
      <c r="E338" s="65"/>
      <c r="F338" s="65"/>
      <c r="G338" s="65"/>
      <c r="H338" s="65"/>
      <c r="I338" s="65"/>
      <c r="J338" s="65"/>
      <c r="K338" s="65"/>
      <c r="L338" s="65"/>
      <c r="M338" s="65"/>
      <c r="N338" s="65"/>
      <c r="O338" s="65"/>
      <c r="P338" s="65"/>
      <c r="Q338" s="65"/>
      <c r="R338" s="65"/>
      <c r="S338" s="65"/>
      <c r="T338" s="65"/>
    </row>
    <row r="339" spans="3:20">
      <c r="C339" s="65"/>
      <c r="D339" s="65"/>
      <c r="E339" s="65"/>
      <c r="F339" s="65"/>
      <c r="G339" s="65"/>
      <c r="H339" s="65"/>
      <c r="I339" s="65"/>
      <c r="J339" s="65"/>
      <c r="K339" s="65"/>
      <c r="L339" s="65"/>
      <c r="M339" s="65"/>
      <c r="N339" s="65"/>
      <c r="O339" s="65"/>
      <c r="P339" s="65"/>
      <c r="Q339" s="65"/>
      <c r="R339" s="65"/>
      <c r="S339" s="65"/>
      <c r="T339" s="65"/>
    </row>
    <row r="340" spans="3:20">
      <c r="C340" s="65"/>
      <c r="D340" s="65"/>
      <c r="E340" s="65"/>
      <c r="F340" s="65"/>
      <c r="G340" s="65"/>
      <c r="H340" s="65"/>
      <c r="I340" s="65"/>
      <c r="J340" s="65"/>
      <c r="K340" s="65"/>
      <c r="L340" s="65"/>
      <c r="M340" s="65"/>
      <c r="N340" s="65"/>
      <c r="O340" s="65"/>
      <c r="P340" s="65"/>
      <c r="Q340" s="65"/>
      <c r="R340" s="65"/>
      <c r="S340" s="65"/>
      <c r="T340" s="65"/>
    </row>
    <row r="341" spans="3:20">
      <c r="C341" s="65"/>
      <c r="D341" s="65"/>
      <c r="E341" s="65"/>
      <c r="F341" s="65"/>
      <c r="G341" s="65"/>
      <c r="H341" s="65"/>
      <c r="I341" s="65"/>
      <c r="J341" s="65"/>
      <c r="K341" s="65"/>
      <c r="L341" s="65"/>
      <c r="M341" s="65"/>
      <c r="N341" s="65"/>
      <c r="O341" s="65"/>
      <c r="P341" s="65"/>
      <c r="Q341" s="65"/>
      <c r="R341" s="65"/>
      <c r="S341" s="65"/>
      <c r="T341" s="65"/>
    </row>
    <row r="342" spans="3:20">
      <c r="C342" s="65"/>
      <c r="D342" s="65"/>
      <c r="E342" s="65"/>
      <c r="F342" s="65"/>
      <c r="G342" s="65"/>
      <c r="H342" s="65"/>
      <c r="I342" s="65"/>
      <c r="J342" s="65"/>
      <c r="K342" s="65"/>
      <c r="L342" s="65"/>
      <c r="M342" s="65"/>
      <c r="N342" s="65"/>
      <c r="O342" s="65"/>
      <c r="P342" s="65"/>
      <c r="Q342" s="65"/>
      <c r="R342" s="65"/>
      <c r="S342" s="65"/>
      <c r="T342" s="65"/>
    </row>
    <row r="343" spans="3:20">
      <c r="C343" s="65"/>
      <c r="D343" s="65"/>
      <c r="E343" s="65"/>
      <c r="F343" s="65"/>
      <c r="G343" s="65"/>
      <c r="H343" s="65"/>
      <c r="I343" s="65"/>
      <c r="J343" s="65"/>
      <c r="K343" s="65"/>
      <c r="L343" s="65"/>
      <c r="M343" s="65"/>
      <c r="N343" s="65"/>
      <c r="O343" s="65"/>
      <c r="P343" s="65"/>
      <c r="Q343" s="65"/>
      <c r="R343" s="65"/>
      <c r="S343" s="65"/>
      <c r="T343" s="65"/>
    </row>
    <row r="344" spans="3:20">
      <c r="C344" s="65"/>
      <c r="D344" s="65"/>
      <c r="E344" s="65"/>
      <c r="F344" s="65"/>
      <c r="G344" s="65"/>
      <c r="H344" s="65"/>
      <c r="I344" s="65"/>
      <c r="J344" s="65"/>
      <c r="K344" s="65"/>
      <c r="L344" s="65"/>
      <c r="M344" s="65"/>
      <c r="N344" s="65"/>
      <c r="O344" s="65"/>
      <c r="P344" s="65"/>
      <c r="Q344" s="65"/>
      <c r="R344" s="65"/>
      <c r="S344" s="65"/>
      <c r="T344" s="65"/>
    </row>
    <row r="345" spans="3:20">
      <c r="C345" s="65"/>
      <c r="D345" s="65"/>
      <c r="E345" s="65"/>
      <c r="F345" s="65"/>
      <c r="G345" s="65"/>
      <c r="H345" s="65"/>
      <c r="I345" s="65"/>
      <c r="J345" s="65"/>
      <c r="K345" s="65"/>
      <c r="L345" s="65"/>
      <c r="M345" s="65"/>
      <c r="N345" s="65"/>
      <c r="O345" s="65"/>
      <c r="P345" s="65"/>
      <c r="Q345" s="65"/>
      <c r="R345" s="65"/>
      <c r="S345" s="65"/>
      <c r="T345" s="65"/>
    </row>
    <row r="346" spans="3:20">
      <c r="C346" s="65"/>
      <c r="D346" s="65"/>
      <c r="E346" s="65"/>
      <c r="F346" s="65"/>
      <c r="G346" s="65"/>
      <c r="H346" s="65"/>
      <c r="I346" s="65"/>
      <c r="J346" s="65"/>
      <c r="K346" s="65"/>
      <c r="L346" s="65"/>
      <c r="M346" s="65"/>
      <c r="N346" s="65"/>
      <c r="O346" s="65"/>
      <c r="P346" s="65"/>
      <c r="Q346" s="65"/>
      <c r="R346" s="65"/>
      <c r="S346" s="65"/>
      <c r="T346" s="65"/>
    </row>
    <row r="347" spans="3:20">
      <c r="C347" s="65"/>
      <c r="D347" s="65"/>
      <c r="E347" s="65"/>
      <c r="F347" s="65"/>
      <c r="G347" s="65"/>
      <c r="H347" s="65"/>
      <c r="I347" s="65"/>
      <c r="J347" s="65"/>
      <c r="K347" s="65"/>
      <c r="L347" s="65"/>
      <c r="M347" s="65"/>
      <c r="N347" s="65"/>
      <c r="O347" s="65"/>
      <c r="P347" s="65"/>
      <c r="Q347" s="65"/>
      <c r="R347" s="65"/>
      <c r="S347" s="65"/>
      <c r="T347" s="65"/>
    </row>
    <row r="348" spans="3:20">
      <c r="C348" s="65"/>
      <c r="D348" s="65"/>
      <c r="E348" s="65"/>
      <c r="F348" s="65"/>
      <c r="G348" s="65"/>
      <c r="H348" s="65"/>
      <c r="I348" s="65"/>
      <c r="J348" s="65"/>
      <c r="K348" s="65"/>
      <c r="L348" s="65"/>
      <c r="M348" s="65"/>
      <c r="N348" s="65"/>
      <c r="O348" s="65"/>
      <c r="P348" s="65"/>
      <c r="Q348" s="65"/>
      <c r="R348" s="65"/>
      <c r="S348" s="65"/>
      <c r="T348" s="65"/>
    </row>
    <row r="349" spans="3:20">
      <c r="C349" s="65"/>
      <c r="D349" s="65"/>
      <c r="E349" s="65"/>
      <c r="F349" s="65"/>
      <c r="G349" s="65"/>
      <c r="H349" s="65"/>
      <c r="I349" s="65"/>
      <c r="J349" s="65"/>
      <c r="K349" s="65"/>
      <c r="L349" s="65"/>
      <c r="M349" s="65"/>
      <c r="N349" s="65"/>
      <c r="O349" s="65"/>
      <c r="P349" s="65"/>
      <c r="Q349" s="65"/>
      <c r="R349" s="65"/>
      <c r="S349" s="65"/>
      <c r="T349" s="65"/>
    </row>
    <row r="350" spans="3:20">
      <c r="C350" s="65"/>
      <c r="D350" s="65"/>
      <c r="E350" s="65"/>
      <c r="F350" s="65"/>
      <c r="G350" s="65"/>
      <c r="H350" s="65"/>
      <c r="I350" s="65"/>
      <c r="J350" s="65"/>
      <c r="K350" s="65"/>
      <c r="L350" s="65"/>
      <c r="M350" s="65"/>
      <c r="N350" s="65"/>
      <c r="O350" s="65"/>
      <c r="P350" s="65"/>
      <c r="Q350" s="65"/>
      <c r="R350" s="65"/>
      <c r="S350" s="65"/>
      <c r="T350" s="65"/>
    </row>
    <row r="351" spans="3:20">
      <c r="C351" s="65"/>
      <c r="D351" s="65"/>
      <c r="E351" s="65"/>
      <c r="F351" s="65"/>
      <c r="G351" s="65"/>
      <c r="H351" s="65"/>
      <c r="I351" s="65"/>
      <c r="J351" s="65"/>
      <c r="K351" s="65"/>
      <c r="L351" s="65"/>
      <c r="M351" s="65"/>
      <c r="N351" s="65"/>
      <c r="O351" s="65"/>
      <c r="P351" s="65"/>
      <c r="Q351" s="65"/>
      <c r="R351" s="65"/>
      <c r="S351" s="65"/>
      <c r="T351" s="65"/>
    </row>
    <row r="352" spans="3:20">
      <c r="C352" s="65"/>
      <c r="D352" s="65"/>
      <c r="E352" s="65"/>
      <c r="F352" s="65"/>
      <c r="G352" s="65"/>
      <c r="H352" s="65"/>
      <c r="I352" s="65"/>
      <c r="J352" s="65"/>
      <c r="K352" s="65"/>
      <c r="L352" s="65"/>
      <c r="M352" s="65"/>
      <c r="N352" s="65"/>
      <c r="O352" s="65"/>
      <c r="P352" s="65"/>
      <c r="Q352" s="65"/>
      <c r="R352" s="65"/>
      <c r="S352" s="65"/>
      <c r="T352" s="65"/>
    </row>
    <row r="353" spans="3:20">
      <c r="C353" s="65"/>
      <c r="D353" s="65"/>
      <c r="E353" s="65"/>
      <c r="F353" s="65"/>
      <c r="G353" s="65"/>
      <c r="H353" s="65"/>
      <c r="I353" s="65"/>
      <c r="J353" s="65"/>
      <c r="K353" s="65"/>
      <c r="L353" s="65"/>
      <c r="M353" s="65"/>
      <c r="N353" s="65"/>
      <c r="O353" s="65"/>
      <c r="P353" s="65"/>
      <c r="Q353" s="65"/>
      <c r="R353" s="65"/>
      <c r="S353" s="65"/>
      <c r="T353" s="65"/>
    </row>
    <row r="354" spans="3:20">
      <c r="C354" s="65"/>
      <c r="D354" s="65"/>
      <c r="E354" s="65"/>
      <c r="F354" s="65"/>
      <c r="G354" s="65"/>
      <c r="H354" s="65"/>
      <c r="I354" s="65"/>
      <c r="J354" s="65"/>
      <c r="K354" s="65"/>
      <c r="L354" s="65"/>
      <c r="M354" s="65"/>
      <c r="N354" s="65"/>
      <c r="O354" s="65"/>
      <c r="P354" s="65"/>
      <c r="Q354" s="65"/>
      <c r="R354" s="65"/>
      <c r="S354" s="65"/>
      <c r="T354" s="65"/>
    </row>
    <row r="355" spans="3:20">
      <c r="C355" s="65"/>
      <c r="D355" s="65"/>
      <c r="E355" s="65"/>
      <c r="F355" s="65"/>
      <c r="G355" s="65"/>
      <c r="H355" s="65"/>
      <c r="I355" s="65"/>
      <c r="J355" s="65"/>
      <c r="K355" s="65"/>
      <c r="L355" s="65"/>
      <c r="M355" s="65"/>
      <c r="N355" s="65"/>
      <c r="O355" s="65"/>
      <c r="P355" s="65"/>
      <c r="Q355" s="65"/>
      <c r="R355" s="65"/>
      <c r="S355" s="65"/>
      <c r="T355" s="65"/>
    </row>
    <row r="356" spans="3:20">
      <c r="C356" s="65"/>
      <c r="D356" s="65"/>
      <c r="E356" s="65"/>
      <c r="F356" s="65"/>
      <c r="G356" s="65"/>
      <c r="H356" s="65"/>
      <c r="I356" s="65"/>
      <c r="J356" s="65"/>
      <c r="K356" s="65"/>
      <c r="L356" s="65"/>
      <c r="M356" s="65"/>
      <c r="N356" s="65"/>
      <c r="O356" s="65"/>
      <c r="P356" s="65"/>
      <c r="Q356" s="65"/>
      <c r="R356" s="65"/>
      <c r="S356" s="65"/>
      <c r="T356" s="65"/>
    </row>
    <row r="357" spans="3:20">
      <c r="C357" s="65"/>
      <c r="D357" s="65"/>
      <c r="E357" s="65"/>
      <c r="F357" s="65"/>
      <c r="G357" s="65"/>
      <c r="H357" s="65"/>
      <c r="I357" s="65"/>
      <c r="J357" s="65"/>
      <c r="K357" s="65"/>
      <c r="L357" s="65"/>
      <c r="M357" s="65"/>
      <c r="N357" s="65"/>
      <c r="O357" s="65"/>
      <c r="P357" s="65"/>
      <c r="Q357" s="65"/>
      <c r="R357" s="65"/>
      <c r="S357" s="65"/>
      <c r="T357" s="65"/>
    </row>
    <row r="358" spans="3:20">
      <c r="C358" s="65"/>
      <c r="D358" s="65"/>
      <c r="E358" s="65"/>
      <c r="F358" s="65"/>
      <c r="G358" s="65"/>
      <c r="H358" s="65"/>
      <c r="I358" s="65"/>
      <c r="J358" s="65"/>
      <c r="K358" s="65"/>
      <c r="L358" s="65"/>
      <c r="M358" s="65"/>
      <c r="N358" s="65"/>
      <c r="O358" s="65"/>
      <c r="P358" s="65"/>
      <c r="Q358" s="65"/>
      <c r="R358" s="65"/>
      <c r="S358" s="65"/>
      <c r="T358" s="65"/>
    </row>
    <row r="359" spans="3:20">
      <c r="C359" s="65"/>
      <c r="D359" s="65"/>
      <c r="E359" s="65"/>
      <c r="F359" s="65"/>
      <c r="G359" s="65"/>
      <c r="H359" s="65"/>
      <c r="I359" s="65"/>
      <c r="J359" s="65"/>
      <c r="K359" s="65"/>
      <c r="L359" s="65"/>
      <c r="M359" s="65"/>
      <c r="N359" s="65"/>
      <c r="O359" s="65"/>
      <c r="P359" s="65"/>
      <c r="Q359" s="65"/>
      <c r="R359" s="65"/>
      <c r="S359" s="65"/>
      <c r="T359" s="65"/>
    </row>
    <row r="360" spans="3:20">
      <c r="C360" s="65"/>
      <c r="D360" s="65"/>
      <c r="E360" s="65"/>
      <c r="F360" s="65"/>
      <c r="G360" s="65"/>
      <c r="H360" s="65"/>
      <c r="I360" s="65"/>
      <c r="J360" s="65"/>
      <c r="K360" s="65"/>
      <c r="L360" s="65"/>
      <c r="M360" s="65"/>
      <c r="N360" s="65"/>
      <c r="O360" s="65"/>
      <c r="P360" s="65"/>
      <c r="Q360" s="65"/>
      <c r="R360" s="65"/>
      <c r="S360" s="65"/>
      <c r="T360" s="65"/>
    </row>
    <row r="361" spans="3:20">
      <c r="C361" s="65"/>
      <c r="D361" s="65"/>
      <c r="E361" s="65"/>
      <c r="F361" s="65"/>
      <c r="G361" s="65"/>
      <c r="H361" s="65"/>
      <c r="I361" s="65"/>
      <c r="J361" s="65"/>
      <c r="K361" s="65"/>
      <c r="L361" s="65"/>
      <c r="M361" s="65"/>
      <c r="N361" s="65"/>
      <c r="O361" s="65"/>
      <c r="P361" s="65"/>
      <c r="Q361" s="65"/>
      <c r="R361" s="65"/>
      <c r="S361" s="65"/>
      <c r="T361" s="65"/>
    </row>
    <row r="362" spans="3:20">
      <c r="C362" s="65"/>
      <c r="D362" s="65"/>
      <c r="E362" s="65"/>
      <c r="F362" s="65"/>
      <c r="G362" s="65"/>
      <c r="H362" s="65"/>
      <c r="I362" s="65"/>
      <c r="J362" s="65"/>
      <c r="K362" s="65"/>
      <c r="L362" s="65"/>
      <c r="M362" s="65"/>
      <c r="N362" s="65"/>
      <c r="O362" s="65"/>
      <c r="P362" s="65"/>
      <c r="Q362" s="65"/>
      <c r="R362" s="65"/>
      <c r="S362" s="65"/>
      <c r="T362" s="65"/>
    </row>
    <row r="363" spans="3:20">
      <c r="C363" s="65"/>
      <c r="D363" s="65"/>
      <c r="E363" s="65"/>
      <c r="F363" s="65"/>
      <c r="G363" s="65"/>
      <c r="H363" s="65"/>
      <c r="I363" s="65"/>
      <c r="J363" s="65"/>
      <c r="K363" s="65"/>
      <c r="L363" s="65"/>
      <c r="M363" s="65"/>
      <c r="N363" s="65"/>
      <c r="O363" s="65"/>
      <c r="P363" s="65"/>
      <c r="Q363" s="65"/>
      <c r="R363" s="65"/>
      <c r="S363" s="65"/>
      <c r="T363" s="65"/>
    </row>
    <row r="364" spans="3:20">
      <c r="C364" s="65"/>
      <c r="D364" s="65"/>
      <c r="E364" s="65"/>
      <c r="F364" s="65"/>
      <c r="G364" s="65"/>
      <c r="H364" s="65"/>
      <c r="I364" s="65"/>
      <c r="J364" s="65"/>
      <c r="K364" s="65"/>
      <c r="L364" s="65"/>
      <c r="M364" s="65"/>
      <c r="N364" s="65"/>
      <c r="O364" s="65"/>
      <c r="P364" s="65"/>
      <c r="Q364" s="65"/>
      <c r="R364" s="65"/>
      <c r="S364" s="65"/>
      <c r="T364" s="65"/>
    </row>
    <row r="365" spans="3:20">
      <c r="C365" s="65"/>
      <c r="D365" s="65"/>
      <c r="E365" s="65"/>
      <c r="F365" s="65"/>
      <c r="G365" s="65"/>
      <c r="H365" s="65"/>
      <c r="I365" s="65"/>
      <c r="J365" s="65"/>
      <c r="K365" s="65"/>
      <c r="L365" s="65"/>
      <c r="M365" s="65"/>
      <c r="N365" s="65"/>
      <c r="O365" s="65"/>
      <c r="P365" s="65"/>
      <c r="Q365" s="65"/>
      <c r="R365" s="65"/>
      <c r="S365" s="65"/>
      <c r="T365" s="65"/>
    </row>
    <row r="366" spans="3:20">
      <c r="C366" s="65"/>
      <c r="D366" s="65"/>
      <c r="E366" s="65"/>
      <c r="F366" s="65"/>
      <c r="G366" s="65"/>
      <c r="H366" s="65"/>
      <c r="I366" s="65"/>
      <c r="J366" s="65"/>
      <c r="K366" s="65"/>
      <c r="L366" s="65"/>
      <c r="M366" s="65"/>
      <c r="N366" s="65"/>
      <c r="O366" s="65"/>
      <c r="P366" s="65"/>
      <c r="Q366" s="65"/>
      <c r="R366" s="65"/>
      <c r="S366" s="65"/>
      <c r="T366" s="65"/>
    </row>
    <row r="367" spans="3:20">
      <c r="C367" s="65"/>
      <c r="D367" s="65"/>
      <c r="E367" s="65"/>
      <c r="F367" s="65"/>
      <c r="G367" s="65"/>
      <c r="H367" s="65"/>
      <c r="I367" s="65"/>
      <c r="J367" s="65"/>
      <c r="K367" s="65"/>
      <c r="L367" s="65"/>
      <c r="M367" s="65"/>
      <c r="N367" s="65"/>
      <c r="O367" s="65"/>
      <c r="P367" s="65"/>
      <c r="Q367" s="65"/>
      <c r="R367" s="65"/>
      <c r="S367" s="65"/>
      <c r="T367" s="65"/>
    </row>
    <row r="368" spans="3:20">
      <c r="C368" s="65"/>
      <c r="D368" s="65"/>
      <c r="E368" s="65"/>
      <c r="F368" s="65"/>
      <c r="G368" s="65"/>
      <c r="H368" s="65"/>
      <c r="I368" s="65"/>
      <c r="J368" s="65"/>
      <c r="K368" s="65"/>
      <c r="L368" s="65"/>
      <c r="M368" s="65"/>
      <c r="N368" s="65"/>
      <c r="O368" s="65"/>
      <c r="P368" s="65"/>
      <c r="Q368" s="65"/>
      <c r="R368" s="65"/>
      <c r="S368" s="65"/>
      <c r="T368" s="65"/>
    </row>
    <row r="369" spans="3:20">
      <c r="C369" s="65"/>
      <c r="D369" s="65"/>
      <c r="E369" s="65"/>
      <c r="F369" s="65"/>
      <c r="G369" s="65"/>
      <c r="H369" s="65"/>
      <c r="I369" s="65"/>
      <c r="J369" s="65"/>
      <c r="K369" s="65"/>
      <c r="L369" s="65"/>
      <c r="M369" s="65"/>
      <c r="N369" s="65"/>
      <c r="O369" s="65"/>
      <c r="P369" s="65"/>
      <c r="Q369" s="65"/>
      <c r="R369" s="65"/>
      <c r="S369" s="65"/>
      <c r="T369" s="65"/>
    </row>
    <row r="370" spans="3:20">
      <c r="C370" s="65"/>
      <c r="D370" s="65"/>
      <c r="E370" s="65"/>
      <c r="F370" s="65"/>
      <c r="G370" s="65"/>
      <c r="H370" s="65"/>
      <c r="I370" s="65"/>
      <c r="J370" s="65"/>
      <c r="K370" s="65"/>
      <c r="L370" s="65"/>
      <c r="M370" s="65"/>
      <c r="N370" s="65"/>
      <c r="O370" s="65"/>
      <c r="P370" s="65"/>
      <c r="Q370" s="65"/>
      <c r="R370" s="65"/>
      <c r="S370" s="65"/>
      <c r="T370" s="65"/>
    </row>
    <row r="371" spans="3:20">
      <c r="C371" s="65"/>
      <c r="D371" s="65"/>
      <c r="E371" s="65"/>
      <c r="F371" s="65"/>
      <c r="G371" s="65"/>
      <c r="H371" s="65"/>
      <c r="I371" s="65"/>
      <c r="J371" s="65"/>
      <c r="K371" s="65"/>
      <c r="L371" s="65"/>
      <c r="M371" s="65"/>
      <c r="N371" s="65"/>
      <c r="O371" s="65"/>
      <c r="P371" s="65"/>
      <c r="Q371" s="65"/>
      <c r="R371" s="65"/>
      <c r="S371" s="65"/>
      <c r="T371" s="65"/>
    </row>
    <row r="372" spans="3:20">
      <c r="C372" s="65"/>
      <c r="D372" s="65"/>
      <c r="E372" s="65"/>
      <c r="F372" s="65"/>
      <c r="G372" s="65"/>
      <c r="H372" s="65"/>
      <c r="I372" s="65"/>
      <c r="J372" s="65"/>
      <c r="K372" s="65"/>
      <c r="L372" s="65"/>
      <c r="M372" s="65"/>
      <c r="N372" s="65"/>
      <c r="O372" s="65"/>
      <c r="P372" s="65"/>
      <c r="Q372" s="65"/>
      <c r="R372" s="65"/>
      <c r="S372" s="65"/>
      <c r="T372" s="65"/>
    </row>
    <row r="373" spans="3:20">
      <c r="C373" s="65"/>
      <c r="D373" s="65"/>
      <c r="E373" s="65"/>
      <c r="F373" s="65"/>
      <c r="G373" s="65"/>
      <c r="H373" s="65"/>
      <c r="I373" s="65"/>
      <c r="J373" s="65"/>
      <c r="K373" s="65"/>
      <c r="L373" s="65"/>
      <c r="M373" s="65"/>
      <c r="N373" s="65"/>
      <c r="O373" s="65"/>
      <c r="P373" s="65"/>
      <c r="Q373" s="65"/>
      <c r="R373" s="65"/>
      <c r="S373" s="65"/>
      <c r="T373" s="65"/>
    </row>
    <row r="374" spans="3:20">
      <c r="C374" s="65"/>
      <c r="D374" s="65"/>
      <c r="E374" s="65"/>
      <c r="F374" s="65"/>
      <c r="G374" s="65"/>
      <c r="H374" s="65"/>
      <c r="I374" s="65"/>
      <c r="J374" s="65"/>
      <c r="K374" s="65"/>
      <c r="L374" s="65"/>
      <c r="M374" s="65"/>
      <c r="N374" s="65"/>
      <c r="O374" s="65"/>
      <c r="P374" s="65"/>
      <c r="Q374" s="65"/>
      <c r="R374" s="65"/>
      <c r="S374" s="65"/>
      <c r="T374" s="65"/>
    </row>
    <row r="375" spans="3:20">
      <c r="C375" s="65"/>
      <c r="D375" s="65"/>
      <c r="E375" s="65"/>
      <c r="F375" s="65"/>
      <c r="G375" s="65"/>
      <c r="H375" s="65"/>
      <c r="I375" s="65"/>
      <c r="J375" s="65"/>
      <c r="K375" s="65"/>
      <c r="L375" s="65"/>
      <c r="M375" s="65"/>
      <c r="N375" s="65"/>
      <c r="O375" s="65"/>
      <c r="P375" s="65"/>
      <c r="Q375" s="65"/>
      <c r="R375" s="65"/>
      <c r="S375" s="65"/>
      <c r="T375" s="65"/>
    </row>
    <row r="376" spans="3:20">
      <c r="C376" s="65"/>
      <c r="D376" s="65"/>
      <c r="E376" s="65"/>
      <c r="F376" s="65"/>
      <c r="G376" s="65"/>
      <c r="H376" s="65"/>
      <c r="I376" s="65"/>
      <c r="J376" s="65"/>
      <c r="K376" s="65"/>
      <c r="L376" s="65"/>
      <c r="M376" s="65"/>
      <c r="N376" s="65"/>
      <c r="O376" s="65"/>
      <c r="P376" s="65"/>
      <c r="Q376" s="65"/>
      <c r="R376" s="65"/>
      <c r="S376" s="65"/>
      <c r="T376" s="65"/>
    </row>
    <row r="377" spans="3:20">
      <c r="C377" s="65"/>
      <c r="D377" s="65"/>
      <c r="E377" s="65"/>
      <c r="F377" s="65"/>
      <c r="G377" s="65"/>
      <c r="H377" s="65"/>
      <c r="I377" s="65"/>
      <c r="J377" s="65"/>
      <c r="K377" s="65"/>
      <c r="L377" s="65"/>
      <c r="M377" s="65"/>
      <c r="N377" s="65"/>
      <c r="O377" s="65"/>
      <c r="P377" s="65"/>
      <c r="Q377" s="65"/>
      <c r="R377" s="65"/>
      <c r="S377" s="65"/>
      <c r="T377" s="65"/>
    </row>
    <row r="378" spans="3:20">
      <c r="C378" s="65"/>
      <c r="D378" s="65"/>
      <c r="E378" s="65"/>
      <c r="F378" s="65"/>
      <c r="G378" s="65"/>
      <c r="H378" s="65"/>
      <c r="I378" s="65"/>
      <c r="J378" s="65"/>
      <c r="K378" s="65"/>
      <c r="L378" s="65"/>
      <c r="M378" s="65"/>
      <c r="N378" s="65"/>
      <c r="O378" s="65"/>
      <c r="P378" s="65"/>
      <c r="Q378" s="65"/>
      <c r="R378" s="65"/>
      <c r="S378" s="65"/>
      <c r="T378" s="65"/>
    </row>
    <row r="379" spans="3:20">
      <c r="C379" s="65"/>
      <c r="D379" s="65"/>
      <c r="E379" s="65"/>
      <c r="F379" s="65"/>
      <c r="G379" s="65"/>
      <c r="H379" s="65"/>
      <c r="I379" s="65"/>
      <c r="J379" s="65"/>
      <c r="K379" s="65"/>
      <c r="L379" s="65"/>
      <c r="M379" s="65"/>
      <c r="N379" s="65"/>
      <c r="O379" s="65"/>
      <c r="P379" s="65"/>
      <c r="Q379" s="65"/>
      <c r="R379" s="65"/>
      <c r="S379" s="65"/>
      <c r="T379" s="65"/>
    </row>
    <row r="380" spans="3:20">
      <c r="C380" s="65"/>
      <c r="D380" s="65"/>
      <c r="E380" s="65"/>
      <c r="F380" s="65"/>
      <c r="G380" s="65"/>
      <c r="H380" s="65"/>
      <c r="I380" s="65"/>
      <c r="J380" s="65"/>
      <c r="K380" s="65"/>
      <c r="L380" s="65"/>
      <c r="M380" s="65"/>
      <c r="N380" s="65"/>
      <c r="O380" s="65"/>
      <c r="P380" s="65"/>
      <c r="Q380" s="65"/>
      <c r="R380" s="65"/>
      <c r="S380" s="65"/>
      <c r="T380" s="65"/>
    </row>
    <row r="381" spans="3:20">
      <c r="C381" s="65"/>
      <c r="D381" s="65"/>
      <c r="E381" s="65"/>
      <c r="F381" s="65"/>
      <c r="G381" s="65"/>
      <c r="H381" s="65"/>
      <c r="I381" s="65"/>
      <c r="J381" s="65"/>
      <c r="K381" s="65"/>
      <c r="L381" s="65"/>
      <c r="M381" s="65"/>
      <c r="N381" s="65"/>
      <c r="O381" s="65"/>
      <c r="P381" s="65"/>
      <c r="Q381" s="65"/>
      <c r="R381" s="65"/>
      <c r="S381" s="65"/>
      <c r="T381" s="65"/>
    </row>
    <row r="382" spans="3:20">
      <c r="C382" s="65"/>
      <c r="D382" s="65"/>
      <c r="E382" s="65"/>
      <c r="F382" s="65"/>
      <c r="G382" s="65"/>
      <c r="H382" s="65"/>
      <c r="I382" s="65"/>
      <c r="J382" s="65"/>
      <c r="K382" s="65"/>
      <c r="L382" s="65"/>
      <c r="M382" s="65"/>
      <c r="N382" s="65"/>
      <c r="O382" s="65"/>
      <c r="P382" s="65"/>
      <c r="Q382" s="65"/>
      <c r="R382" s="65"/>
      <c r="S382" s="65"/>
      <c r="T382" s="65"/>
    </row>
    <row r="383" spans="3:20">
      <c r="C383" s="65"/>
      <c r="D383" s="65"/>
      <c r="E383" s="65"/>
      <c r="F383" s="65"/>
      <c r="G383" s="65"/>
      <c r="H383" s="65"/>
      <c r="I383" s="65"/>
      <c r="J383" s="65"/>
      <c r="K383" s="65"/>
      <c r="L383" s="65"/>
      <c r="M383" s="65"/>
      <c r="N383" s="65"/>
      <c r="O383" s="65"/>
      <c r="P383" s="65"/>
      <c r="Q383" s="65"/>
      <c r="R383" s="65"/>
      <c r="S383" s="65"/>
      <c r="T383" s="65"/>
    </row>
    <row r="384" spans="3:20">
      <c r="C384" s="65"/>
      <c r="D384" s="65"/>
      <c r="E384" s="65"/>
      <c r="F384" s="65"/>
      <c r="G384" s="65"/>
      <c r="H384" s="65"/>
      <c r="I384" s="65"/>
      <c r="J384" s="65"/>
      <c r="K384" s="65"/>
      <c r="L384" s="65"/>
      <c r="M384" s="65"/>
      <c r="N384" s="65"/>
      <c r="O384" s="65"/>
      <c r="P384" s="65"/>
      <c r="Q384" s="65"/>
      <c r="R384" s="65"/>
      <c r="S384" s="65"/>
      <c r="T384" s="65"/>
    </row>
    <row r="385" spans="3:20">
      <c r="C385" s="65"/>
      <c r="D385" s="65"/>
      <c r="E385" s="65"/>
      <c r="F385" s="65"/>
      <c r="G385" s="65"/>
      <c r="H385" s="65"/>
      <c r="I385" s="65"/>
      <c r="J385" s="65"/>
      <c r="K385" s="65"/>
      <c r="L385" s="65"/>
      <c r="M385" s="65"/>
      <c r="N385" s="65"/>
      <c r="O385" s="65"/>
      <c r="P385" s="65"/>
      <c r="Q385" s="65"/>
      <c r="R385" s="65"/>
      <c r="S385" s="65"/>
      <c r="T385" s="65"/>
    </row>
    <row r="386" spans="3:20">
      <c r="C386" s="65"/>
      <c r="D386" s="65"/>
      <c r="E386" s="65"/>
      <c r="F386" s="65"/>
      <c r="G386" s="65"/>
      <c r="H386" s="65"/>
      <c r="I386" s="65"/>
      <c r="J386" s="65"/>
      <c r="K386" s="65"/>
      <c r="L386" s="65"/>
      <c r="M386" s="65"/>
      <c r="N386" s="65"/>
      <c r="O386" s="65"/>
      <c r="P386" s="65"/>
      <c r="Q386" s="65"/>
      <c r="R386" s="65"/>
      <c r="S386" s="65"/>
      <c r="T386" s="65"/>
    </row>
    <row r="387" spans="3:20">
      <c r="C387" s="65"/>
      <c r="D387" s="65"/>
      <c r="E387" s="65"/>
      <c r="F387" s="65"/>
      <c r="G387" s="65"/>
      <c r="H387" s="65"/>
      <c r="I387" s="65"/>
      <c r="J387" s="65"/>
      <c r="K387" s="65"/>
      <c r="L387" s="65"/>
      <c r="M387" s="65"/>
      <c r="N387" s="65"/>
      <c r="O387" s="65"/>
      <c r="P387" s="65"/>
      <c r="Q387" s="65"/>
      <c r="R387" s="65"/>
      <c r="S387" s="65"/>
      <c r="T387" s="65"/>
    </row>
    <row r="388" spans="3:20">
      <c r="C388" s="65"/>
      <c r="D388" s="65"/>
      <c r="E388" s="65"/>
      <c r="F388" s="65"/>
      <c r="G388" s="65"/>
      <c r="H388" s="65"/>
      <c r="I388" s="65"/>
      <c r="J388" s="65"/>
      <c r="K388" s="65"/>
      <c r="L388" s="65"/>
      <c r="M388" s="65"/>
      <c r="N388" s="65"/>
      <c r="O388" s="65"/>
      <c r="P388" s="65"/>
      <c r="Q388" s="65"/>
      <c r="R388" s="65"/>
      <c r="S388" s="65"/>
      <c r="T388" s="65"/>
    </row>
    <row r="389" spans="3:20">
      <c r="C389" s="65"/>
      <c r="D389" s="65"/>
      <c r="E389" s="65"/>
      <c r="F389" s="65"/>
      <c r="G389" s="65"/>
      <c r="H389" s="65"/>
      <c r="I389" s="65"/>
      <c r="J389" s="65"/>
      <c r="K389" s="65"/>
      <c r="L389" s="65"/>
      <c r="M389" s="65"/>
      <c r="N389" s="65"/>
      <c r="O389" s="65"/>
      <c r="P389" s="65"/>
      <c r="Q389" s="65"/>
      <c r="R389" s="65"/>
      <c r="S389" s="65"/>
      <c r="T389" s="65"/>
    </row>
    <row r="390" spans="3:20">
      <c r="C390" s="65"/>
      <c r="D390" s="65"/>
      <c r="E390" s="65"/>
      <c r="F390" s="65"/>
      <c r="G390" s="65"/>
      <c r="H390" s="65"/>
      <c r="I390" s="65"/>
      <c r="J390" s="65"/>
      <c r="K390" s="65"/>
      <c r="L390" s="65"/>
      <c r="M390" s="65"/>
      <c r="N390" s="65"/>
      <c r="O390" s="65"/>
      <c r="P390" s="65"/>
      <c r="Q390" s="65"/>
      <c r="R390" s="65"/>
      <c r="S390" s="65"/>
      <c r="T390" s="65"/>
    </row>
    <row r="391" spans="3:20">
      <c r="C391" s="65"/>
      <c r="D391" s="65"/>
      <c r="E391" s="65"/>
      <c r="F391" s="65"/>
      <c r="G391" s="65"/>
      <c r="H391" s="65"/>
      <c r="I391" s="65"/>
      <c r="J391" s="65"/>
      <c r="K391" s="65"/>
      <c r="L391" s="65"/>
      <c r="M391" s="65"/>
      <c r="N391" s="65"/>
      <c r="O391" s="65"/>
      <c r="P391" s="65"/>
      <c r="Q391" s="65"/>
      <c r="R391" s="65"/>
      <c r="S391" s="65"/>
      <c r="T391" s="65"/>
    </row>
    <row r="392" spans="3:20">
      <c r="C392" s="65"/>
      <c r="D392" s="65"/>
      <c r="E392" s="65"/>
      <c r="F392" s="65"/>
      <c r="G392" s="65"/>
      <c r="H392" s="65"/>
      <c r="I392" s="65"/>
      <c r="J392" s="65"/>
      <c r="K392" s="65"/>
      <c r="L392" s="65"/>
      <c r="M392" s="65"/>
      <c r="N392" s="65"/>
      <c r="O392" s="65"/>
      <c r="P392" s="65"/>
      <c r="Q392" s="65"/>
      <c r="R392" s="65"/>
      <c r="S392" s="65"/>
      <c r="T392" s="65"/>
    </row>
    <row r="393" spans="3:20">
      <c r="C393" s="65"/>
      <c r="D393" s="65"/>
      <c r="E393" s="65"/>
      <c r="F393" s="65"/>
      <c r="G393" s="65"/>
      <c r="H393" s="65"/>
      <c r="I393" s="65"/>
      <c r="J393" s="65"/>
      <c r="K393" s="65"/>
      <c r="L393" s="65"/>
      <c r="M393" s="65"/>
      <c r="N393" s="65"/>
      <c r="O393" s="65"/>
      <c r="P393" s="65"/>
      <c r="Q393" s="65"/>
      <c r="R393" s="65"/>
      <c r="S393" s="65"/>
      <c r="T393" s="65"/>
    </row>
    <row r="394" spans="3:20">
      <c r="C394" s="65"/>
      <c r="D394" s="65"/>
      <c r="E394" s="65"/>
      <c r="F394" s="65"/>
      <c r="G394" s="65"/>
      <c r="H394" s="65"/>
      <c r="I394" s="65"/>
      <c r="J394" s="65"/>
      <c r="K394" s="65"/>
      <c r="L394" s="65"/>
      <c r="M394" s="65"/>
      <c r="N394" s="65"/>
      <c r="O394" s="65"/>
      <c r="P394" s="65"/>
      <c r="Q394" s="65"/>
      <c r="R394" s="65"/>
      <c r="S394" s="65"/>
      <c r="T394" s="65"/>
    </row>
    <row r="395" spans="3:20">
      <c r="C395" s="65"/>
      <c r="D395" s="65"/>
      <c r="E395" s="65"/>
      <c r="F395" s="65"/>
      <c r="G395" s="65"/>
      <c r="H395" s="65"/>
      <c r="I395" s="65"/>
      <c r="J395" s="65"/>
      <c r="K395" s="65"/>
      <c r="L395" s="65"/>
      <c r="M395" s="65"/>
      <c r="N395" s="65"/>
      <c r="O395" s="65"/>
      <c r="P395" s="65"/>
      <c r="Q395" s="65"/>
      <c r="R395" s="65"/>
      <c r="S395" s="65"/>
      <c r="T395" s="65"/>
    </row>
    <row r="396" spans="3:20">
      <c r="C396" s="65"/>
      <c r="D396" s="65"/>
      <c r="E396" s="65"/>
      <c r="F396" s="65"/>
      <c r="G396" s="65"/>
      <c r="H396" s="65"/>
      <c r="I396" s="65"/>
      <c r="J396" s="65"/>
      <c r="K396" s="65"/>
      <c r="L396" s="65"/>
      <c r="M396" s="65"/>
      <c r="N396" s="65"/>
      <c r="O396" s="65"/>
      <c r="P396" s="65"/>
      <c r="Q396" s="65"/>
      <c r="R396" s="65"/>
      <c r="S396" s="65"/>
      <c r="T396" s="65"/>
    </row>
    <row r="397" spans="3:20">
      <c r="C397" s="65"/>
      <c r="D397" s="65"/>
      <c r="E397" s="65"/>
      <c r="F397" s="65"/>
      <c r="G397" s="65"/>
      <c r="H397" s="65"/>
      <c r="I397" s="65"/>
      <c r="J397" s="65"/>
      <c r="K397" s="65"/>
      <c r="L397" s="65"/>
      <c r="M397" s="65"/>
      <c r="N397" s="65"/>
      <c r="O397" s="65"/>
      <c r="P397" s="65"/>
      <c r="Q397" s="65"/>
      <c r="R397" s="65"/>
      <c r="S397" s="65"/>
      <c r="T397" s="65"/>
    </row>
    <row r="398" spans="3:20">
      <c r="C398" s="65"/>
      <c r="D398" s="65"/>
      <c r="E398" s="65"/>
      <c r="F398" s="65"/>
      <c r="G398" s="65"/>
      <c r="H398" s="65"/>
      <c r="I398" s="65"/>
      <c r="J398" s="65"/>
      <c r="K398" s="65"/>
      <c r="L398" s="65"/>
      <c r="M398" s="65"/>
      <c r="N398" s="65"/>
      <c r="O398" s="65"/>
      <c r="P398" s="65"/>
      <c r="Q398" s="65"/>
      <c r="R398" s="65"/>
      <c r="S398" s="65"/>
      <c r="T398" s="65"/>
    </row>
    <row r="399" spans="3:20">
      <c r="C399" s="65"/>
      <c r="D399" s="65"/>
      <c r="E399" s="65"/>
      <c r="F399" s="65"/>
      <c r="G399" s="65"/>
      <c r="H399" s="65"/>
      <c r="I399" s="65"/>
      <c r="J399" s="65"/>
      <c r="K399" s="65"/>
      <c r="L399" s="65"/>
      <c r="M399" s="65"/>
      <c r="N399" s="65"/>
      <c r="O399" s="65"/>
      <c r="P399" s="65"/>
      <c r="Q399" s="65"/>
      <c r="R399" s="65"/>
      <c r="S399" s="65"/>
      <c r="T399" s="65"/>
    </row>
    <row r="400" spans="3:20">
      <c r="C400" s="65"/>
      <c r="D400" s="65"/>
      <c r="E400" s="65"/>
      <c r="F400" s="65"/>
      <c r="G400" s="65"/>
      <c r="H400" s="65"/>
      <c r="I400" s="65"/>
      <c r="J400" s="65"/>
      <c r="K400" s="65"/>
      <c r="L400" s="65"/>
      <c r="M400" s="65"/>
      <c r="N400" s="65"/>
      <c r="O400" s="65"/>
      <c r="P400" s="65"/>
      <c r="Q400" s="65"/>
      <c r="R400" s="65"/>
      <c r="S400" s="65"/>
      <c r="T400" s="65"/>
    </row>
    <row r="401" spans="3:20">
      <c r="C401" s="65"/>
      <c r="D401" s="65"/>
      <c r="E401" s="65"/>
      <c r="F401" s="65"/>
      <c r="G401" s="65"/>
      <c r="H401" s="65"/>
      <c r="I401" s="65"/>
      <c r="J401" s="65"/>
      <c r="K401" s="65"/>
      <c r="L401" s="65"/>
      <c r="M401" s="65"/>
      <c r="N401" s="65"/>
      <c r="O401" s="65"/>
      <c r="P401" s="65"/>
      <c r="Q401" s="65"/>
      <c r="R401" s="65"/>
      <c r="S401" s="65"/>
      <c r="T401" s="65"/>
    </row>
    <row r="402" spans="3:20">
      <c r="C402" s="65"/>
      <c r="D402" s="65"/>
      <c r="E402" s="65"/>
      <c r="F402" s="65"/>
      <c r="G402" s="65"/>
      <c r="H402" s="65"/>
      <c r="I402" s="65"/>
      <c r="J402" s="65"/>
      <c r="K402" s="65"/>
      <c r="L402" s="65"/>
      <c r="M402" s="65"/>
      <c r="N402" s="65"/>
      <c r="O402" s="65"/>
      <c r="P402" s="65"/>
      <c r="Q402" s="65"/>
      <c r="R402" s="65"/>
      <c r="S402" s="65"/>
      <c r="T402" s="65"/>
    </row>
    <row r="403" spans="3:20">
      <c r="C403" s="65"/>
      <c r="D403" s="65"/>
      <c r="E403" s="65"/>
      <c r="F403" s="65"/>
      <c r="G403" s="65"/>
      <c r="H403" s="65"/>
      <c r="I403" s="65"/>
      <c r="J403" s="65"/>
      <c r="K403" s="65"/>
      <c r="L403" s="65"/>
      <c r="M403" s="65"/>
      <c r="N403" s="65"/>
      <c r="O403" s="65"/>
      <c r="P403" s="65"/>
      <c r="Q403" s="65"/>
      <c r="R403" s="65"/>
      <c r="S403" s="65"/>
      <c r="T403" s="65"/>
    </row>
    <row r="404" spans="3:20">
      <c r="C404" s="65"/>
      <c r="D404" s="65"/>
      <c r="E404" s="65"/>
      <c r="F404" s="65"/>
      <c r="G404" s="65"/>
      <c r="H404" s="65"/>
      <c r="I404" s="65"/>
      <c r="J404" s="65"/>
      <c r="K404" s="65"/>
      <c r="L404" s="65"/>
      <c r="M404" s="65"/>
      <c r="N404" s="65"/>
      <c r="O404" s="65"/>
      <c r="P404" s="65"/>
      <c r="Q404" s="65"/>
      <c r="R404" s="65"/>
      <c r="S404" s="65"/>
      <c r="T404" s="65"/>
    </row>
    <row r="405" spans="3:20">
      <c r="C405" s="65"/>
      <c r="D405" s="65"/>
      <c r="E405" s="65"/>
      <c r="F405" s="65"/>
      <c r="G405" s="65"/>
      <c r="H405" s="65"/>
      <c r="I405" s="65"/>
      <c r="J405" s="65"/>
      <c r="K405" s="65"/>
      <c r="L405" s="65"/>
      <c r="M405" s="65"/>
      <c r="N405" s="65"/>
      <c r="O405" s="65"/>
      <c r="P405" s="65"/>
      <c r="Q405" s="65"/>
      <c r="R405" s="65"/>
      <c r="S405" s="65"/>
      <c r="T405" s="65"/>
    </row>
    <row r="406" spans="3:20">
      <c r="C406" s="65"/>
      <c r="D406" s="65"/>
      <c r="E406" s="65"/>
      <c r="F406" s="65"/>
      <c r="G406" s="65"/>
      <c r="H406" s="65"/>
      <c r="I406" s="65"/>
      <c r="J406" s="65"/>
      <c r="K406" s="65"/>
      <c r="L406" s="65"/>
      <c r="M406" s="65"/>
      <c r="N406" s="65"/>
      <c r="O406" s="65"/>
      <c r="P406" s="65"/>
      <c r="Q406" s="65"/>
      <c r="R406" s="65"/>
      <c r="S406" s="65"/>
      <c r="T406" s="65"/>
    </row>
    <row r="407" spans="3:20">
      <c r="C407" s="65"/>
      <c r="D407" s="65"/>
      <c r="E407" s="65"/>
      <c r="F407" s="65"/>
      <c r="G407" s="65"/>
      <c r="H407" s="65"/>
      <c r="I407" s="65"/>
      <c r="J407" s="65"/>
      <c r="K407" s="65"/>
      <c r="L407" s="65"/>
      <c r="M407" s="65"/>
      <c r="N407" s="65"/>
      <c r="O407" s="65"/>
      <c r="P407" s="65"/>
      <c r="Q407" s="65"/>
      <c r="R407" s="65"/>
      <c r="S407" s="65"/>
      <c r="T407" s="65"/>
    </row>
    <row r="408" spans="3:20">
      <c r="C408" s="65"/>
      <c r="D408" s="65"/>
      <c r="E408" s="65"/>
      <c r="F408" s="65"/>
      <c r="G408" s="65"/>
      <c r="H408" s="65"/>
      <c r="I408" s="65"/>
      <c r="J408" s="65"/>
      <c r="K408" s="65"/>
      <c r="L408" s="65"/>
      <c r="M408" s="65"/>
      <c r="N408" s="65"/>
      <c r="O408" s="65"/>
      <c r="P408" s="65"/>
      <c r="Q408" s="65"/>
      <c r="R408" s="65"/>
      <c r="S408" s="65"/>
      <c r="T408" s="65"/>
    </row>
    <row r="409" spans="3:20">
      <c r="C409" s="65"/>
      <c r="D409" s="65"/>
      <c r="E409" s="65"/>
      <c r="F409" s="65"/>
      <c r="G409" s="65"/>
      <c r="H409" s="65"/>
      <c r="I409" s="65"/>
      <c r="J409" s="65"/>
      <c r="K409" s="65"/>
      <c r="L409" s="65"/>
      <c r="M409" s="65"/>
      <c r="N409" s="65"/>
      <c r="O409" s="65"/>
      <c r="P409" s="65"/>
      <c r="Q409" s="65"/>
      <c r="R409" s="65"/>
      <c r="S409" s="65"/>
      <c r="T409" s="65"/>
    </row>
    <row r="410" spans="3:20">
      <c r="C410" s="65"/>
      <c r="D410" s="65"/>
      <c r="E410" s="65"/>
      <c r="F410" s="65"/>
      <c r="G410" s="65"/>
      <c r="H410" s="65"/>
      <c r="I410" s="65"/>
      <c r="J410" s="65"/>
      <c r="K410" s="65"/>
      <c r="L410" s="65"/>
      <c r="M410" s="65"/>
      <c r="N410" s="65"/>
      <c r="O410" s="65"/>
      <c r="P410" s="65"/>
      <c r="Q410" s="65"/>
      <c r="R410" s="65"/>
      <c r="S410" s="65"/>
      <c r="T410" s="65"/>
    </row>
    <row r="411" spans="3:20">
      <c r="C411" s="65"/>
      <c r="D411" s="65"/>
      <c r="E411" s="65"/>
      <c r="F411" s="65"/>
      <c r="G411" s="65"/>
      <c r="H411" s="65"/>
      <c r="I411" s="65"/>
      <c r="J411" s="65"/>
      <c r="K411" s="65"/>
      <c r="L411" s="65"/>
      <c r="M411" s="65"/>
      <c r="N411" s="65"/>
      <c r="O411" s="65"/>
      <c r="P411" s="65"/>
      <c r="Q411" s="65"/>
      <c r="R411" s="65"/>
      <c r="S411" s="65"/>
      <c r="T411" s="65"/>
    </row>
    <row r="412" spans="3:20">
      <c r="C412" s="65"/>
      <c r="D412" s="65"/>
      <c r="E412" s="65"/>
      <c r="F412" s="65"/>
      <c r="G412" s="65"/>
      <c r="H412" s="65"/>
      <c r="I412" s="65"/>
      <c r="J412" s="65"/>
      <c r="K412" s="65"/>
      <c r="L412" s="65"/>
      <c r="M412" s="65"/>
      <c r="N412" s="65"/>
      <c r="O412" s="65"/>
      <c r="P412" s="65"/>
      <c r="Q412" s="65"/>
      <c r="R412" s="65"/>
      <c r="S412" s="65"/>
      <c r="T412" s="65"/>
    </row>
    <row r="413" spans="3:20">
      <c r="C413" s="65"/>
      <c r="D413" s="65"/>
      <c r="E413" s="65"/>
      <c r="F413" s="65"/>
      <c r="G413" s="65"/>
      <c r="H413" s="65"/>
      <c r="I413" s="65"/>
      <c r="J413" s="65"/>
      <c r="K413" s="65"/>
      <c r="L413" s="65"/>
      <c r="M413" s="65"/>
      <c r="N413" s="65"/>
      <c r="O413" s="65"/>
      <c r="P413" s="65"/>
      <c r="Q413" s="65"/>
      <c r="R413" s="65"/>
      <c r="S413" s="65"/>
      <c r="T413" s="65"/>
    </row>
    <row r="414" spans="3:20">
      <c r="C414" s="65"/>
      <c r="D414" s="65"/>
      <c r="E414" s="65"/>
      <c r="F414" s="65"/>
      <c r="G414" s="65"/>
      <c r="H414" s="65"/>
      <c r="I414" s="65"/>
      <c r="J414" s="65"/>
      <c r="K414" s="65"/>
      <c r="L414" s="65"/>
      <c r="M414" s="65"/>
      <c r="N414" s="65"/>
      <c r="O414" s="65"/>
      <c r="P414" s="65"/>
      <c r="Q414" s="65"/>
      <c r="R414" s="65"/>
      <c r="S414" s="65"/>
      <c r="T414" s="65"/>
    </row>
    <row r="415" spans="3:20">
      <c r="C415" s="65"/>
      <c r="D415" s="65"/>
      <c r="E415" s="65"/>
      <c r="F415" s="65"/>
      <c r="G415" s="65"/>
      <c r="H415" s="65"/>
      <c r="I415" s="65"/>
      <c r="J415" s="65"/>
      <c r="K415" s="65"/>
      <c r="L415" s="65"/>
      <c r="M415" s="65"/>
      <c r="N415" s="65"/>
      <c r="O415" s="65"/>
      <c r="P415" s="65"/>
      <c r="Q415" s="65"/>
      <c r="R415" s="65"/>
      <c r="S415" s="65"/>
      <c r="T415" s="65"/>
    </row>
    <row r="416" spans="3:20">
      <c r="C416" s="65"/>
      <c r="D416" s="65"/>
      <c r="E416" s="65"/>
      <c r="F416" s="65"/>
      <c r="G416" s="65"/>
      <c r="H416" s="65"/>
      <c r="I416" s="65"/>
      <c r="J416" s="65"/>
      <c r="K416" s="65"/>
      <c r="L416" s="65"/>
      <c r="M416" s="65"/>
      <c r="N416" s="65"/>
      <c r="O416" s="65"/>
      <c r="P416" s="65"/>
      <c r="Q416" s="65"/>
      <c r="R416" s="65"/>
      <c r="S416" s="65"/>
      <c r="T416" s="65"/>
    </row>
    <row r="417" spans="3:20">
      <c r="C417" s="65"/>
      <c r="D417" s="65"/>
      <c r="E417" s="65"/>
      <c r="F417" s="65"/>
      <c r="G417" s="65"/>
      <c r="H417" s="65"/>
      <c r="I417" s="65"/>
      <c r="J417" s="65"/>
      <c r="K417" s="65"/>
      <c r="L417" s="65"/>
      <c r="M417" s="65"/>
      <c r="N417" s="65"/>
      <c r="O417" s="65"/>
      <c r="P417" s="65"/>
      <c r="Q417" s="65"/>
      <c r="R417" s="65"/>
      <c r="S417" s="65"/>
      <c r="T417" s="65"/>
    </row>
    <row r="418" spans="3:20">
      <c r="C418" s="65"/>
      <c r="D418" s="65"/>
      <c r="E418" s="65"/>
      <c r="F418" s="65"/>
      <c r="G418" s="65"/>
      <c r="H418" s="65"/>
      <c r="I418" s="65"/>
      <c r="J418" s="65"/>
      <c r="K418" s="65"/>
      <c r="L418" s="65"/>
      <c r="M418" s="65"/>
      <c r="N418" s="65"/>
      <c r="O418" s="65"/>
      <c r="P418" s="65"/>
      <c r="Q418" s="65"/>
      <c r="R418" s="65"/>
      <c r="S418" s="65"/>
      <c r="T418" s="65"/>
    </row>
    <row r="419" spans="3:20">
      <c r="C419" s="65"/>
      <c r="D419" s="65"/>
      <c r="E419" s="65"/>
      <c r="F419" s="65"/>
      <c r="G419" s="65"/>
      <c r="H419" s="65"/>
      <c r="I419" s="65"/>
      <c r="J419" s="65"/>
      <c r="K419" s="65"/>
      <c r="L419" s="65"/>
      <c r="M419" s="65"/>
      <c r="N419" s="65"/>
      <c r="O419" s="65"/>
      <c r="P419" s="65"/>
      <c r="Q419" s="65"/>
      <c r="R419" s="65"/>
      <c r="S419" s="65"/>
      <c r="T419" s="65"/>
    </row>
    <row r="420" spans="3:20">
      <c r="C420" s="65"/>
      <c r="D420" s="65"/>
      <c r="E420" s="65"/>
      <c r="F420" s="65"/>
      <c r="G420" s="65"/>
      <c r="H420" s="65"/>
      <c r="I420" s="65"/>
      <c r="J420" s="65"/>
      <c r="K420" s="65"/>
      <c r="L420" s="65"/>
      <c r="M420" s="65"/>
      <c r="N420" s="65"/>
      <c r="O420" s="65"/>
      <c r="P420" s="65"/>
      <c r="Q420" s="65"/>
      <c r="R420" s="65"/>
      <c r="S420" s="65"/>
      <c r="T420" s="65"/>
    </row>
    <row r="421" spans="3:20">
      <c r="C421" s="65"/>
      <c r="D421" s="65"/>
      <c r="E421" s="65"/>
      <c r="F421" s="65"/>
      <c r="G421" s="65"/>
      <c r="H421" s="65"/>
      <c r="I421" s="65"/>
      <c r="J421" s="65"/>
      <c r="K421" s="65"/>
      <c r="L421" s="65"/>
      <c r="M421" s="65"/>
      <c r="N421" s="65"/>
      <c r="O421" s="65"/>
      <c r="P421" s="65"/>
      <c r="Q421" s="65"/>
      <c r="R421" s="65"/>
      <c r="S421" s="65"/>
      <c r="T421" s="65"/>
    </row>
    <row r="422" spans="3:20">
      <c r="C422" s="65"/>
      <c r="D422" s="65"/>
      <c r="E422" s="65"/>
      <c r="F422" s="65"/>
      <c r="G422" s="65"/>
      <c r="H422" s="65"/>
      <c r="I422" s="65"/>
      <c r="J422" s="65"/>
      <c r="K422" s="65"/>
      <c r="L422" s="65"/>
      <c r="M422" s="65"/>
      <c r="N422" s="65"/>
      <c r="O422" s="65"/>
      <c r="P422" s="65"/>
      <c r="Q422" s="65"/>
      <c r="R422" s="65"/>
      <c r="S422" s="65"/>
      <c r="T422" s="65"/>
    </row>
    <row r="423" spans="3:20">
      <c r="C423" s="65"/>
      <c r="D423" s="65"/>
      <c r="E423" s="65"/>
      <c r="F423" s="65"/>
      <c r="G423" s="65"/>
      <c r="H423" s="65"/>
      <c r="I423" s="65"/>
      <c r="J423" s="65"/>
      <c r="K423" s="65"/>
      <c r="L423" s="65"/>
      <c r="M423" s="65"/>
      <c r="N423" s="65"/>
      <c r="O423" s="65"/>
      <c r="P423" s="65"/>
      <c r="Q423" s="65"/>
      <c r="R423" s="65"/>
      <c r="S423" s="65"/>
      <c r="T423" s="65"/>
    </row>
    <row r="424" spans="3:20">
      <c r="C424" s="65"/>
      <c r="D424" s="65"/>
      <c r="E424" s="65"/>
      <c r="F424" s="65"/>
      <c r="G424" s="65"/>
      <c r="H424" s="65"/>
      <c r="I424" s="65"/>
      <c r="J424" s="65"/>
      <c r="K424" s="65"/>
      <c r="L424" s="65"/>
      <c r="M424" s="65"/>
      <c r="N424" s="65"/>
      <c r="O424" s="65"/>
      <c r="P424" s="65"/>
      <c r="Q424" s="65"/>
      <c r="R424" s="65"/>
      <c r="S424" s="65"/>
      <c r="T424" s="65"/>
    </row>
    <row r="425" spans="3:20">
      <c r="C425" s="65"/>
      <c r="D425" s="65"/>
      <c r="E425" s="65"/>
      <c r="F425" s="65"/>
      <c r="G425" s="65"/>
      <c r="H425" s="65"/>
      <c r="I425" s="65"/>
      <c r="J425" s="65"/>
      <c r="K425" s="65"/>
      <c r="L425" s="65"/>
      <c r="M425" s="65"/>
      <c r="N425" s="65"/>
      <c r="O425" s="65"/>
      <c r="P425" s="65"/>
      <c r="Q425" s="65"/>
      <c r="R425" s="65"/>
      <c r="S425" s="65"/>
      <c r="T425" s="65"/>
    </row>
    <row r="426" spans="3:20">
      <c r="C426" s="65"/>
      <c r="D426" s="65"/>
      <c r="E426" s="65"/>
      <c r="F426" s="65"/>
      <c r="G426" s="65"/>
      <c r="H426" s="65"/>
      <c r="I426" s="65"/>
      <c r="J426" s="65"/>
      <c r="K426" s="65"/>
      <c r="L426" s="65"/>
      <c r="M426" s="65"/>
      <c r="N426" s="65"/>
      <c r="O426" s="65"/>
      <c r="P426" s="65"/>
      <c r="Q426" s="65"/>
      <c r="R426" s="65"/>
      <c r="S426" s="65"/>
      <c r="T426" s="65"/>
    </row>
    <row r="427" spans="3:20">
      <c r="C427" s="65"/>
      <c r="D427" s="65"/>
      <c r="E427" s="65"/>
      <c r="F427" s="65"/>
      <c r="G427" s="65"/>
      <c r="H427" s="65"/>
      <c r="I427" s="65"/>
      <c r="J427" s="65"/>
      <c r="K427" s="65"/>
      <c r="L427" s="65"/>
      <c r="M427" s="65"/>
      <c r="N427" s="65"/>
      <c r="O427" s="65"/>
      <c r="P427" s="65"/>
      <c r="Q427" s="65"/>
      <c r="R427" s="65"/>
      <c r="S427" s="65"/>
      <c r="T427" s="65"/>
    </row>
    <row r="428" spans="3:20">
      <c r="C428" s="65"/>
      <c r="D428" s="65"/>
      <c r="E428" s="65"/>
      <c r="F428" s="65"/>
      <c r="G428" s="65"/>
      <c r="H428" s="65"/>
      <c r="I428" s="65"/>
      <c r="J428" s="65"/>
      <c r="K428" s="65"/>
      <c r="L428" s="65"/>
      <c r="M428" s="65"/>
      <c r="N428" s="65"/>
      <c r="O428" s="65"/>
      <c r="P428" s="65"/>
      <c r="Q428" s="65"/>
      <c r="R428" s="65"/>
      <c r="S428" s="65"/>
      <c r="T428" s="65"/>
    </row>
    <row r="429" spans="3:20">
      <c r="C429" s="65"/>
      <c r="D429" s="65"/>
      <c r="E429" s="65"/>
      <c r="F429" s="65"/>
      <c r="G429" s="65"/>
      <c r="H429" s="65"/>
      <c r="I429" s="65"/>
      <c r="J429" s="65"/>
      <c r="K429" s="65"/>
      <c r="L429" s="65"/>
      <c r="M429" s="65"/>
      <c r="N429" s="65"/>
      <c r="O429" s="65"/>
      <c r="P429" s="65"/>
      <c r="Q429" s="65"/>
      <c r="R429" s="65"/>
      <c r="S429" s="65"/>
      <c r="T429" s="65"/>
    </row>
    <row r="430" spans="3:20">
      <c r="C430" s="65"/>
      <c r="D430" s="65"/>
      <c r="E430" s="65"/>
      <c r="F430" s="65"/>
      <c r="G430" s="65"/>
      <c r="H430" s="65"/>
      <c r="I430" s="65"/>
      <c r="J430" s="65"/>
      <c r="K430" s="65"/>
      <c r="L430" s="65"/>
      <c r="M430" s="65"/>
      <c r="N430" s="65"/>
      <c r="O430" s="65"/>
      <c r="P430" s="65"/>
      <c r="Q430" s="65"/>
      <c r="R430" s="65"/>
      <c r="S430" s="65"/>
      <c r="T430" s="65"/>
    </row>
    <row r="431" spans="3:20">
      <c r="C431" s="65"/>
      <c r="D431" s="65"/>
      <c r="E431" s="65"/>
      <c r="F431" s="65"/>
      <c r="G431" s="65"/>
      <c r="H431" s="65"/>
      <c r="I431" s="65"/>
      <c r="J431" s="65"/>
      <c r="K431" s="65"/>
      <c r="L431" s="65"/>
      <c r="M431" s="65"/>
      <c r="N431" s="65"/>
      <c r="O431" s="65"/>
      <c r="P431" s="65"/>
      <c r="Q431" s="65"/>
      <c r="R431" s="65"/>
      <c r="S431" s="65"/>
      <c r="T431" s="65"/>
    </row>
    <row r="432" spans="3:20">
      <c r="C432" s="65"/>
      <c r="D432" s="65"/>
      <c r="E432" s="65"/>
      <c r="F432" s="65"/>
      <c r="G432" s="65"/>
      <c r="H432" s="65"/>
      <c r="I432" s="65"/>
      <c r="J432" s="65"/>
      <c r="K432" s="65"/>
      <c r="L432" s="65"/>
      <c r="M432" s="65"/>
      <c r="N432" s="65"/>
      <c r="O432" s="65"/>
      <c r="P432" s="65"/>
      <c r="Q432" s="65"/>
      <c r="R432" s="65"/>
      <c r="S432" s="65"/>
      <c r="T432" s="65"/>
    </row>
    <row r="433" spans="3:20">
      <c r="C433" s="65"/>
      <c r="D433" s="65"/>
      <c r="E433" s="65"/>
      <c r="F433" s="65"/>
      <c r="G433" s="65"/>
      <c r="H433" s="65"/>
      <c r="I433" s="65"/>
      <c r="J433" s="65"/>
      <c r="K433" s="65"/>
      <c r="L433" s="65"/>
      <c r="M433" s="65"/>
      <c r="N433" s="65"/>
      <c r="O433" s="65"/>
      <c r="P433" s="65"/>
      <c r="Q433" s="65"/>
      <c r="R433" s="65"/>
      <c r="S433" s="65"/>
      <c r="T433" s="65"/>
    </row>
    <row r="434" spans="3:20">
      <c r="C434" s="65"/>
      <c r="D434" s="65"/>
      <c r="E434" s="65"/>
      <c r="F434" s="65"/>
      <c r="G434" s="65"/>
      <c r="H434" s="65"/>
      <c r="I434" s="65"/>
      <c r="J434" s="65"/>
      <c r="K434" s="65"/>
      <c r="L434" s="65"/>
      <c r="M434" s="65"/>
      <c r="N434" s="65"/>
      <c r="O434" s="65"/>
      <c r="P434" s="65"/>
      <c r="Q434" s="65"/>
      <c r="R434" s="65"/>
      <c r="S434" s="65"/>
      <c r="T434" s="65"/>
    </row>
    <row r="435" spans="3:20">
      <c r="C435" s="65"/>
      <c r="D435" s="65"/>
      <c r="E435" s="65"/>
      <c r="F435" s="65"/>
      <c r="G435" s="65"/>
      <c r="H435" s="65"/>
      <c r="I435" s="65"/>
      <c r="J435" s="65"/>
      <c r="K435" s="65"/>
      <c r="L435" s="65"/>
      <c r="M435" s="65"/>
      <c r="N435" s="65"/>
      <c r="O435" s="65"/>
      <c r="P435" s="65"/>
      <c r="Q435" s="65"/>
      <c r="R435" s="65"/>
      <c r="S435" s="65"/>
      <c r="T435" s="65"/>
    </row>
    <row r="436" spans="3:20">
      <c r="C436" s="65"/>
      <c r="D436" s="65"/>
      <c r="E436" s="65"/>
      <c r="F436" s="65"/>
      <c r="G436" s="65"/>
      <c r="H436" s="65"/>
      <c r="I436" s="65"/>
      <c r="J436" s="65"/>
      <c r="K436" s="65"/>
      <c r="L436" s="65"/>
      <c r="M436" s="65"/>
      <c r="N436" s="65"/>
      <c r="O436" s="65"/>
      <c r="P436" s="65"/>
      <c r="Q436" s="65"/>
      <c r="R436" s="65"/>
      <c r="S436" s="65"/>
      <c r="T436" s="65"/>
    </row>
    <row r="437" spans="3:20">
      <c r="C437" s="65"/>
      <c r="D437" s="65"/>
      <c r="E437" s="65"/>
      <c r="F437" s="65"/>
      <c r="G437" s="65"/>
      <c r="H437" s="65"/>
      <c r="I437" s="65"/>
      <c r="J437" s="65"/>
      <c r="K437" s="65"/>
      <c r="L437" s="65"/>
      <c r="M437" s="65"/>
      <c r="N437" s="65"/>
      <c r="O437" s="65"/>
      <c r="P437" s="65"/>
      <c r="Q437" s="65"/>
      <c r="R437" s="65"/>
      <c r="S437" s="65"/>
      <c r="T437" s="65"/>
    </row>
    <row r="438" spans="3:20">
      <c r="C438" s="65"/>
      <c r="D438" s="65"/>
      <c r="E438" s="65"/>
      <c r="F438" s="65"/>
      <c r="G438" s="65"/>
      <c r="H438" s="65"/>
      <c r="I438" s="65"/>
      <c r="J438" s="65"/>
      <c r="K438" s="65"/>
      <c r="L438" s="65"/>
      <c r="M438" s="65"/>
      <c r="N438" s="65"/>
      <c r="O438" s="65"/>
      <c r="P438" s="65"/>
      <c r="Q438" s="65"/>
      <c r="R438" s="65"/>
      <c r="S438" s="65"/>
      <c r="T438" s="65"/>
    </row>
    <row r="439" spans="3:20">
      <c r="C439" s="65"/>
      <c r="D439" s="65"/>
      <c r="E439" s="65"/>
      <c r="F439" s="65"/>
      <c r="G439" s="65"/>
      <c r="H439" s="65"/>
      <c r="I439" s="65"/>
      <c r="J439" s="65"/>
      <c r="K439" s="65"/>
      <c r="L439" s="65"/>
      <c r="M439" s="65"/>
      <c r="N439" s="65"/>
      <c r="O439" s="65"/>
      <c r="P439" s="65"/>
      <c r="Q439" s="65"/>
      <c r="R439" s="65"/>
      <c r="S439" s="65"/>
      <c r="T439" s="65"/>
    </row>
    <row r="440" spans="3:20">
      <c r="C440" s="65"/>
      <c r="D440" s="65"/>
      <c r="E440" s="65"/>
      <c r="F440" s="65"/>
      <c r="G440" s="65"/>
      <c r="H440" s="65"/>
      <c r="I440" s="65"/>
      <c r="J440" s="65"/>
      <c r="K440" s="65"/>
      <c r="L440" s="65"/>
      <c r="M440" s="65"/>
      <c r="N440" s="65"/>
      <c r="O440" s="65"/>
      <c r="P440" s="65"/>
      <c r="Q440" s="65"/>
      <c r="R440" s="65"/>
      <c r="S440" s="65"/>
      <c r="T440" s="65"/>
    </row>
    <row r="441" spans="3:20">
      <c r="C441" s="65"/>
      <c r="D441" s="65"/>
      <c r="E441" s="65"/>
      <c r="F441" s="65"/>
      <c r="G441" s="65"/>
      <c r="H441" s="65"/>
      <c r="I441" s="65"/>
      <c r="J441" s="65"/>
      <c r="K441" s="65"/>
      <c r="L441" s="65"/>
      <c r="M441" s="65"/>
      <c r="N441" s="65"/>
      <c r="O441" s="65"/>
      <c r="P441" s="65"/>
      <c r="Q441" s="65"/>
      <c r="R441" s="65"/>
      <c r="S441" s="65"/>
      <c r="T441" s="65"/>
    </row>
    <row r="442" spans="3:20">
      <c r="C442" s="65"/>
      <c r="D442" s="65"/>
      <c r="E442" s="65"/>
      <c r="F442" s="65"/>
      <c r="G442" s="65"/>
      <c r="H442" s="65"/>
      <c r="I442" s="65"/>
      <c r="J442" s="65"/>
      <c r="K442" s="65"/>
      <c r="L442" s="65"/>
      <c r="M442" s="65"/>
      <c r="N442" s="65"/>
      <c r="O442" s="65"/>
      <c r="P442" s="65"/>
      <c r="Q442" s="65"/>
      <c r="R442" s="65"/>
      <c r="S442" s="65"/>
      <c r="T442" s="65"/>
    </row>
    <row r="443" spans="3:20">
      <c r="C443" s="65"/>
      <c r="D443" s="65"/>
      <c r="E443" s="65"/>
      <c r="F443" s="65"/>
      <c r="G443" s="65"/>
      <c r="H443" s="65"/>
      <c r="I443" s="65"/>
      <c r="J443" s="65"/>
      <c r="K443" s="65"/>
      <c r="L443" s="65"/>
      <c r="M443" s="65"/>
      <c r="N443" s="65"/>
      <c r="O443" s="65"/>
      <c r="P443" s="65"/>
      <c r="Q443" s="65"/>
      <c r="R443" s="65"/>
      <c r="S443" s="65"/>
      <c r="T443" s="65"/>
    </row>
    <row r="444" spans="3:20">
      <c r="C444" s="65"/>
      <c r="D444" s="65"/>
      <c r="E444" s="65"/>
      <c r="F444" s="65"/>
      <c r="G444" s="65"/>
      <c r="H444" s="65"/>
      <c r="I444" s="65"/>
      <c r="J444" s="65"/>
      <c r="K444" s="65"/>
      <c r="L444" s="65"/>
      <c r="M444" s="65"/>
      <c r="N444" s="65"/>
      <c r="O444" s="65"/>
      <c r="P444" s="65"/>
      <c r="Q444" s="65"/>
      <c r="R444" s="65"/>
      <c r="S444" s="65"/>
      <c r="T444" s="65"/>
    </row>
    <row r="445" spans="3:20">
      <c r="C445" s="65"/>
      <c r="D445" s="65"/>
      <c r="E445" s="65"/>
      <c r="F445" s="65"/>
      <c r="G445" s="65"/>
      <c r="H445" s="65"/>
      <c r="I445" s="65"/>
      <c r="J445" s="65"/>
      <c r="K445" s="65"/>
      <c r="L445" s="65"/>
      <c r="M445" s="65"/>
      <c r="N445" s="65"/>
      <c r="O445" s="65"/>
      <c r="P445" s="65"/>
      <c r="Q445" s="65"/>
      <c r="R445" s="65"/>
      <c r="S445" s="65"/>
      <c r="T445" s="65"/>
    </row>
    <row r="446" spans="3:20">
      <c r="C446" s="65"/>
      <c r="D446" s="65"/>
      <c r="E446" s="65"/>
      <c r="F446" s="65"/>
      <c r="G446" s="65"/>
      <c r="H446" s="65"/>
      <c r="I446" s="65"/>
      <c r="J446" s="65"/>
      <c r="K446" s="65"/>
      <c r="L446" s="65"/>
      <c r="M446" s="65"/>
      <c r="N446" s="65"/>
      <c r="O446" s="65"/>
      <c r="P446" s="65"/>
      <c r="Q446" s="65"/>
      <c r="R446" s="65"/>
      <c r="S446" s="65"/>
      <c r="T446" s="65"/>
    </row>
    <row r="447" spans="3:20">
      <c r="C447" s="65"/>
      <c r="D447" s="65"/>
      <c r="E447" s="65"/>
      <c r="F447" s="65"/>
      <c r="G447" s="65"/>
      <c r="H447" s="65"/>
      <c r="I447" s="65"/>
      <c r="J447" s="65"/>
      <c r="K447" s="65"/>
      <c r="L447" s="65"/>
      <c r="M447" s="65"/>
      <c r="N447" s="65"/>
      <c r="O447" s="65"/>
      <c r="P447" s="65"/>
      <c r="Q447" s="65"/>
      <c r="R447" s="65"/>
      <c r="S447" s="65"/>
      <c r="T447" s="65"/>
    </row>
    <row r="448" spans="3:20">
      <c r="C448" s="65"/>
      <c r="D448" s="65"/>
      <c r="E448" s="65"/>
      <c r="F448" s="65"/>
      <c r="G448" s="65"/>
      <c r="H448" s="65"/>
      <c r="I448" s="65"/>
      <c r="J448" s="65"/>
      <c r="K448" s="65"/>
      <c r="L448" s="65"/>
      <c r="M448" s="65"/>
      <c r="N448" s="65"/>
      <c r="O448" s="65"/>
      <c r="P448" s="65"/>
      <c r="Q448" s="65"/>
      <c r="R448" s="65"/>
      <c r="S448" s="65"/>
      <c r="T448" s="65"/>
    </row>
    <row r="449" spans="3:20">
      <c r="C449" s="65"/>
      <c r="D449" s="65"/>
      <c r="E449" s="65"/>
      <c r="F449" s="65"/>
      <c r="G449" s="65"/>
      <c r="H449" s="65"/>
      <c r="I449" s="65"/>
      <c r="J449" s="65"/>
      <c r="K449" s="65"/>
      <c r="L449" s="65"/>
      <c r="M449" s="65"/>
      <c r="N449" s="65"/>
      <c r="O449" s="65"/>
      <c r="P449" s="65"/>
      <c r="Q449" s="65"/>
      <c r="R449" s="65"/>
      <c r="S449" s="65"/>
      <c r="T449" s="65"/>
    </row>
    <row r="450" spans="3:20">
      <c r="C450" s="65"/>
      <c r="D450" s="65"/>
      <c r="E450" s="65"/>
      <c r="F450" s="65"/>
      <c r="G450" s="65"/>
      <c r="H450" s="65"/>
      <c r="I450" s="65"/>
      <c r="J450" s="65"/>
      <c r="K450" s="65"/>
      <c r="L450" s="65"/>
      <c r="M450" s="65"/>
      <c r="N450" s="65"/>
      <c r="O450" s="65"/>
      <c r="P450" s="65"/>
      <c r="Q450" s="65"/>
      <c r="R450" s="65"/>
      <c r="S450" s="65"/>
      <c r="T450" s="65"/>
    </row>
    <row r="451" spans="3:20">
      <c r="C451" s="65"/>
      <c r="D451" s="65"/>
      <c r="E451" s="65"/>
      <c r="F451" s="65"/>
      <c r="G451" s="65"/>
      <c r="H451" s="65"/>
      <c r="I451" s="65"/>
      <c r="J451" s="65"/>
      <c r="K451" s="65"/>
      <c r="L451" s="65"/>
      <c r="M451" s="65"/>
      <c r="N451" s="65"/>
      <c r="O451" s="65"/>
      <c r="P451" s="65"/>
      <c r="Q451" s="65"/>
      <c r="R451" s="65"/>
      <c r="S451" s="65"/>
      <c r="T451" s="65"/>
    </row>
    <row r="452" spans="3:20">
      <c r="C452" s="65"/>
      <c r="D452" s="65"/>
      <c r="E452" s="65"/>
      <c r="F452" s="65"/>
      <c r="G452" s="65"/>
      <c r="H452" s="65"/>
      <c r="I452" s="65"/>
      <c r="J452" s="65"/>
      <c r="K452" s="65"/>
      <c r="L452" s="65"/>
      <c r="M452" s="65"/>
      <c r="N452" s="65"/>
      <c r="O452" s="65"/>
      <c r="P452" s="65"/>
      <c r="Q452" s="65"/>
      <c r="R452" s="65"/>
      <c r="S452" s="65"/>
      <c r="T452" s="65"/>
    </row>
    <row r="453" spans="3:20">
      <c r="C453" s="65"/>
      <c r="D453" s="65"/>
      <c r="E453" s="65"/>
      <c r="F453" s="65"/>
      <c r="G453" s="65"/>
      <c r="H453" s="65"/>
      <c r="I453" s="65"/>
      <c r="J453" s="65"/>
      <c r="K453" s="65"/>
      <c r="L453" s="65"/>
      <c r="M453" s="65"/>
      <c r="N453" s="65"/>
      <c r="O453" s="65"/>
      <c r="P453" s="65"/>
      <c r="Q453" s="65"/>
      <c r="R453" s="65"/>
      <c r="S453" s="65"/>
      <c r="T453" s="65"/>
    </row>
    <row r="454" spans="3:20">
      <c r="C454" s="65"/>
      <c r="D454" s="65"/>
      <c r="E454" s="65"/>
      <c r="F454" s="65"/>
      <c r="G454" s="65"/>
      <c r="H454" s="65"/>
      <c r="I454" s="65"/>
      <c r="J454" s="65"/>
      <c r="K454" s="65"/>
      <c r="L454" s="65"/>
      <c r="M454" s="65"/>
      <c r="N454" s="65"/>
      <c r="O454" s="65"/>
      <c r="P454" s="65"/>
      <c r="Q454" s="65"/>
      <c r="R454" s="65"/>
      <c r="S454" s="65"/>
      <c r="T454" s="65"/>
    </row>
    <row r="455" spans="3:20">
      <c r="C455" s="65"/>
      <c r="D455" s="65"/>
      <c r="E455" s="65"/>
      <c r="F455" s="65"/>
      <c r="G455" s="65"/>
      <c r="H455" s="65"/>
      <c r="I455" s="65"/>
      <c r="J455" s="65"/>
      <c r="K455" s="65"/>
      <c r="L455" s="65"/>
      <c r="M455" s="65"/>
      <c r="N455" s="65"/>
      <c r="O455" s="65"/>
      <c r="P455" s="65"/>
      <c r="Q455" s="65"/>
      <c r="R455" s="65"/>
      <c r="S455" s="65"/>
      <c r="T455" s="65"/>
    </row>
    <row r="456" spans="3:20">
      <c r="C456" s="65"/>
      <c r="D456" s="65"/>
      <c r="E456" s="65"/>
      <c r="F456" s="65"/>
      <c r="G456" s="65"/>
      <c r="H456" s="65"/>
      <c r="I456" s="65"/>
      <c r="J456" s="65"/>
      <c r="K456" s="65"/>
      <c r="L456" s="65"/>
      <c r="M456" s="65"/>
      <c r="N456" s="65"/>
      <c r="O456" s="65"/>
      <c r="P456" s="65"/>
      <c r="Q456" s="65"/>
      <c r="R456" s="65"/>
      <c r="S456" s="65"/>
      <c r="T456" s="65"/>
    </row>
    <row r="457" spans="3:20">
      <c r="C457" s="65"/>
      <c r="D457" s="65"/>
      <c r="E457" s="65"/>
      <c r="F457" s="65"/>
      <c r="G457" s="65"/>
      <c r="H457" s="65"/>
      <c r="I457" s="65"/>
      <c r="J457" s="65"/>
      <c r="K457" s="65"/>
      <c r="L457" s="65"/>
      <c r="M457" s="65"/>
      <c r="N457" s="65"/>
      <c r="O457" s="65"/>
      <c r="P457" s="65"/>
      <c r="Q457" s="65"/>
      <c r="R457" s="65"/>
      <c r="S457" s="65"/>
      <c r="T457" s="65"/>
    </row>
    <row r="458" spans="3:20">
      <c r="C458" s="65"/>
      <c r="D458" s="65"/>
      <c r="E458" s="65"/>
      <c r="F458" s="65"/>
      <c r="G458" s="65"/>
      <c r="H458" s="65"/>
      <c r="I458" s="65"/>
      <c r="J458" s="65"/>
      <c r="K458" s="65"/>
      <c r="L458" s="65"/>
      <c r="M458" s="65"/>
      <c r="N458" s="65"/>
      <c r="O458" s="65"/>
      <c r="P458" s="65"/>
      <c r="Q458" s="65"/>
      <c r="R458" s="65"/>
      <c r="S458" s="65"/>
      <c r="T458" s="65"/>
    </row>
    <row r="459" spans="3:20">
      <c r="C459" s="65"/>
      <c r="D459" s="65"/>
      <c r="E459" s="65"/>
      <c r="F459" s="65"/>
      <c r="G459" s="65"/>
      <c r="H459" s="65"/>
      <c r="I459" s="65"/>
      <c r="J459" s="65"/>
      <c r="K459" s="65"/>
      <c r="L459" s="65"/>
      <c r="M459" s="65"/>
      <c r="N459" s="65"/>
      <c r="O459" s="65"/>
      <c r="P459" s="65"/>
      <c r="Q459" s="65"/>
      <c r="R459" s="65"/>
      <c r="S459" s="65"/>
      <c r="T459" s="65"/>
    </row>
    <row r="460" spans="3:20">
      <c r="C460" s="65"/>
      <c r="D460" s="65"/>
      <c r="E460" s="65"/>
      <c r="F460" s="65"/>
      <c r="G460" s="65"/>
      <c r="H460" s="65"/>
      <c r="I460" s="65"/>
      <c r="J460" s="65"/>
      <c r="K460" s="65"/>
      <c r="L460" s="65"/>
      <c r="M460" s="65"/>
      <c r="N460" s="65"/>
      <c r="O460" s="65"/>
      <c r="P460" s="65"/>
      <c r="Q460" s="65"/>
      <c r="R460" s="65"/>
      <c r="S460" s="65"/>
      <c r="T460" s="65"/>
    </row>
    <row r="461" spans="3:20">
      <c r="C461" s="65"/>
      <c r="D461" s="65"/>
      <c r="E461" s="65"/>
      <c r="F461" s="65"/>
      <c r="G461" s="65"/>
      <c r="H461" s="65"/>
      <c r="I461" s="65"/>
      <c r="J461" s="65"/>
      <c r="K461" s="65"/>
      <c r="L461" s="65"/>
      <c r="M461" s="65"/>
      <c r="N461" s="65"/>
      <c r="O461" s="65"/>
      <c r="P461" s="65"/>
      <c r="Q461" s="65"/>
      <c r="R461" s="65"/>
      <c r="S461" s="65"/>
      <c r="T461" s="65"/>
    </row>
    <row r="462" spans="3:20">
      <c r="C462" s="65"/>
      <c r="D462" s="65"/>
      <c r="E462" s="65"/>
      <c r="F462" s="65"/>
      <c r="G462" s="65"/>
      <c r="H462" s="65"/>
      <c r="I462" s="65"/>
      <c r="J462" s="65"/>
      <c r="K462" s="65"/>
      <c r="L462" s="65"/>
      <c r="M462" s="65"/>
      <c r="N462" s="65"/>
      <c r="O462" s="65"/>
      <c r="P462" s="65"/>
      <c r="Q462" s="65"/>
      <c r="R462" s="65"/>
      <c r="S462" s="65"/>
      <c r="T462" s="65"/>
    </row>
    <row r="463" spans="3:20">
      <c r="C463" s="65"/>
      <c r="D463" s="65"/>
      <c r="E463" s="65"/>
      <c r="F463" s="65"/>
      <c r="G463" s="65"/>
      <c r="H463" s="65"/>
      <c r="I463" s="65"/>
      <c r="J463" s="65"/>
      <c r="K463" s="65"/>
      <c r="L463" s="65"/>
      <c r="M463" s="65"/>
      <c r="N463" s="65"/>
      <c r="O463" s="65"/>
      <c r="P463" s="65"/>
      <c r="Q463" s="65"/>
      <c r="R463" s="65"/>
      <c r="S463" s="65"/>
      <c r="T463" s="65"/>
    </row>
    <row r="464" spans="3:20">
      <c r="C464" s="65"/>
      <c r="D464" s="65"/>
      <c r="E464" s="65"/>
      <c r="F464" s="65"/>
      <c r="G464" s="65"/>
      <c r="H464" s="65"/>
      <c r="I464" s="65"/>
      <c r="J464" s="65"/>
      <c r="K464" s="65"/>
      <c r="L464" s="65"/>
      <c r="M464" s="65"/>
      <c r="N464" s="65"/>
      <c r="O464" s="65"/>
      <c r="P464" s="65"/>
      <c r="Q464" s="65"/>
      <c r="R464" s="65"/>
      <c r="S464" s="65"/>
      <c r="T464" s="65"/>
    </row>
    <row r="465" spans="3:20">
      <c r="C465" s="65"/>
      <c r="D465" s="65"/>
      <c r="E465" s="65"/>
      <c r="F465" s="65"/>
      <c r="G465" s="65"/>
      <c r="H465" s="65"/>
      <c r="I465" s="65"/>
      <c r="J465" s="65"/>
      <c r="K465" s="65"/>
      <c r="L465" s="65"/>
      <c r="M465" s="65"/>
      <c r="N465" s="65"/>
      <c r="O465" s="65"/>
      <c r="P465" s="65"/>
      <c r="Q465" s="65"/>
      <c r="R465" s="65"/>
      <c r="S465" s="65"/>
      <c r="T465" s="65"/>
    </row>
    <row r="466" spans="3:20">
      <c r="C466" s="65"/>
      <c r="D466" s="65"/>
      <c r="E466" s="65"/>
      <c r="F466" s="65"/>
      <c r="G466" s="65"/>
      <c r="H466" s="65"/>
      <c r="I466" s="65"/>
      <c r="J466" s="65"/>
      <c r="K466" s="65"/>
      <c r="L466" s="65"/>
      <c r="M466" s="65"/>
      <c r="N466" s="65"/>
      <c r="O466" s="65"/>
      <c r="P466" s="65"/>
      <c r="Q466" s="65"/>
      <c r="R466" s="65"/>
      <c r="S466" s="65"/>
      <c r="T466" s="65"/>
    </row>
    <row r="467" spans="3:20">
      <c r="C467" s="65"/>
      <c r="D467" s="65"/>
      <c r="E467" s="65"/>
      <c r="F467" s="65"/>
      <c r="G467" s="65"/>
      <c r="H467" s="65"/>
      <c r="I467" s="65"/>
      <c r="J467" s="65"/>
      <c r="K467" s="65"/>
      <c r="L467" s="65"/>
      <c r="M467" s="65"/>
      <c r="N467" s="65"/>
      <c r="O467" s="65"/>
      <c r="P467" s="65"/>
      <c r="Q467" s="65"/>
      <c r="R467" s="65"/>
      <c r="S467" s="65"/>
      <c r="T467" s="65"/>
    </row>
    <row r="468" spans="3:20">
      <c r="C468" s="65"/>
      <c r="D468" s="65"/>
      <c r="E468" s="65"/>
      <c r="F468" s="65"/>
      <c r="G468" s="65"/>
      <c r="H468" s="65"/>
      <c r="I468" s="65"/>
      <c r="J468" s="65"/>
      <c r="K468" s="65"/>
      <c r="L468" s="65"/>
      <c r="M468" s="65"/>
      <c r="N468" s="65"/>
      <c r="O468" s="65"/>
      <c r="P468" s="65"/>
      <c r="Q468" s="65"/>
      <c r="R468" s="65"/>
      <c r="S468" s="65"/>
      <c r="T468" s="65"/>
    </row>
    <row r="469" spans="3:20">
      <c r="C469" s="65"/>
      <c r="D469" s="65"/>
      <c r="E469" s="65"/>
      <c r="F469" s="65"/>
      <c r="G469" s="65"/>
      <c r="H469" s="65"/>
      <c r="I469" s="65"/>
      <c r="J469" s="65"/>
      <c r="K469" s="65"/>
      <c r="L469" s="65"/>
      <c r="M469" s="65"/>
      <c r="N469" s="65"/>
      <c r="O469" s="65"/>
      <c r="P469" s="65"/>
      <c r="Q469" s="65"/>
      <c r="R469" s="65"/>
      <c r="S469" s="65"/>
      <c r="T469" s="65"/>
    </row>
    <row r="470" spans="3:20">
      <c r="C470" s="65"/>
      <c r="D470" s="65"/>
      <c r="E470" s="65"/>
      <c r="F470" s="65"/>
      <c r="G470" s="65"/>
      <c r="H470" s="65"/>
      <c r="I470" s="65"/>
      <c r="J470" s="65"/>
      <c r="K470" s="65"/>
      <c r="L470" s="65"/>
      <c r="M470" s="65"/>
      <c r="N470" s="65"/>
      <c r="O470" s="65"/>
      <c r="P470" s="65"/>
      <c r="Q470" s="65"/>
      <c r="R470" s="65"/>
      <c r="S470" s="65"/>
      <c r="T470" s="65"/>
    </row>
    <row r="471" spans="3:20">
      <c r="C471" s="65"/>
      <c r="D471" s="65"/>
      <c r="E471" s="65"/>
      <c r="F471" s="65"/>
      <c r="G471" s="65"/>
      <c r="H471" s="65"/>
      <c r="I471" s="65"/>
      <c r="J471" s="65"/>
      <c r="K471" s="65"/>
      <c r="L471" s="65"/>
      <c r="M471" s="65"/>
      <c r="N471" s="65"/>
      <c r="O471" s="65"/>
      <c r="P471" s="65"/>
      <c r="Q471" s="65"/>
      <c r="R471" s="65"/>
      <c r="S471" s="65"/>
      <c r="T471" s="65"/>
    </row>
    <row r="472" spans="3:20">
      <c r="C472" s="65"/>
      <c r="D472" s="65"/>
      <c r="E472" s="65"/>
      <c r="F472" s="65"/>
      <c r="G472" s="65"/>
      <c r="H472" s="65"/>
      <c r="I472" s="65"/>
      <c r="J472" s="65"/>
      <c r="K472" s="65"/>
      <c r="L472" s="65"/>
      <c r="M472" s="65"/>
      <c r="N472" s="65"/>
      <c r="O472" s="65"/>
      <c r="P472" s="65"/>
      <c r="Q472" s="65"/>
      <c r="R472" s="65"/>
      <c r="S472" s="65"/>
      <c r="T472" s="65"/>
    </row>
    <row r="473" spans="3:20">
      <c r="C473" s="65"/>
      <c r="D473" s="65"/>
      <c r="E473" s="65"/>
      <c r="F473" s="65"/>
      <c r="G473" s="65"/>
      <c r="H473" s="65"/>
      <c r="I473" s="65"/>
      <c r="J473" s="65"/>
      <c r="K473" s="65"/>
      <c r="L473" s="65"/>
      <c r="M473" s="65"/>
      <c r="N473" s="65"/>
      <c r="O473" s="65"/>
      <c r="P473" s="65"/>
      <c r="Q473" s="65"/>
      <c r="R473" s="65"/>
      <c r="S473" s="65"/>
      <c r="T473" s="65"/>
    </row>
    <row r="474" spans="3:20">
      <c r="C474" s="65"/>
      <c r="D474" s="65"/>
      <c r="E474" s="65"/>
      <c r="F474" s="65"/>
      <c r="G474" s="65"/>
      <c r="H474" s="65"/>
      <c r="I474" s="65"/>
      <c r="J474" s="65"/>
      <c r="K474" s="65"/>
      <c r="L474" s="65"/>
      <c r="M474" s="65"/>
      <c r="N474" s="65"/>
      <c r="O474" s="65"/>
      <c r="P474" s="65"/>
      <c r="Q474" s="65"/>
      <c r="R474" s="65"/>
      <c r="S474" s="65"/>
      <c r="T474" s="65"/>
    </row>
    <row r="475" spans="3:20">
      <c r="C475" s="65"/>
      <c r="D475" s="65"/>
      <c r="E475" s="65"/>
      <c r="F475" s="65"/>
      <c r="G475" s="65"/>
      <c r="H475" s="65"/>
      <c r="I475" s="65"/>
      <c r="J475" s="65"/>
      <c r="K475" s="65"/>
      <c r="L475" s="65"/>
      <c r="M475" s="65"/>
      <c r="N475" s="65"/>
      <c r="O475" s="65"/>
      <c r="P475" s="65"/>
      <c r="Q475" s="65"/>
      <c r="R475" s="65"/>
      <c r="S475" s="65"/>
      <c r="T475" s="65"/>
    </row>
    <row r="476" spans="3:20">
      <c r="C476" s="65"/>
      <c r="D476" s="65"/>
      <c r="E476" s="65"/>
      <c r="F476" s="65"/>
      <c r="G476" s="65"/>
      <c r="H476" s="65"/>
      <c r="I476" s="65"/>
      <c r="J476" s="65"/>
      <c r="K476" s="65"/>
      <c r="L476" s="65"/>
      <c r="M476" s="65"/>
      <c r="N476" s="65"/>
      <c r="O476" s="65"/>
      <c r="P476" s="65"/>
      <c r="Q476" s="65"/>
      <c r="R476" s="65"/>
      <c r="S476" s="65"/>
      <c r="T476" s="65"/>
    </row>
    <row r="477" spans="3:20">
      <c r="C477" s="65"/>
      <c r="D477" s="65"/>
      <c r="E477" s="65"/>
      <c r="F477" s="65"/>
      <c r="G477" s="65"/>
      <c r="H477" s="65"/>
      <c r="I477" s="65"/>
      <c r="J477" s="65"/>
      <c r="K477" s="65"/>
      <c r="L477" s="65"/>
      <c r="M477" s="65"/>
      <c r="N477" s="65"/>
      <c r="O477" s="65"/>
      <c r="P477" s="65"/>
      <c r="Q477" s="65"/>
      <c r="R477" s="65"/>
      <c r="S477" s="65"/>
      <c r="T477" s="65"/>
    </row>
    <row r="478" spans="3:20">
      <c r="C478" s="65"/>
      <c r="D478" s="65"/>
      <c r="E478" s="65"/>
      <c r="F478" s="65"/>
      <c r="G478" s="65"/>
      <c r="H478" s="65"/>
      <c r="I478" s="65"/>
      <c r="J478" s="65"/>
      <c r="K478" s="65"/>
      <c r="L478" s="65"/>
      <c r="M478" s="65"/>
      <c r="N478" s="65"/>
      <c r="O478" s="65"/>
      <c r="P478" s="65"/>
      <c r="Q478" s="65"/>
      <c r="R478" s="65"/>
      <c r="S478" s="65"/>
      <c r="T478" s="65"/>
    </row>
    <row r="479" spans="3:20">
      <c r="C479" s="65"/>
      <c r="D479" s="65"/>
      <c r="E479" s="65"/>
      <c r="F479" s="65"/>
      <c r="G479" s="65"/>
      <c r="H479" s="65"/>
      <c r="I479" s="65"/>
      <c r="J479" s="65"/>
      <c r="K479" s="65"/>
      <c r="L479" s="65"/>
      <c r="M479" s="65"/>
      <c r="N479" s="65"/>
      <c r="O479" s="65"/>
      <c r="P479" s="65"/>
      <c r="Q479" s="65"/>
      <c r="R479" s="65"/>
      <c r="S479" s="65"/>
      <c r="T479" s="65"/>
    </row>
    <row r="480" spans="3:20">
      <c r="C480" s="65"/>
      <c r="D480" s="65"/>
      <c r="E480" s="65"/>
      <c r="F480" s="65"/>
      <c r="G480" s="65"/>
      <c r="H480" s="65"/>
      <c r="I480" s="65"/>
      <c r="J480" s="65"/>
      <c r="K480" s="65"/>
      <c r="L480" s="65"/>
      <c r="M480" s="65"/>
      <c r="N480" s="65"/>
      <c r="O480" s="65"/>
      <c r="P480" s="65"/>
      <c r="Q480" s="65"/>
      <c r="R480" s="65"/>
      <c r="S480" s="65"/>
      <c r="T480" s="65"/>
    </row>
    <row r="481" spans="3:20">
      <c r="C481" s="65"/>
      <c r="D481" s="65"/>
      <c r="E481" s="65"/>
      <c r="F481" s="65"/>
      <c r="G481" s="65"/>
      <c r="H481" s="65"/>
      <c r="I481" s="65"/>
      <c r="J481" s="65"/>
      <c r="K481" s="65"/>
      <c r="L481" s="65"/>
      <c r="M481" s="65"/>
      <c r="N481" s="65"/>
      <c r="O481" s="65"/>
      <c r="P481" s="65"/>
      <c r="Q481" s="65"/>
      <c r="R481" s="65"/>
      <c r="S481" s="65"/>
      <c r="T481" s="65"/>
    </row>
    <row r="482" spans="3:20">
      <c r="C482" s="65"/>
      <c r="D482" s="65"/>
      <c r="E482" s="65"/>
      <c r="F482" s="65"/>
      <c r="G482" s="65"/>
      <c r="H482" s="65"/>
      <c r="I482" s="65"/>
      <c r="J482" s="65"/>
      <c r="K482" s="65"/>
      <c r="L482" s="65"/>
      <c r="M482" s="65"/>
      <c r="N482" s="65"/>
      <c r="O482" s="65"/>
      <c r="P482" s="65"/>
      <c r="Q482" s="65"/>
      <c r="R482" s="65"/>
      <c r="S482" s="65"/>
      <c r="T482" s="65"/>
    </row>
    <row r="483" spans="3:20">
      <c r="C483" s="65"/>
      <c r="D483" s="65"/>
      <c r="E483" s="65"/>
      <c r="F483" s="65"/>
      <c r="G483" s="65"/>
      <c r="H483" s="65"/>
      <c r="I483" s="65"/>
      <c r="J483" s="65"/>
      <c r="K483" s="65"/>
      <c r="L483" s="65"/>
      <c r="M483" s="65"/>
      <c r="N483" s="65"/>
      <c r="O483" s="65"/>
      <c r="P483" s="65"/>
      <c r="Q483" s="65"/>
      <c r="R483" s="65"/>
      <c r="S483" s="65"/>
      <c r="T483" s="65"/>
    </row>
    <row r="484" spans="3:20">
      <c r="C484" s="65"/>
      <c r="D484" s="65"/>
      <c r="E484" s="65"/>
      <c r="F484" s="65"/>
      <c r="G484" s="65"/>
      <c r="H484" s="65"/>
      <c r="I484" s="65"/>
      <c r="J484" s="65"/>
      <c r="K484" s="65"/>
      <c r="L484" s="65"/>
      <c r="M484" s="65"/>
      <c r="N484" s="65"/>
      <c r="O484" s="65"/>
      <c r="P484" s="65"/>
      <c r="Q484" s="65"/>
      <c r="R484" s="65"/>
      <c r="S484" s="65"/>
      <c r="T484" s="65"/>
    </row>
    <row r="485" spans="3:20">
      <c r="C485" s="65"/>
      <c r="D485" s="65"/>
      <c r="E485" s="65"/>
      <c r="F485" s="65"/>
      <c r="G485" s="65"/>
      <c r="H485" s="65"/>
      <c r="I485" s="65"/>
      <c r="J485" s="65"/>
      <c r="K485" s="65"/>
      <c r="L485" s="65"/>
      <c r="M485" s="65"/>
      <c r="N485" s="65"/>
      <c r="O485" s="65"/>
      <c r="P485" s="65"/>
      <c r="Q485" s="65"/>
      <c r="R485" s="65"/>
      <c r="S485" s="65"/>
      <c r="T485" s="65"/>
    </row>
    <row r="486" spans="3:20">
      <c r="C486" s="65"/>
      <c r="D486" s="65"/>
      <c r="E486" s="65"/>
      <c r="F486" s="65"/>
      <c r="G486" s="65"/>
      <c r="H486" s="65"/>
      <c r="I486" s="65"/>
      <c r="J486" s="65"/>
      <c r="K486" s="65"/>
      <c r="L486" s="65"/>
      <c r="M486" s="65"/>
      <c r="N486" s="65"/>
      <c r="O486" s="65"/>
      <c r="P486" s="65"/>
      <c r="Q486" s="65"/>
      <c r="R486" s="65"/>
      <c r="S486" s="65"/>
      <c r="T486" s="65"/>
    </row>
    <row r="487" spans="3:20">
      <c r="C487" s="65"/>
      <c r="D487" s="65"/>
      <c r="E487" s="65"/>
      <c r="F487" s="65"/>
      <c r="G487" s="65"/>
      <c r="H487" s="65"/>
      <c r="I487" s="65"/>
      <c r="J487" s="65"/>
      <c r="K487" s="65"/>
      <c r="L487" s="65"/>
      <c r="M487" s="65"/>
      <c r="N487" s="65"/>
      <c r="O487" s="65"/>
      <c r="P487" s="65"/>
      <c r="Q487" s="65"/>
      <c r="R487" s="65"/>
      <c r="S487" s="65"/>
      <c r="T487" s="65"/>
    </row>
    <row r="488" spans="3:20">
      <c r="C488" s="65"/>
      <c r="D488" s="65"/>
      <c r="E488" s="65"/>
      <c r="F488" s="65"/>
      <c r="G488" s="65"/>
      <c r="H488" s="65"/>
      <c r="I488" s="65"/>
      <c r="J488" s="65"/>
      <c r="K488" s="65"/>
      <c r="L488" s="65"/>
      <c r="M488" s="65"/>
      <c r="N488" s="65"/>
      <c r="O488" s="65"/>
      <c r="P488" s="65"/>
      <c r="Q488" s="65"/>
      <c r="R488" s="65"/>
      <c r="S488" s="65"/>
      <c r="T488" s="65"/>
    </row>
    <row r="489" spans="3:20">
      <c r="C489" s="65"/>
      <c r="D489" s="65"/>
      <c r="E489" s="65"/>
      <c r="F489" s="65"/>
      <c r="G489" s="65"/>
      <c r="H489" s="65"/>
      <c r="I489" s="65"/>
      <c r="J489" s="65"/>
      <c r="K489" s="65"/>
      <c r="L489" s="65"/>
      <c r="M489" s="65"/>
      <c r="N489" s="65"/>
      <c r="O489" s="65"/>
      <c r="P489" s="65"/>
      <c r="Q489" s="65"/>
      <c r="R489" s="65"/>
      <c r="S489" s="65"/>
      <c r="T489" s="65"/>
    </row>
    <row r="490" spans="3:20">
      <c r="C490" s="65"/>
      <c r="D490" s="65"/>
      <c r="E490" s="65"/>
      <c r="F490" s="65"/>
      <c r="G490" s="65"/>
      <c r="H490" s="65"/>
      <c r="I490" s="65"/>
      <c r="J490" s="65"/>
      <c r="K490" s="65"/>
      <c r="L490" s="65"/>
      <c r="M490" s="65"/>
      <c r="N490" s="65"/>
      <c r="O490" s="65"/>
      <c r="P490" s="65"/>
      <c r="Q490" s="65"/>
      <c r="R490" s="65"/>
      <c r="S490" s="65"/>
      <c r="T490" s="65"/>
    </row>
    <row r="491" spans="3:20">
      <c r="C491" s="65"/>
      <c r="D491" s="65"/>
      <c r="E491" s="65"/>
      <c r="F491" s="65"/>
      <c r="G491" s="65"/>
      <c r="H491" s="65"/>
      <c r="I491" s="65"/>
      <c r="J491" s="65"/>
      <c r="K491" s="65"/>
      <c r="L491" s="65"/>
      <c r="M491" s="65"/>
      <c r="N491" s="65"/>
      <c r="O491" s="65"/>
      <c r="P491" s="65"/>
      <c r="Q491" s="65"/>
      <c r="R491" s="65"/>
      <c r="S491" s="65"/>
      <c r="T491" s="65"/>
    </row>
    <row r="492" spans="3:20">
      <c r="C492" s="65"/>
      <c r="D492" s="65"/>
      <c r="E492" s="65"/>
      <c r="F492" s="65"/>
      <c r="G492" s="65"/>
      <c r="H492" s="65"/>
      <c r="I492" s="65"/>
      <c r="J492" s="65"/>
      <c r="K492" s="65"/>
      <c r="L492" s="65"/>
      <c r="M492" s="65"/>
      <c r="N492" s="65"/>
      <c r="O492" s="65"/>
      <c r="P492" s="65"/>
      <c r="Q492" s="65"/>
      <c r="R492" s="65"/>
      <c r="S492" s="65"/>
      <c r="T492" s="65"/>
    </row>
    <row r="493" spans="3:20">
      <c r="C493" s="65"/>
      <c r="D493" s="65"/>
      <c r="E493" s="65"/>
      <c r="F493" s="65"/>
      <c r="G493" s="65"/>
      <c r="H493" s="65"/>
      <c r="I493" s="65"/>
      <c r="J493" s="65"/>
      <c r="K493" s="65"/>
      <c r="L493" s="65"/>
      <c r="M493" s="65"/>
      <c r="N493" s="65"/>
      <c r="O493" s="65"/>
      <c r="P493" s="65"/>
      <c r="Q493" s="65"/>
      <c r="R493" s="65"/>
      <c r="S493" s="65"/>
      <c r="T493" s="65"/>
    </row>
    <row r="494" spans="3:20">
      <c r="C494" s="65"/>
      <c r="D494" s="65"/>
      <c r="E494" s="65"/>
      <c r="F494" s="65"/>
      <c r="G494" s="65"/>
      <c r="H494" s="65"/>
      <c r="I494" s="65"/>
      <c r="J494" s="65"/>
      <c r="K494" s="65"/>
      <c r="L494" s="65"/>
      <c r="M494" s="65"/>
      <c r="N494" s="65"/>
      <c r="O494" s="65"/>
      <c r="P494" s="65"/>
      <c r="Q494" s="65"/>
      <c r="R494" s="65"/>
      <c r="S494" s="65"/>
      <c r="T494" s="65"/>
    </row>
    <row r="495" spans="3:20">
      <c r="C495" s="65"/>
      <c r="D495" s="65"/>
      <c r="E495" s="65"/>
      <c r="F495" s="65"/>
      <c r="G495" s="65"/>
      <c r="H495" s="65"/>
      <c r="I495" s="65"/>
      <c r="J495" s="65"/>
      <c r="K495" s="65"/>
      <c r="L495" s="65"/>
      <c r="M495" s="65"/>
      <c r="N495" s="65"/>
      <c r="O495" s="65"/>
      <c r="P495" s="65"/>
      <c r="Q495" s="65"/>
      <c r="R495" s="65"/>
      <c r="S495" s="65"/>
      <c r="T495" s="65"/>
    </row>
    <row r="496" spans="3:20">
      <c r="C496" s="65"/>
      <c r="D496" s="65"/>
      <c r="E496" s="65"/>
      <c r="F496" s="65"/>
      <c r="G496" s="65"/>
      <c r="H496" s="65"/>
      <c r="I496" s="65"/>
      <c r="J496" s="65"/>
      <c r="K496" s="65"/>
      <c r="L496" s="65"/>
      <c r="M496" s="65"/>
      <c r="N496" s="65"/>
      <c r="O496" s="65"/>
      <c r="P496" s="65"/>
      <c r="Q496" s="65"/>
      <c r="R496" s="65"/>
      <c r="S496" s="65"/>
      <c r="T496" s="65"/>
    </row>
    <row r="497" spans="3:20">
      <c r="C497" s="65"/>
      <c r="D497" s="65"/>
      <c r="E497" s="65"/>
      <c r="F497" s="65"/>
      <c r="G497" s="65"/>
      <c r="H497" s="65"/>
      <c r="I497" s="65"/>
      <c r="J497" s="65"/>
      <c r="K497" s="65"/>
      <c r="L497" s="65"/>
      <c r="M497" s="65"/>
      <c r="N497" s="65"/>
      <c r="O497" s="65"/>
      <c r="P497" s="65"/>
      <c r="Q497" s="65"/>
      <c r="R497" s="65"/>
      <c r="S497" s="65"/>
      <c r="T497" s="65"/>
    </row>
    <row r="498" spans="3:20">
      <c r="C498" s="65"/>
      <c r="D498" s="65"/>
      <c r="E498" s="65"/>
      <c r="F498" s="65"/>
      <c r="G498" s="65"/>
      <c r="H498" s="65"/>
      <c r="I498" s="65"/>
      <c r="J498" s="65"/>
      <c r="K498" s="65"/>
      <c r="L498" s="65"/>
      <c r="M498" s="65"/>
      <c r="N498" s="65"/>
      <c r="O498" s="65"/>
      <c r="P498" s="65"/>
      <c r="Q498" s="65"/>
      <c r="R498" s="65"/>
      <c r="S498" s="65"/>
      <c r="T498" s="65"/>
    </row>
    <row r="499" spans="3:20">
      <c r="C499" s="65"/>
      <c r="D499" s="65"/>
      <c r="E499" s="65"/>
      <c r="F499" s="65"/>
      <c r="G499" s="65"/>
      <c r="H499" s="65"/>
      <c r="I499" s="65"/>
      <c r="J499" s="65"/>
      <c r="K499" s="65"/>
      <c r="L499" s="65"/>
      <c r="M499" s="65"/>
      <c r="N499" s="65"/>
      <c r="O499" s="65"/>
      <c r="P499" s="65"/>
      <c r="Q499" s="65"/>
      <c r="R499" s="65"/>
      <c r="S499" s="65"/>
      <c r="T499" s="65"/>
    </row>
    <row r="500" spans="3:20">
      <c r="C500" s="65"/>
      <c r="D500" s="65"/>
      <c r="E500" s="65"/>
      <c r="F500" s="65"/>
      <c r="G500" s="65"/>
      <c r="H500" s="65"/>
      <c r="I500" s="65"/>
      <c r="J500" s="65"/>
      <c r="K500" s="65"/>
      <c r="L500" s="65"/>
      <c r="M500" s="65"/>
      <c r="N500" s="65"/>
      <c r="O500" s="65"/>
      <c r="P500" s="65"/>
      <c r="Q500" s="65"/>
      <c r="R500" s="65"/>
      <c r="S500" s="65"/>
      <c r="T500" s="65"/>
    </row>
    <row r="501" spans="3:20">
      <c r="C501" s="65"/>
      <c r="D501" s="65"/>
      <c r="E501" s="65"/>
      <c r="F501" s="65"/>
      <c r="G501" s="65"/>
      <c r="H501" s="65"/>
      <c r="I501" s="65"/>
      <c r="J501" s="65"/>
      <c r="K501" s="65"/>
      <c r="L501" s="65"/>
      <c r="M501" s="65"/>
      <c r="N501" s="65"/>
      <c r="O501" s="65"/>
      <c r="P501" s="65"/>
      <c r="Q501" s="65"/>
      <c r="R501" s="65"/>
      <c r="S501" s="65"/>
      <c r="T501" s="65"/>
    </row>
    <row r="502" spans="3:20">
      <c r="C502" s="65"/>
      <c r="D502" s="65"/>
      <c r="E502" s="65"/>
      <c r="F502" s="65"/>
      <c r="G502" s="65"/>
      <c r="H502" s="65"/>
      <c r="I502" s="65"/>
      <c r="J502" s="65"/>
      <c r="K502" s="65"/>
      <c r="L502" s="65"/>
      <c r="M502" s="65"/>
      <c r="N502" s="65"/>
      <c r="O502" s="65"/>
      <c r="P502" s="65"/>
      <c r="Q502" s="65"/>
      <c r="R502" s="65"/>
      <c r="S502" s="65"/>
      <c r="T502" s="65"/>
    </row>
    <row r="503" spans="3:20">
      <c r="C503" s="65"/>
      <c r="D503" s="65"/>
      <c r="E503" s="65"/>
      <c r="F503" s="65"/>
      <c r="G503" s="65"/>
      <c r="H503" s="65"/>
      <c r="I503" s="65"/>
      <c r="J503" s="65"/>
      <c r="K503" s="65"/>
      <c r="L503" s="65"/>
      <c r="M503" s="65"/>
      <c r="N503" s="65"/>
      <c r="O503" s="65"/>
      <c r="P503" s="65"/>
      <c r="Q503" s="65"/>
      <c r="R503" s="65"/>
      <c r="S503" s="65"/>
      <c r="T503" s="65"/>
    </row>
    <row r="504" spans="3:20">
      <c r="C504" s="65"/>
      <c r="D504" s="65"/>
      <c r="E504" s="65"/>
      <c r="F504" s="65"/>
      <c r="G504" s="65"/>
      <c r="H504" s="65"/>
      <c r="I504" s="65"/>
      <c r="J504" s="65"/>
      <c r="K504" s="65"/>
      <c r="L504" s="65"/>
      <c r="M504" s="65"/>
      <c r="N504" s="65"/>
      <c r="O504" s="65"/>
      <c r="P504" s="65"/>
      <c r="Q504" s="65"/>
      <c r="R504" s="65"/>
      <c r="S504" s="65"/>
      <c r="T504" s="65"/>
    </row>
    <row r="505" spans="3:20">
      <c r="C505" s="65"/>
      <c r="D505" s="65"/>
      <c r="E505" s="65"/>
      <c r="F505" s="65"/>
      <c r="G505" s="65"/>
      <c r="H505" s="65"/>
      <c r="I505" s="65"/>
      <c r="J505" s="65"/>
      <c r="K505" s="65"/>
      <c r="L505" s="65"/>
      <c r="M505" s="65"/>
      <c r="N505" s="65"/>
      <c r="O505" s="65"/>
      <c r="P505" s="65"/>
      <c r="Q505" s="65"/>
      <c r="R505" s="65"/>
      <c r="S505" s="65"/>
      <c r="T505" s="65"/>
    </row>
    <row r="506" spans="3:20">
      <c r="C506" s="65"/>
      <c r="D506" s="65"/>
      <c r="E506" s="65"/>
      <c r="F506" s="65"/>
      <c r="G506" s="65"/>
      <c r="H506" s="65"/>
      <c r="I506" s="65"/>
      <c r="J506" s="65"/>
      <c r="K506" s="65"/>
      <c r="L506" s="65"/>
      <c r="M506" s="65"/>
      <c r="N506" s="65"/>
      <c r="O506" s="65"/>
      <c r="P506" s="65"/>
      <c r="Q506" s="65"/>
      <c r="R506" s="65"/>
      <c r="S506" s="65"/>
      <c r="T506" s="65"/>
    </row>
    <row r="507" spans="3:20">
      <c r="C507" s="65"/>
      <c r="D507" s="65"/>
      <c r="E507" s="65"/>
      <c r="F507" s="65"/>
      <c r="G507" s="65"/>
      <c r="H507" s="65"/>
      <c r="I507" s="65"/>
      <c r="J507" s="65"/>
      <c r="K507" s="65"/>
      <c r="L507" s="65"/>
      <c r="M507" s="65"/>
      <c r="N507" s="65"/>
      <c r="O507" s="65"/>
      <c r="P507" s="65"/>
      <c r="Q507" s="65"/>
      <c r="R507" s="65"/>
      <c r="S507" s="65"/>
      <c r="T507" s="65"/>
    </row>
    <row r="508" spans="3:20">
      <c r="C508" s="65"/>
      <c r="D508" s="65"/>
      <c r="E508" s="65"/>
      <c r="F508" s="65"/>
      <c r="G508" s="65"/>
      <c r="H508" s="65"/>
      <c r="I508" s="65"/>
      <c r="J508" s="65"/>
      <c r="K508" s="65"/>
      <c r="L508" s="65"/>
      <c r="M508" s="65"/>
      <c r="N508" s="65"/>
      <c r="O508" s="65"/>
      <c r="P508" s="65"/>
      <c r="Q508" s="65"/>
      <c r="R508" s="65"/>
      <c r="S508" s="65"/>
      <c r="T508" s="65"/>
    </row>
    <row r="509" spans="3:20">
      <c r="C509" s="65"/>
      <c r="D509" s="65"/>
      <c r="E509" s="65"/>
      <c r="F509" s="65"/>
      <c r="G509" s="65"/>
      <c r="H509" s="65"/>
      <c r="I509" s="65"/>
      <c r="J509" s="65"/>
      <c r="K509" s="65"/>
      <c r="L509" s="65"/>
      <c r="M509" s="65"/>
      <c r="N509" s="65"/>
      <c r="O509" s="65"/>
      <c r="P509" s="65"/>
      <c r="Q509" s="65"/>
      <c r="R509" s="65"/>
      <c r="S509" s="65"/>
      <c r="T509" s="65"/>
    </row>
    <row r="510" spans="3:20">
      <c r="C510" s="65"/>
      <c r="D510" s="65"/>
      <c r="E510" s="65"/>
      <c r="F510" s="65"/>
      <c r="G510" s="65"/>
      <c r="H510" s="65"/>
      <c r="I510" s="65"/>
      <c r="J510" s="65"/>
      <c r="K510" s="65"/>
      <c r="L510" s="65"/>
      <c r="M510" s="65"/>
      <c r="N510" s="65"/>
      <c r="O510" s="65"/>
      <c r="P510" s="65"/>
      <c r="Q510" s="65"/>
      <c r="R510" s="65"/>
      <c r="S510" s="65"/>
      <c r="T510" s="65"/>
    </row>
    <row r="511" spans="3:20">
      <c r="C511" s="65"/>
      <c r="D511" s="65"/>
      <c r="E511" s="65"/>
      <c r="F511" s="65"/>
      <c r="G511" s="65"/>
      <c r="H511" s="65"/>
      <c r="I511" s="65"/>
      <c r="J511" s="65"/>
      <c r="K511" s="65"/>
      <c r="L511" s="65"/>
      <c r="M511" s="65"/>
      <c r="N511" s="65"/>
      <c r="O511" s="65"/>
      <c r="P511" s="65"/>
      <c r="Q511" s="65"/>
      <c r="R511" s="65"/>
      <c r="S511" s="65"/>
      <c r="T511" s="65"/>
    </row>
    <row r="512" spans="3:20">
      <c r="C512" s="65"/>
      <c r="D512" s="65"/>
      <c r="E512" s="65"/>
      <c r="F512" s="65"/>
      <c r="G512" s="65"/>
      <c r="H512" s="65"/>
      <c r="I512" s="65"/>
      <c r="J512" s="65"/>
      <c r="K512" s="65"/>
      <c r="L512" s="65"/>
      <c r="M512" s="65"/>
      <c r="N512" s="65"/>
      <c r="O512" s="65"/>
      <c r="P512" s="65"/>
      <c r="Q512" s="65"/>
      <c r="R512" s="65"/>
      <c r="S512" s="65"/>
      <c r="T512" s="65"/>
    </row>
    <row r="513" spans="3:20">
      <c r="C513" s="65"/>
      <c r="D513" s="65"/>
      <c r="E513" s="65"/>
      <c r="F513" s="65"/>
      <c r="G513" s="65"/>
      <c r="H513" s="65"/>
      <c r="I513" s="65"/>
      <c r="J513" s="65"/>
      <c r="K513" s="65"/>
      <c r="L513" s="65"/>
      <c r="M513" s="65"/>
      <c r="N513" s="65"/>
      <c r="O513" s="65"/>
      <c r="P513" s="65"/>
      <c r="Q513" s="65"/>
      <c r="R513" s="65"/>
      <c r="S513" s="65"/>
      <c r="T513" s="65"/>
    </row>
    <row r="514" spans="3:20">
      <c r="C514" s="65"/>
      <c r="D514" s="65"/>
      <c r="E514" s="65"/>
      <c r="F514" s="65"/>
      <c r="G514" s="65"/>
      <c r="H514" s="65"/>
      <c r="I514" s="65"/>
      <c r="J514" s="65"/>
      <c r="K514" s="65"/>
      <c r="L514" s="65"/>
      <c r="M514" s="65"/>
      <c r="N514" s="65"/>
      <c r="O514" s="65"/>
      <c r="P514" s="65"/>
      <c r="Q514" s="65"/>
      <c r="R514" s="65"/>
      <c r="S514" s="65"/>
      <c r="T514" s="65"/>
    </row>
    <row r="515" spans="3:20">
      <c r="C515" s="65"/>
      <c r="D515" s="65"/>
      <c r="E515" s="65"/>
      <c r="F515" s="65"/>
      <c r="G515" s="65"/>
      <c r="H515" s="65"/>
      <c r="I515" s="65"/>
      <c r="J515" s="65"/>
      <c r="K515" s="65"/>
      <c r="L515" s="65"/>
      <c r="M515" s="65"/>
      <c r="N515" s="65"/>
      <c r="O515" s="65"/>
      <c r="P515" s="65"/>
      <c r="Q515" s="65"/>
      <c r="R515" s="65"/>
      <c r="S515" s="65"/>
      <c r="T515" s="65"/>
    </row>
    <row r="516" spans="3:20">
      <c r="C516" s="65"/>
      <c r="D516" s="65"/>
      <c r="E516" s="65"/>
      <c r="F516" s="65"/>
      <c r="G516" s="65"/>
      <c r="H516" s="65"/>
      <c r="I516" s="65"/>
      <c r="J516" s="65"/>
      <c r="K516" s="65"/>
      <c r="L516" s="65"/>
      <c r="M516" s="65"/>
      <c r="N516" s="65"/>
      <c r="O516" s="65"/>
      <c r="P516" s="65"/>
      <c r="Q516" s="65"/>
      <c r="R516" s="65"/>
      <c r="S516" s="65"/>
      <c r="T516" s="65"/>
    </row>
    <row r="517" spans="3:20">
      <c r="C517" s="65"/>
      <c r="D517" s="65"/>
      <c r="E517" s="65"/>
      <c r="F517" s="65"/>
      <c r="G517" s="65"/>
      <c r="H517" s="65"/>
      <c r="I517" s="65"/>
      <c r="J517" s="65"/>
      <c r="K517" s="65"/>
      <c r="L517" s="65"/>
      <c r="M517" s="65"/>
      <c r="N517" s="65"/>
      <c r="O517" s="65"/>
      <c r="P517" s="65"/>
      <c r="Q517" s="65"/>
      <c r="R517" s="65"/>
      <c r="S517" s="65"/>
      <c r="T517" s="65"/>
    </row>
    <row r="518" spans="3:20">
      <c r="C518" s="65"/>
      <c r="D518" s="65"/>
      <c r="E518" s="65"/>
      <c r="F518" s="65"/>
      <c r="G518" s="65"/>
      <c r="H518" s="65"/>
      <c r="I518" s="65"/>
      <c r="J518" s="65"/>
      <c r="K518" s="65"/>
      <c r="L518" s="65"/>
      <c r="M518" s="65"/>
      <c r="N518" s="65"/>
      <c r="O518" s="65"/>
      <c r="P518" s="65"/>
      <c r="Q518" s="65"/>
      <c r="R518" s="65"/>
      <c r="S518" s="65"/>
      <c r="T518" s="65"/>
    </row>
    <row r="519" spans="3:20">
      <c r="C519" s="65"/>
      <c r="D519" s="65"/>
      <c r="E519" s="65"/>
      <c r="F519" s="65"/>
      <c r="G519" s="65"/>
      <c r="H519" s="65"/>
      <c r="I519" s="65"/>
      <c r="J519" s="65"/>
      <c r="K519" s="65"/>
      <c r="L519" s="65"/>
      <c r="M519" s="65"/>
      <c r="N519" s="65"/>
      <c r="O519" s="65"/>
      <c r="P519" s="65"/>
      <c r="Q519" s="65"/>
      <c r="R519" s="65"/>
      <c r="S519" s="65"/>
      <c r="T519" s="65"/>
    </row>
    <row r="520" spans="3:20">
      <c r="C520" s="65"/>
      <c r="D520" s="65"/>
      <c r="E520" s="65"/>
      <c r="F520" s="65"/>
      <c r="G520" s="65"/>
      <c r="H520" s="65"/>
      <c r="I520" s="65"/>
      <c r="J520" s="65"/>
      <c r="K520" s="65"/>
      <c r="L520" s="65"/>
      <c r="M520" s="65"/>
      <c r="N520" s="65"/>
      <c r="O520" s="65"/>
      <c r="P520" s="65"/>
      <c r="Q520" s="65"/>
      <c r="R520" s="65"/>
      <c r="S520" s="65"/>
      <c r="T520" s="65"/>
    </row>
    <row r="521" spans="3:20">
      <c r="C521" s="65"/>
      <c r="D521" s="65"/>
      <c r="E521" s="65"/>
      <c r="F521" s="65"/>
      <c r="G521" s="65"/>
      <c r="H521" s="65"/>
      <c r="I521" s="65"/>
      <c r="J521" s="65"/>
      <c r="K521" s="65"/>
      <c r="L521" s="65"/>
      <c r="M521" s="65"/>
      <c r="N521" s="65"/>
      <c r="O521" s="65"/>
      <c r="P521" s="65"/>
      <c r="Q521" s="65"/>
      <c r="R521" s="65"/>
      <c r="S521" s="65"/>
      <c r="T521" s="65"/>
    </row>
    <row r="522" spans="3:20">
      <c r="C522" s="65"/>
      <c r="D522" s="65"/>
      <c r="E522" s="65"/>
      <c r="F522" s="65"/>
      <c r="G522" s="65"/>
      <c r="H522" s="65"/>
      <c r="I522" s="65"/>
      <c r="J522" s="65"/>
      <c r="K522" s="65"/>
      <c r="L522" s="65"/>
      <c r="M522" s="65"/>
      <c r="N522" s="65"/>
      <c r="O522" s="65"/>
      <c r="P522" s="65"/>
      <c r="Q522" s="65"/>
      <c r="R522" s="65"/>
      <c r="S522" s="65"/>
      <c r="T522" s="65"/>
    </row>
    <row r="523" spans="3:20">
      <c r="C523" s="65"/>
      <c r="D523" s="65"/>
      <c r="E523" s="65"/>
      <c r="F523" s="65"/>
      <c r="G523" s="65"/>
      <c r="H523" s="65"/>
      <c r="I523" s="65"/>
      <c r="J523" s="65"/>
      <c r="K523" s="65"/>
      <c r="L523" s="65"/>
      <c r="M523" s="65"/>
      <c r="N523" s="65"/>
      <c r="O523" s="65"/>
      <c r="P523" s="65"/>
      <c r="Q523" s="65"/>
      <c r="R523" s="65"/>
      <c r="S523" s="65"/>
      <c r="T523" s="65"/>
    </row>
    <row r="524" spans="3:20">
      <c r="C524" s="65"/>
      <c r="D524" s="65"/>
      <c r="E524" s="65"/>
      <c r="F524" s="65"/>
      <c r="G524" s="65"/>
      <c r="H524" s="65"/>
      <c r="I524" s="65"/>
      <c r="J524" s="65"/>
      <c r="K524" s="65"/>
      <c r="L524" s="65"/>
      <c r="M524" s="65"/>
      <c r="N524" s="65"/>
      <c r="O524" s="65"/>
      <c r="P524" s="65"/>
      <c r="Q524" s="65"/>
      <c r="R524" s="65"/>
      <c r="S524" s="65"/>
      <c r="T524" s="65"/>
    </row>
    <row r="525" spans="3:20">
      <c r="C525" s="65"/>
      <c r="D525" s="65"/>
      <c r="E525" s="65"/>
      <c r="F525" s="65"/>
      <c r="G525" s="65"/>
      <c r="H525" s="65"/>
      <c r="I525" s="65"/>
      <c r="J525" s="65"/>
      <c r="K525" s="65"/>
      <c r="L525" s="65"/>
      <c r="M525" s="65"/>
      <c r="N525" s="65"/>
      <c r="O525" s="65"/>
      <c r="P525" s="65"/>
      <c r="Q525" s="65"/>
      <c r="R525" s="65"/>
      <c r="S525" s="65"/>
      <c r="T525" s="65"/>
    </row>
    <row r="526" spans="3:20">
      <c r="C526" s="65"/>
      <c r="D526" s="65"/>
      <c r="E526" s="65"/>
      <c r="F526" s="65"/>
      <c r="G526" s="65"/>
      <c r="H526" s="65"/>
      <c r="I526" s="65"/>
      <c r="J526" s="65"/>
      <c r="K526" s="65"/>
      <c r="L526" s="65"/>
      <c r="M526" s="65"/>
      <c r="N526" s="65"/>
      <c r="O526" s="65"/>
      <c r="P526" s="65"/>
      <c r="Q526" s="65"/>
      <c r="R526" s="65"/>
      <c r="S526" s="65"/>
      <c r="T526" s="65"/>
    </row>
    <row r="527" spans="3:20">
      <c r="C527" s="65"/>
      <c r="D527" s="65"/>
      <c r="E527" s="65"/>
      <c r="F527" s="65"/>
      <c r="G527" s="65"/>
      <c r="H527" s="65"/>
      <c r="I527" s="65"/>
      <c r="J527" s="65"/>
      <c r="K527" s="65"/>
      <c r="L527" s="65"/>
      <c r="M527" s="65"/>
      <c r="N527" s="65"/>
      <c r="O527" s="65"/>
      <c r="P527" s="65"/>
      <c r="Q527" s="65"/>
      <c r="R527" s="65"/>
      <c r="S527" s="65"/>
      <c r="T527" s="65"/>
    </row>
    <row r="528" spans="3:20">
      <c r="C528" s="65"/>
      <c r="D528" s="65"/>
      <c r="E528" s="65"/>
      <c r="F528" s="65"/>
      <c r="G528" s="65"/>
      <c r="H528" s="65"/>
      <c r="I528" s="65"/>
      <c r="J528" s="65"/>
      <c r="K528" s="65"/>
      <c r="L528" s="65"/>
      <c r="M528" s="65"/>
      <c r="N528" s="65"/>
      <c r="O528" s="65"/>
      <c r="P528" s="65"/>
      <c r="Q528" s="65"/>
      <c r="R528" s="65"/>
      <c r="S528" s="65"/>
      <c r="T528" s="65"/>
    </row>
    <row r="529" spans="3:20">
      <c r="C529" s="65"/>
      <c r="D529" s="65"/>
      <c r="E529" s="65"/>
      <c r="F529" s="65"/>
      <c r="G529" s="65"/>
      <c r="H529" s="65"/>
      <c r="I529" s="65"/>
      <c r="J529" s="65"/>
      <c r="K529" s="65"/>
      <c r="L529" s="65"/>
      <c r="M529" s="65"/>
      <c r="N529" s="65"/>
      <c r="O529" s="65"/>
      <c r="P529" s="65"/>
      <c r="Q529" s="65"/>
      <c r="R529" s="65"/>
      <c r="S529" s="65"/>
      <c r="T529" s="65"/>
    </row>
    <row r="530" spans="3:20">
      <c r="C530" s="65"/>
      <c r="D530" s="65"/>
      <c r="E530" s="65"/>
      <c r="F530" s="65"/>
      <c r="G530" s="65"/>
      <c r="H530" s="65"/>
      <c r="I530" s="65"/>
      <c r="J530" s="65"/>
      <c r="K530" s="65"/>
      <c r="L530" s="65"/>
      <c r="M530" s="65"/>
      <c r="N530" s="65"/>
      <c r="O530" s="65"/>
      <c r="P530" s="65"/>
      <c r="Q530" s="65"/>
      <c r="R530" s="65"/>
      <c r="S530" s="65"/>
      <c r="T530" s="65"/>
    </row>
    <row r="531" spans="3:20">
      <c r="C531" s="65"/>
      <c r="D531" s="65"/>
      <c r="E531" s="65"/>
      <c r="F531" s="65"/>
      <c r="G531" s="65"/>
      <c r="H531" s="65"/>
      <c r="I531" s="65"/>
      <c r="J531" s="65"/>
      <c r="K531" s="65"/>
      <c r="L531" s="65"/>
      <c r="M531" s="65"/>
      <c r="N531" s="65"/>
      <c r="O531" s="65"/>
      <c r="P531" s="65"/>
      <c r="Q531" s="65"/>
      <c r="R531" s="65"/>
      <c r="S531" s="65"/>
      <c r="T531" s="65"/>
    </row>
    <row r="532" spans="3:20">
      <c r="C532" s="65"/>
      <c r="D532" s="65"/>
      <c r="E532" s="65"/>
      <c r="F532" s="65"/>
      <c r="G532" s="65"/>
      <c r="H532" s="65"/>
      <c r="I532" s="65"/>
      <c r="J532" s="65"/>
      <c r="K532" s="65"/>
      <c r="L532" s="65"/>
      <c r="M532" s="65"/>
      <c r="N532" s="65"/>
      <c r="O532" s="65"/>
      <c r="P532" s="65"/>
      <c r="Q532" s="65"/>
      <c r="R532" s="65"/>
      <c r="S532" s="65"/>
      <c r="T532" s="65"/>
    </row>
    <row r="533" spans="3:20">
      <c r="C533" s="65"/>
      <c r="D533" s="65"/>
      <c r="E533" s="65"/>
      <c r="F533" s="65"/>
      <c r="G533" s="65"/>
      <c r="H533" s="65"/>
      <c r="I533" s="65"/>
      <c r="J533" s="65"/>
      <c r="K533" s="65"/>
      <c r="L533" s="65"/>
      <c r="M533" s="65"/>
      <c r="N533" s="65"/>
      <c r="O533" s="65"/>
      <c r="P533" s="65"/>
      <c r="Q533" s="65"/>
      <c r="R533" s="65"/>
      <c r="S533" s="65"/>
      <c r="T533" s="65"/>
    </row>
    <row r="534" spans="3:20">
      <c r="C534" s="65"/>
      <c r="D534" s="65"/>
      <c r="E534" s="65"/>
      <c r="F534" s="65"/>
      <c r="G534" s="65"/>
      <c r="H534" s="65"/>
      <c r="I534" s="65"/>
      <c r="J534" s="65"/>
      <c r="K534" s="65"/>
      <c r="L534" s="65"/>
      <c r="M534" s="65"/>
      <c r="N534" s="65"/>
      <c r="O534" s="65"/>
      <c r="P534" s="65"/>
      <c r="Q534" s="65"/>
      <c r="R534" s="65"/>
      <c r="S534" s="65"/>
      <c r="T534" s="65"/>
    </row>
    <row r="535" spans="3:20">
      <c r="C535" s="65"/>
      <c r="D535" s="65"/>
      <c r="E535" s="65"/>
      <c r="F535" s="65"/>
      <c r="G535" s="65"/>
      <c r="H535" s="65"/>
      <c r="I535" s="65"/>
      <c r="J535" s="65"/>
      <c r="K535" s="65"/>
      <c r="L535" s="65"/>
      <c r="M535" s="65"/>
      <c r="N535" s="65"/>
      <c r="O535" s="65"/>
      <c r="P535" s="65"/>
      <c r="Q535" s="65"/>
      <c r="R535" s="65"/>
      <c r="S535" s="65"/>
      <c r="T535" s="65"/>
    </row>
    <row r="536" spans="3:20">
      <c r="C536" s="65"/>
      <c r="D536" s="65"/>
      <c r="E536" s="65"/>
      <c r="F536" s="65"/>
      <c r="G536" s="65"/>
      <c r="H536" s="65"/>
      <c r="I536" s="65"/>
      <c r="J536" s="65"/>
      <c r="K536" s="65"/>
      <c r="L536" s="65"/>
      <c r="M536" s="65"/>
      <c r="N536" s="65"/>
      <c r="O536" s="65"/>
      <c r="P536" s="65"/>
      <c r="Q536" s="65"/>
      <c r="R536" s="65"/>
      <c r="S536" s="65"/>
      <c r="T536" s="65"/>
    </row>
    <row r="537" spans="3:20">
      <c r="C537" s="65"/>
      <c r="D537" s="65"/>
      <c r="E537" s="65"/>
      <c r="F537" s="65"/>
      <c r="G537" s="65"/>
      <c r="H537" s="65"/>
      <c r="I537" s="65"/>
      <c r="J537" s="65"/>
      <c r="K537" s="65"/>
      <c r="L537" s="65"/>
      <c r="M537" s="65"/>
      <c r="N537" s="65"/>
      <c r="O537" s="65"/>
      <c r="P537" s="65"/>
      <c r="Q537" s="65"/>
      <c r="R537" s="65"/>
      <c r="S537" s="65"/>
      <c r="T537" s="65"/>
    </row>
    <row r="538" spans="3:20">
      <c r="C538" s="65"/>
      <c r="D538" s="65"/>
      <c r="E538" s="65"/>
      <c r="F538" s="65"/>
      <c r="G538" s="65"/>
      <c r="H538" s="65"/>
      <c r="I538" s="65"/>
      <c r="J538" s="65"/>
      <c r="K538" s="65"/>
      <c r="L538" s="65"/>
      <c r="M538" s="65"/>
      <c r="N538" s="65"/>
      <c r="O538" s="65"/>
      <c r="P538" s="65"/>
      <c r="Q538" s="65"/>
      <c r="R538" s="65"/>
      <c r="S538" s="65"/>
      <c r="T538" s="65"/>
    </row>
    <row r="539" spans="3:20">
      <c r="C539" s="65"/>
      <c r="D539" s="65"/>
      <c r="E539" s="65"/>
      <c r="F539" s="65"/>
      <c r="G539" s="65"/>
      <c r="H539" s="65"/>
      <c r="I539" s="65"/>
      <c r="J539" s="65"/>
      <c r="K539" s="65"/>
      <c r="L539" s="65"/>
      <c r="M539" s="65"/>
      <c r="N539" s="65"/>
      <c r="O539" s="65"/>
      <c r="P539" s="65"/>
      <c r="Q539" s="65"/>
      <c r="R539" s="65"/>
      <c r="S539" s="65"/>
      <c r="T539" s="65"/>
    </row>
    <row r="540" spans="3:20">
      <c r="C540" s="65"/>
      <c r="D540" s="65"/>
      <c r="E540" s="65"/>
      <c r="F540" s="65"/>
      <c r="G540" s="65"/>
      <c r="H540" s="65"/>
      <c r="I540" s="65"/>
      <c r="J540" s="65"/>
      <c r="K540" s="65"/>
      <c r="L540" s="65"/>
      <c r="M540" s="65"/>
      <c r="N540" s="65"/>
      <c r="O540" s="65"/>
      <c r="P540" s="65"/>
      <c r="Q540" s="65"/>
      <c r="R540" s="65"/>
      <c r="S540" s="65"/>
      <c r="T540" s="65"/>
    </row>
    <row r="541" spans="3:20">
      <c r="C541" s="65"/>
      <c r="D541" s="65"/>
      <c r="E541" s="65"/>
      <c r="F541" s="65"/>
      <c r="G541" s="65"/>
      <c r="H541" s="65"/>
      <c r="I541" s="65"/>
      <c r="J541" s="65"/>
      <c r="K541" s="65"/>
      <c r="L541" s="65"/>
      <c r="M541" s="65"/>
      <c r="N541" s="65"/>
      <c r="O541" s="65"/>
      <c r="P541" s="65"/>
      <c r="Q541" s="65"/>
      <c r="R541" s="65"/>
      <c r="S541" s="65"/>
      <c r="T541" s="65"/>
    </row>
    <row r="542" spans="3:20">
      <c r="C542" s="65"/>
      <c r="D542" s="65"/>
      <c r="E542" s="65"/>
      <c r="F542" s="65"/>
      <c r="G542" s="65"/>
      <c r="H542" s="65"/>
      <c r="I542" s="65"/>
      <c r="J542" s="65"/>
      <c r="K542" s="65"/>
      <c r="L542" s="65"/>
      <c r="M542" s="65"/>
      <c r="N542" s="65"/>
      <c r="O542" s="65"/>
      <c r="P542" s="65"/>
      <c r="Q542" s="65"/>
      <c r="R542" s="65"/>
      <c r="S542" s="65"/>
      <c r="T542" s="65"/>
    </row>
    <row r="543" spans="3:20">
      <c r="C543" s="65"/>
      <c r="D543" s="65"/>
      <c r="E543" s="65"/>
      <c r="F543" s="65"/>
      <c r="G543" s="65"/>
      <c r="H543" s="65"/>
      <c r="I543" s="65"/>
      <c r="J543" s="65"/>
      <c r="K543" s="65"/>
      <c r="L543" s="65"/>
      <c r="M543" s="65"/>
      <c r="N543" s="65"/>
      <c r="O543" s="65"/>
      <c r="P543" s="65"/>
      <c r="Q543" s="65"/>
      <c r="R543" s="65"/>
      <c r="S543" s="65"/>
      <c r="T543" s="65"/>
    </row>
    <row r="544" spans="3:20">
      <c r="C544" s="65"/>
      <c r="D544" s="65"/>
      <c r="E544" s="65"/>
      <c r="F544" s="65"/>
      <c r="G544" s="65"/>
      <c r="H544" s="65"/>
      <c r="I544" s="65"/>
      <c r="J544" s="65"/>
      <c r="K544" s="65"/>
      <c r="L544" s="65"/>
      <c r="M544" s="65"/>
      <c r="N544" s="65"/>
      <c r="O544" s="65"/>
      <c r="P544" s="65"/>
      <c r="Q544" s="65"/>
      <c r="R544" s="65"/>
      <c r="S544" s="65"/>
      <c r="T544" s="65"/>
    </row>
    <row r="545" spans="3:20">
      <c r="C545" s="65"/>
      <c r="D545" s="65"/>
      <c r="E545" s="65"/>
      <c r="F545" s="65"/>
      <c r="G545" s="65"/>
      <c r="H545" s="65"/>
      <c r="I545" s="65"/>
      <c r="J545" s="65"/>
      <c r="K545" s="65"/>
      <c r="L545" s="65"/>
      <c r="M545" s="65"/>
      <c r="N545" s="65"/>
      <c r="O545" s="65"/>
      <c r="P545" s="65"/>
      <c r="Q545" s="65"/>
      <c r="R545" s="65"/>
      <c r="S545" s="65"/>
      <c r="T545" s="65"/>
    </row>
    <row r="546" spans="3:20">
      <c r="C546" s="65"/>
      <c r="D546" s="65"/>
      <c r="E546" s="65"/>
      <c r="F546" s="65"/>
      <c r="G546" s="65"/>
      <c r="H546" s="65"/>
      <c r="I546" s="65"/>
      <c r="J546" s="65"/>
      <c r="K546" s="65"/>
      <c r="L546" s="65"/>
      <c r="M546" s="65"/>
      <c r="N546" s="65"/>
      <c r="O546" s="65"/>
      <c r="P546" s="65"/>
      <c r="Q546" s="65"/>
      <c r="R546" s="65"/>
      <c r="S546" s="65"/>
      <c r="T546" s="65"/>
    </row>
    <row r="547" spans="3:20">
      <c r="C547" s="65"/>
      <c r="D547" s="65"/>
      <c r="E547" s="65"/>
      <c r="F547" s="65"/>
      <c r="G547" s="65"/>
      <c r="H547" s="65"/>
      <c r="I547" s="65"/>
      <c r="J547" s="65"/>
      <c r="K547" s="65"/>
      <c r="L547" s="65"/>
      <c r="M547" s="65"/>
      <c r="N547" s="65"/>
      <c r="O547" s="65"/>
      <c r="P547" s="65"/>
      <c r="Q547" s="65"/>
      <c r="R547" s="65"/>
      <c r="S547" s="65"/>
      <c r="T547" s="65"/>
    </row>
    <row r="548" spans="3:20">
      <c r="C548" s="65"/>
      <c r="D548" s="65"/>
      <c r="E548" s="65"/>
      <c r="F548" s="65"/>
      <c r="G548" s="65"/>
      <c r="H548" s="65"/>
      <c r="I548" s="65"/>
      <c r="J548" s="65"/>
      <c r="K548" s="65"/>
      <c r="L548" s="65"/>
      <c r="M548" s="65"/>
      <c r="N548" s="65"/>
      <c r="O548" s="65"/>
      <c r="P548" s="65"/>
      <c r="Q548" s="65"/>
      <c r="R548" s="65"/>
      <c r="S548" s="65"/>
      <c r="T548" s="65"/>
    </row>
    <row r="549" spans="3:20">
      <c r="C549" s="65"/>
      <c r="D549" s="65"/>
      <c r="E549" s="65"/>
      <c r="F549" s="65"/>
      <c r="G549" s="65"/>
      <c r="H549" s="65"/>
      <c r="I549" s="65"/>
      <c r="J549" s="65"/>
      <c r="K549" s="65"/>
      <c r="L549" s="65"/>
      <c r="M549" s="65"/>
      <c r="N549" s="65"/>
      <c r="O549" s="65"/>
      <c r="P549" s="65"/>
      <c r="Q549" s="65"/>
      <c r="R549" s="65"/>
      <c r="S549" s="65"/>
      <c r="T549" s="65"/>
    </row>
    <row r="550" spans="3:20">
      <c r="C550" s="65"/>
      <c r="D550" s="65"/>
      <c r="E550" s="65"/>
      <c r="F550" s="65"/>
      <c r="G550" s="65"/>
      <c r="H550" s="65"/>
      <c r="I550" s="65"/>
      <c r="J550" s="65"/>
      <c r="K550" s="65"/>
      <c r="L550" s="65"/>
      <c r="M550" s="65"/>
      <c r="N550" s="65"/>
      <c r="O550" s="65"/>
      <c r="P550" s="65"/>
      <c r="Q550" s="65"/>
      <c r="R550" s="65"/>
      <c r="S550" s="65"/>
      <c r="T550" s="65"/>
    </row>
    <row r="551" spans="3:20">
      <c r="C551" s="65"/>
      <c r="D551" s="65"/>
      <c r="E551" s="65"/>
      <c r="F551" s="65"/>
      <c r="G551" s="65"/>
      <c r="H551" s="65"/>
      <c r="I551" s="65"/>
      <c r="J551" s="65"/>
      <c r="K551" s="65"/>
      <c r="L551" s="65"/>
      <c r="M551" s="65"/>
      <c r="N551" s="65"/>
      <c r="O551" s="65"/>
      <c r="P551" s="65"/>
      <c r="Q551" s="65"/>
      <c r="R551" s="65"/>
      <c r="S551" s="65"/>
      <c r="T551" s="65"/>
    </row>
    <row r="552" spans="3:20">
      <c r="C552" s="65"/>
      <c r="D552" s="65"/>
      <c r="E552" s="65"/>
      <c r="F552" s="65"/>
      <c r="G552" s="65"/>
      <c r="H552" s="65"/>
      <c r="I552" s="65"/>
      <c r="J552" s="65"/>
      <c r="K552" s="65"/>
      <c r="L552" s="65"/>
      <c r="M552" s="65"/>
      <c r="N552" s="65"/>
      <c r="O552" s="65"/>
      <c r="P552" s="65"/>
      <c r="Q552" s="65"/>
      <c r="R552" s="65"/>
      <c r="S552" s="65"/>
      <c r="T552" s="65"/>
    </row>
    <row r="553" spans="3:20">
      <c r="C553" s="65"/>
      <c r="D553" s="65"/>
      <c r="E553" s="65"/>
      <c r="F553" s="65"/>
      <c r="G553" s="65"/>
      <c r="H553" s="65"/>
      <c r="I553" s="65"/>
      <c r="J553" s="65"/>
      <c r="K553" s="65"/>
      <c r="L553" s="65"/>
      <c r="M553" s="65"/>
      <c r="N553" s="65"/>
      <c r="O553" s="65"/>
      <c r="P553" s="65"/>
      <c r="Q553" s="65"/>
      <c r="R553" s="65"/>
      <c r="S553" s="65"/>
      <c r="T553" s="65"/>
    </row>
    <row r="554" spans="3:20">
      <c r="C554" s="65"/>
      <c r="D554" s="65"/>
      <c r="E554" s="65"/>
      <c r="F554" s="65"/>
      <c r="G554" s="65"/>
      <c r="H554" s="65"/>
      <c r="I554" s="65"/>
      <c r="J554" s="65"/>
      <c r="K554" s="65"/>
      <c r="L554" s="65"/>
      <c r="M554" s="65"/>
      <c r="N554" s="65"/>
      <c r="O554" s="65"/>
      <c r="P554" s="65"/>
      <c r="Q554" s="65"/>
      <c r="R554" s="65"/>
      <c r="S554" s="65"/>
      <c r="T554" s="65"/>
    </row>
    <row r="555" spans="3:20">
      <c r="C555" s="65"/>
      <c r="D555" s="65"/>
      <c r="E555" s="65"/>
      <c r="F555" s="65"/>
      <c r="G555" s="65"/>
      <c r="H555" s="65"/>
      <c r="I555" s="65"/>
      <c r="J555" s="65"/>
      <c r="K555" s="65"/>
      <c r="L555" s="65"/>
      <c r="M555" s="65"/>
      <c r="N555" s="65"/>
      <c r="O555" s="65"/>
      <c r="P555" s="65"/>
      <c r="Q555" s="65"/>
      <c r="R555" s="65"/>
      <c r="S555" s="65"/>
      <c r="T555" s="65"/>
    </row>
    <row r="556" spans="3:20">
      <c r="C556" s="65"/>
      <c r="D556" s="65"/>
      <c r="E556" s="65"/>
      <c r="F556" s="65"/>
      <c r="G556" s="65"/>
      <c r="H556" s="65"/>
      <c r="I556" s="65"/>
      <c r="J556" s="65"/>
      <c r="K556" s="65"/>
      <c r="L556" s="65"/>
      <c r="M556" s="65"/>
      <c r="N556" s="65"/>
      <c r="O556" s="65"/>
      <c r="P556" s="65"/>
      <c r="Q556" s="65"/>
      <c r="R556" s="65"/>
      <c r="S556" s="65"/>
      <c r="T556" s="65"/>
    </row>
    <row r="557" spans="3:20">
      <c r="C557" s="65"/>
      <c r="D557" s="65"/>
      <c r="E557" s="65"/>
      <c r="F557" s="65"/>
      <c r="G557" s="65"/>
      <c r="H557" s="65"/>
      <c r="I557" s="65"/>
      <c r="J557" s="65"/>
      <c r="K557" s="65"/>
      <c r="L557" s="65"/>
      <c r="M557" s="65"/>
      <c r="N557" s="65"/>
      <c r="O557" s="65"/>
      <c r="P557" s="65"/>
      <c r="Q557" s="65"/>
      <c r="R557" s="65"/>
      <c r="S557" s="65"/>
      <c r="T557" s="65"/>
    </row>
    <row r="558" spans="3:20">
      <c r="C558" s="65"/>
      <c r="D558" s="65"/>
      <c r="E558" s="65"/>
      <c r="F558" s="65"/>
      <c r="G558" s="65"/>
      <c r="H558" s="65"/>
      <c r="I558" s="65"/>
      <c r="J558" s="65"/>
      <c r="K558" s="65"/>
      <c r="L558" s="65"/>
      <c r="M558" s="65"/>
      <c r="N558" s="65"/>
      <c r="O558" s="65"/>
      <c r="P558" s="65"/>
      <c r="Q558" s="65"/>
      <c r="R558" s="65"/>
      <c r="S558" s="65"/>
      <c r="T558" s="65"/>
    </row>
    <row r="559" spans="3:20">
      <c r="C559" s="65"/>
      <c r="D559" s="65"/>
      <c r="E559" s="65"/>
      <c r="F559" s="65"/>
      <c r="G559" s="65"/>
      <c r="H559" s="65"/>
      <c r="I559" s="65"/>
      <c r="J559" s="65"/>
      <c r="K559" s="65"/>
      <c r="L559" s="65"/>
      <c r="M559" s="65"/>
      <c r="N559" s="65"/>
      <c r="O559" s="65"/>
      <c r="P559" s="65"/>
      <c r="Q559" s="65"/>
      <c r="R559" s="65"/>
      <c r="S559" s="65"/>
      <c r="T559" s="65"/>
    </row>
    <row r="560" spans="3:20">
      <c r="C560" s="65"/>
      <c r="D560" s="65"/>
      <c r="E560" s="65"/>
      <c r="F560" s="65"/>
      <c r="G560" s="65"/>
      <c r="H560" s="65"/>
      <c r="I560" s="65"/>
      <c r="J560" s="65"/>
      <c r="K560" s="65"/>
      <c r="L560" s="65"/>
      <c r="M560" s="65"/>
      <c r="N560" s="65"/>
      <c r="O560" s="65"/>
      <c r="P560" s="65"/>
      <c r="Q560" s="65"/>
      <c r="R560" s="65"/>
      <c r="S560" s="65"/>
      <c r="T560" s="65"/>
    </row>
    <row r="561" spans="3:20">
      <c r="C561" s="65"/>
      <c r="D561" s="65"/>
      <c r="E561" s="65"/>
      <c r="F561" s="65"/>
      <c r="G561" s="65"/>
      <c r="H561" s="65"/>
      <c r="I561" s="65"/>
      <c r="J561" s="65"/>
      <c r="K561" s="65"/>
      <c r="L561" s="65"/>
      <c r="M561" s="65"/>
      <c r="N561" s="65"/>
      <c r="O561" s="65"/>
      <c r="P561" s="65"/>
      <c r="Q561" s="65"/>
      <c r="R561" s="65"/>
      <c r="S561" s="65"/>
      <c r="T561" s="65"/>
    </row>
    <row r="562" spans="3:20">
      <c r="C562" s="65"/>
      <c r="D562" s="65"/>
      <c r="E562" s="65"/>
      <c r="F562" s="65"/>
      <c r="G562" s="65"/>
      <c r="H562" s="65"/>
      <c r="I562" s="65"/>
      <c r="J562" s="65"/>
      <c r="K562" s="65"/>
      <c r="L562" s="65"/>
      <c r="M562" s="65"/>
      <c r="N562" s="65"/>
      <c r="O562" s="65"/>
      <c r="P562" s="65"/>
      <c r="Q562" s="65"/>
      <c r="R562" s="65"/>
      <c r="S562" s="65"/>
      <c r="T562" s="65"/>
    </row>
    <row r="563" spans="3:20">
      <c r="C563" s="65"/>
      <c r="D563" s="65"/>
      <c r="E563" s="65"/>
      <c r="F563" s="65"/>
      <c r="G563" s="65"/>
      <c r="H563" s="65"/>
      <c r="I563" s="65"/>
      <c r="J563" s="65"/>
      <c r="K563" s="65"/>
      <c r="L563" s="65"/>
      <c r="M563" s="65"/>
      <c r="N563" s="65"/>
      <c r="O563" s="65"/>
      <c r="P563" s="65"/>
      <c r="Q563" s="65"/>
      <c r="R563" s="65"/>
      <c r="S563" s="65"/>
      <c r="T563" s="65"/>
    </row>
    <row r="564" spans="3:20">
      <c r="C564" s="65"/>
      <c r="D564" s="65"/>
      <c r="E564" s="65"/>
      <c r="F564" s="65"/>
      <c r="G564" s="65"/>
      <c r="H564" s="65"/>
      <c r="I564" s="65"/>
      <c r="J564" s="65"/>
      <c r="K564" s="65"/>
      <c r="L564" s="65"/>
      <c r="M564" s="65"/>
      <c r="N564" s="65"/>
      <c r="O564" s="65"/>
      <c r="P564" s="65"/>
      <c r="Q564" s="65"/>
      <c r="R564" s="65"/>
      <c r="S564" s="65"/>
      <c r="T564" s="65"/>
    </row>
    <row r="565" spans="3:20">
      <c r="C565" s="65"/>
      <c r="D565" s="65"/>
      <c r="E565" s="65"/>
      <c r="F565" s="65"/>
      <c r="G565" s="65"/>
      <c r="H565" s="65"/>
      <c r="I565" s="65"/>
      <c r="J565" s="65"/>
      <c r="K565" s="65"/>
      <c r="L565" s="65"/>
      <c r="M565" s="65"/>
      <c r="N565" s="65"/>
      <c r="O565" s="65"/>
      <c r="P565" s="65"/>
      <c r="Q565" s="65"/>
      <c r="R565" s="65"/>
      <c r="S565" s="65"/>
      <c r="T565" s="65"/>
    </row>
    <row r="566" spans="3:20">
      <c r="C566" s="65"/>
      <c r="D566" s="65"/>
      <c r="E566" s="65"/>
      <c r="F566" s="65"/>
      <c r="G566" s="65"/>
      <c r="H566" s="65"/>
      <c r="I566" s="65"/>
      <c r="J566" s="65"/>
      <c r="K566" s="65"/>
      <c r="L566" s="65"/>
      <c r="M566" s="65"/>
      <c r="N566" s="65"/>
      <c r="O566" s="65"/>
      <c r="P566" s="65"/>
      <c r="Q566" s="65"/>
      <c r="R566" s="65"/>
      <c r="S566" s="65"/>
      <c r="T566" s="65"/>
    </row>
    <row r="567" spans="3:20">
      <c r="C567" s="65"/>
      <c r="D567" s="65"/>
      <c r="E567" s="65"/>
      <c r="F567" s="65"/>
      <c r="G567" s="65"/>
      <c r="H567" s="65"/>
      <c r="I567" s="65"/>
      <c r="J567" s="65"/>
      <c r="K567" s="65"/>
      <c r="L567" s="65"/>
      <c r="M567" s="65"/>
      <c r="N567" s="65"/>
      <c r="O567" s="65"/>
      <c r="P567" s="65"/>
      <c r="Q567" s="65"/>
      <c r="R567" s="65"/>
      <c r="S567" s="65"/>
      <c r="T567" s="65"/>
    </row>
    <row r="568" spans="3:20">
      <c r="C568" s="65"/>
      <c r="D568" s="65"/>
      <c r="E568" s="65"/>
      <c r="F568" s="65"/>
      <c r="G568" s="65"/>
      <c r="H568" s="65"/>
      <c r="I568" s="65"/>
      <c r="J568" s="65"/>
      <c r="K568" s="65"/>
      <c r="L568" s="65"/>
      <c r="M568" s="65"/>
      <c r="N568" s="65"/>
      <c r="O568" s="65"/>
      <c r="P568" s="65"/>
      <c r="Q568" s="65"/>
      <c r="R568" s="65"/>
      <c r="S568" s="65"/>
      <c r="T568" s="65"/>
    </row>
    <row r="569" spans="3:20">
      <c r="C569" s="65"/>
      <c r="D569" s="65"/>
      <c r="E569" s="65"/>
      <c r="F569" s="65"/>
      <c r="G569" s="65"/>
      <c r="H569" s="65"/>
      <c r="I569" s="65"/>
      <c r="J569" s="65"/>
      <c r="K569" s="65"/>
      <c r="L569" s="65"/>
      <c r="M569" s="65"/>
      <c r="N569" s="65"/>
      <c r="O569" s="65"/>
      <c r="P569" s="65"/>
      <c r="Q569" s="65"/>
      <c r="R569" s="65"/>
      <c r="S569" s="65"/>
      <c r="T569" s="65"/>
    </row>
    <row r="570" spans="3:20">
      <c r="C570" s="65"/>
      <c r="D570" s="65"/>
      <c r="E570" s="65"/>
      <c r="F570" s="65"/>
      <c r="G570" s="65"/>
      <c r="H570" s="65"/>
      <c r="I570" s="65"/>
      <c r="J570" s="65"/>
      <c r="K570" s="65"/>
      <c r="L570" s="65"/>
      <c r="M570" s="65"/>
      <c r="N570" s="65"/>
      <c r="O570" s="65"/>
      <c r="P570" s="65"/>
      <c r="Q570" s="65"/>
      <c r="R570" s="65"/>
      <c r="S570" s="65"/>
      <c r="T570" s="65"/>
    </row>
    <row r="571" spans="3:20">
      <c r="C571" s="65"/>
      <c r="D571" s="65"/>
      <c r="E571" s="65"/>
      <c r="F571" s="65"/>
      <c r="G571" s="65"/>
      <c r="H571" s="65"/>
      <c r="I571" s="65"/>
      <c r="J571" s="65"/>
      <c r="K571" s="65"/>
      <c r="L571" s="65"/>
      <c r="M571" s="65"/>
      <c r="N571" s="65"/>
      <c r="O571" s="65"/>
      <c r="P571" s="65"/>
      <c r="Q571" s="65"/>
      <c r="R571" s="65"/>
      <c r="S571" s="65"/>
      <c r="T571" s="65"/>
    </row>
    <row r="572" spans="3:20">
      <c r="C572" s="65"/>
      <c r="D572" s="65"/>
      <c r="E572" s="65"/>
      <c r="F572" s="65"/>
      <c r="G572" s="65"/>
      <c r="H572" s="65"/>
      <c r="I572" s="65"/>
      <c r="J572" s="65"/>
      <c r="K572" s="65"/>
      <c r="L572" s="65"/>
      <c r="M572" s="65"/>
      <c r="N572" s="65"/>
      <c r="O572" s="65"/>
      <c r="P572" s="65"/>
      <c r="Q572" s="65"/>
      <c r="R572" s="65"/>
      <c r="S572" s="65"/>
      <c r="T572" s="65"/>
    </row>
    <row r="573" spans="3:20">
      <c r="C573" s="65"/>
      <c r="D573" s="65"/>
      <c r="E573" s="65"/>
      <c r="F573" s="65"/>
      <c r="G573" s="65"/>
      <c r="H573" s="65"/>
      <c r="I573" s="65"/>
      <c r="J573" s="65"/>
      <c r="K573" s="65"/>
      <c r="L573" s="65"/>
      <c r="M573" s="65"/>
      <c r="N573" s="65"/>
      <c r="O573" s="65"/>
      <c r="P573" s="65"/>
      <c r="Q573" s="65"/>
      <c r="R573" s="65"/>
      <c r="S573" s="65"/>
      <c r="T573" s="65"/>
    </row>
    <row r="574" spans="3:20">
      <c r="C574" s="65"/>
      <c r="D574" s="65"/>
      <c r="E574" s="65"/>
      <c r="F574" s="65"/>
      <c r="G574" s="65"/>
      <c r="H574" s="65"/>
      <c r="I574" s="65"/>
      <c r="J574" s="65"/>
      <c r="K574" s="65"/>
      <c r="L574" s="65"/>
      <c r="M574" s="65"/>
      <c r="N574" s="65"/>
      <c r="O574" s="65"/>
      <c r="P574" s="65"/>
      <c r="Q574" s="65"/>
      <c r="R574" s="65"/>
      <c r="S574" s="65"/>
      <c r="T574" s="65"/>
    </row>
    <row r="575" spans="3:20">
      <c r="C575" s="65"/>
      <c r="D575" s="65"/>
      <c r="E575" s="65"/>
      <c r="F575" s="65"/>
      <c r="G575" s="65"/>
      <c r="H575" s="65"/>
      <c r="I575" s="65"/>
      <c r="J575" s="65"/>
      <c r="K575" s="65"/>
      <c r="L575" s="65"/>
      <c r="M575" s="65"/>
      <c r="N575" s="65"/>
      <c r="O575" s="65"/>
      <c r="P575" s="65"/>
      <c r="Q575" s="65"/>
      <c r="R575" s="65"/>
      <c r="S575" s="65"/>
      <c r="T575" s="65"/>
    </row>
    <row r="576" spans="3:20">
      <c r="C576" s="65"/>
      <c r="D576" s="65"/>
      <c r="E576" s="65"/>
      <c r="F576" s="65"/>
      <c r="G576" s="65"/>
      <c r="H576" s="65"/>
      <c r="I576" s="65"/>
      <c r="J576" s="65"/>
      <c r="K576" s="65"/>
      <c r="L576" s="65"/>
      <c r="M576" s="65"/>
      <c r="N576" s="65"/>
      <c r="O576" s="65"/>
      <c r="P576" s="65"/>
      <c r="Q576" s="65"/>
      <c r="R576" s="65"/>
      <c r="S576" s="65"/>
      <c r="T576" s="65"/>
    </row>
    <row r="577" spans="3:20">
      <c r="C577" s="65"/>
      <c r="D577" s="65"/>
      <c r="E577" s="65"/>
      <c r="F577" s="65"/>
      <c r="G577" s="65"/>
      <c r="H577" s="65"/>
      <c r="I577" s="65"/>
      <c r="J577" s="65"/>
      <c r="K577" s="65"/>
      <c r="L577" s="65"/>
      <c r="M577" s="65"/>
      <c r="N577" s="65"/>
      <c r="O577" s="65"/>
      <c r="P577" s="65"/>
      <c r="Q577" s="65"/>
      <c r="R577" s="65"/>
      <c r="S577" s="65"/>
      <c r="T577" s="65"/>
    </row>
    <row r="578" spans="3:20">
      <c r="C578" s="65"/>
      <c r="D578" s="65"/>
      <c r="E578" s="65"/>
      <c r="F578" s="65"/>
      <c r="G578" s="65"/>
      <c r="H578" s="65"/>
      <c r="I578" s="65"/>
      <c r="J578" s="65"/>
      <c r="K578" s="65"/>
      <c r="L578" s="65"/>
      <c r="M578" s="65"/>
      <c r="N578" s="65"/>
      <c r="O578" s="65"/>
      <c r="P578" s="65"/>
      <c r="Q578" s="65"/>
      <c r="R578" s="65"/>
      <c r="S578" s="65"/>
      <c r="T578" s="65"/>
    </row>
    <row r="579" spans="3:20">
      <c r="C579" s="65"/>
      <c r="D579" s="65"/>
      <c r="E579" s="65"/>
      <c r="F579" s="65"/>
      <c r="G579" s="65"/>
      <c r="H579" s="65"/>
      <c r="I579" s="65"/>
      <c r="J579" s="65"/>
      <c r="K579" s="65"/>
      <c r="L579" s="65"/>
      <c r="M579" s="65"/>
      <c r="N579" s="65"/>
      <c r="O579" s="65"/>
      <c r="P579" s="65"/>
      <c r="Q579" s="65"/>
      <c r="R579" s="65"/>
      <c r="S579" s="65"/>
      <c r="T579" s="65"/>
    </row>
    <row r="580" spans="3:20">
      <c r="C580" s="65"/>
      <c r="D580" s="65"/>
      <c r="E580" s="65"/>
      <c r="F580" s="65"/>
      <c r="G580" s="65"/>
      <c r="H580" s="65"/>
      <c r="I580" s="65"/>
      <c r="J580" s="65"/>
      <c r="K580" s="65"/>
      <c r="L580" s="65"/>
      <c r="M580" s="65"/>
      <c r="N580" s="65"/>
      <c r="O580" s="65"/>
      <c r="P580" s="65"/>
      <c r="Q580" s="65"/>
      <c r="R580" s="65"/>
      <c r="S580" s="65"/>
      <c r="T580" s="65"/>
    </row>
    <row r="581" spans="3:20">
      <c r="C581" s="65"/>
      <c r="D581" s="65"/>
      <c r="E581" s="65"/>
      <c r="F581" s="65"/>
      <c r="G581" s="65"/>
      <c r="H581" s="65"/>
      <c r="I581" s="65"/>
      <c r="J581" s="65"/>
      <c r="K581" s="65"/>
      <c r="L581" s="65"/>
      <c r="M581" s="65"/>
      <c r="N581" s="65"/>
      <c r="O581" s="65"/>
      <c r="P581" s="65"/>
      <c r="Q581" s="65"/>
      <c r="R581" s="65"/>
      <c r="S581" s="65"/>
      <c r="T581" s="65"/>
    </row>
    <row r="582" spans="3:20">
      <c r="C582" s="65"/>
      <c r="D582" s="65"/>
      <c r="E582" s="65"/>
      <c r="F582" s="65"/>
      <c r="G582" s="65"/>
      <c r="H582" s="65"/>
      <c r="I582" s="65"/>
      <c r="J582" s="65"/>
      <c r="K582" s="65"/>
      <c r="L582" s="65"/>
      <c r="M582" s="65"/>
      <c r="N582" s="65"/>
      <c r="O582" s="65"/>
      <c r="P582" s="65"/>
      <c r="Q582" s="65"/>
      <c r="R582" s="65"/>
      <c r="S582" s="65"/>
      <c r="T582" s="65"/>
    </row>
    <row r="583" spans="3:20">
      <c r="C583" s="65"/>
      <c r="D583" s="65"/>
      <c r="E583" s="65"/>
      <c r="F583" s="65"/>
      <c r="G583" s="65"/>
      <c r="H583" s="65"/>
      <c r="I583" s="65"/>
      <c r="J583" s="65"/>
      <c r="K583" s="65"/>
      <c r="L583" s="65"/>
      <c r="M583" s="65"/>
      <c r="N583" s="65"/>
      <c r="O583" s="65"/>
      <c r="P583" s="65"/>
      <c r="Q583" s="65"/>
      <c r="R583" s="65"/>
      <c r="S583" s="65"/>
      <c r="T583" s="65"/>
    </row>
    <row r="584" spans="3:20">
      <c r="C584" s="65"/>
      <c r="D584" s="65"/>
      <c r="E584" s="65"/>
      <c r="F584" s="65"/>
      <c r="G584" s="65"/>
      <c r="H584" s="65"/>
      <c r="I584" s="65"/>
      <c r="J584" s="65"/>
      <c r="K584" s="65"/>
      <c r="L584" s="65"/>
      <c r="M584" s="65"/>
      <c r="N584" s="65"/>
      <c r="O584" s="65"/>
      <c r="P584" s="65"/>
      <c r="Q584" s="65"/>
      <c r="R584" s="65"/>
      <c r="S584" s="65"/>
      <c r="T584" s="65"/>
    </row>
    <row r="585" spans="3:20">
      <c r="C585" s="65"/>
      <c r="D585" s="65"/>
      <c r="E585" s="65"/>
      <c r="F585" s="65"/>
      <c r="G585" s="65"/>
      <c r="H585" s="65"/>
      <c r="I585" s="65"/>
      <c r="J585" s="65"/>
      <c r="K585" s="65"/>
      <c r="L585" s="65"/>
      <c r="M585" s="65"/>
      <c r="N585" s="65"/>
      <c r="O585" s="65"/>
      <c r="P585" s="65"/>
      <c r="Q585" s="65"/>
      <c r="R585" s="65"/>
      <c r="S585" s="65"/>
      <c r="T585" s="65"/>
    </row>
    <row r="586" spans="3:20">
      <c r="C586" s="65"/>
      <c r="D586" s="65"/>
      <c r="E586" s="65"/>
      <c r="F586" s="65"/>
      <c r="G586" s="65"/>
      <c r="H586" s="65"/>
      <c r="I586" s="65"/>
      <c r="J586" s="65"/>
      <c r="K586" s="65"/>
      <c r="L586" s="65"/>
      <c r="M586" s="65"/>
      <c r="N586" s="65"/>
      <c r="O586" s="65"/>
      <c r="P586" s="65"/>
      <c r="Q586" s="65"/>
      <c r="R586" s="65"/>
      <c r="S586" s="65"/>
      <c r="T586" s="65"/>
    </row>
    <row r="587" spans="3:20">
      <c r="C587" s="65"/>
      <c r="D587" s="65"/>
      <c r="E587" s="65"/>
      <c r="F587" s="65"/>
      <c r="G587" s="65"/>
      <c r="H587" s="65"/>
      <c r="I587" s="65"/>
      <c r="J587" s="65"/>
      <c r="K587" s="65"/>
      <c r="L587" s="65"/>
      <c r="M587" s="65"/>
      <c r="N587" s="65"/>
      <c r="O587" s="65"/>
      <c r="P587" s="65"/>
      <c r="Q587" s="65"/>
      <c r="R587" s="65"/>
      <c r="S587" s="65"/>
      <c r="T587" s="65"/>
    </row>
    <row r="588" spans="3:20">
      <c r="C588" s="65"/>
      <c r="D588" s="65"/>
      <c r="E588" s="65"/>
      <c r="F588" s="65"/>
      <c r="G588" s="65"/>
      <c r="H588" s="65"/>
      <c r="I588" s="65"/>
      <c r="J588" s="65"/>
      <c r="K588" s="65"/>
      <c r="L588" s="65"/>
      <c r="M588" s="65"/>
      <c r="N588" s="65"/>
      <c r="O588" s="65"/>
      <c r="P588" s="65"/>
      <c r="Q588" s="65"/>
      <c r="R588" s="65"/>
      <c r="S588" s="65"/>
      <c r="T588" s="65"/>
    </row>
    <row r="589" spans="3:20">
      <c r="C589" s="65"/>
      <c r="D589" s="65"/>
      <c r="E589" s="65"/>
      <c r="F589" s="65"/>
      <c r="G589" s="65"/>
      <c r="H589" s="65"/>
      <c r="I589" s="65"/>
      <c r="J589" s="65"/>
      <c r="K589" s="65"/>
      <c r="L589" s="65"/>
      <c r="M589" s="65"/>
      <c r="N589" s="65"/>
      <c r="O589" s="65"/>
      <c r="P589" s="65"/>
      <c r="Q589" s="65"/>
      <c r="R589" s="65"/>
      <c r="S589" s="65"/>
      <c r="T589" s="65"/>
    </row>
    <row r="590" spans="3:20">
      <c r="C590" s="65"/>
      <c r="D590" s="65"/>
      <c r="E590" s="65"/>
      <c r="F590" s="65"/>
      <c r="G590" s="65"/>
      <c r="H590" s="65"/>
      <c r="I590" s="65"/>
      <c r="J590" s="65"/>
      <c r="K590" s="65"/>
      <c r="L590" s="65"/>
      <c r="M590" s="65"/>
      <c r="N590" s="65"/>
      <c r="O590" s="65"/>
      <c r="P590" s="65"/>
      <c r="Q590" s="65"/>
      <c r="R590" s="65"/>
      <c r="S590" s="65"/>
      <c r="T590" s="65"/>
    </row>
    <row r="591" spans="3:20">
      <c r="C591" s="65"/>
      <c r="D591" s="65"/>
      <c r="E591" s="65"/>
      <c r="F591" s="65"/>
      <c r="G591" s="65"/>
      <c r="H591" s="65"/>
      <c r="I591" s="65"/>
      <c r="J591" s="65"/>
      <c r="K591" s="65"/>
      <c r="L591" s="65"/>
      <c r="M591" s="65"/>
      <c r="N591" s="65"/>
      <c r="O591" s="65"/>
      <c r="P591" s="65"/>
      <c r="Q591" s="65"/>
      <c r="R591" s="65"/>
      <c r="S591" s="65"/>
      <c r="T591" s="65"/>
    </row>
    <row r="592" spans="3:20">
      <c r="C592" s="65"/>
      <c r="D592" s="65"/>
      <c r="E592" s="65"/>
      <c r="F592" s="65"/>
      <c r="G592" s="65"/>
      <c r="H592" s="65"/>
      <c r="I592" s="65"/>
      <c r="J592" s="65"/>
      <c r="K592" s="65"/>
      <c r="L592" s="65"/>
      <c r="M592" s="65"/>
      <c r="N592" s="65"/>
      <c r="O592" s="65"/>
      <c r="P592" s="65"/>
      <c r="Q592" s="65"/>
      <c r="R592" s="65"/>
      <c r="S592" s="65"/>
      <c r="T592" s="65"/>
    </row>
    <row r="593" spans="3:20">
      <c r="C593" s="65"/>
      <c r="D593" s="65"/>
      <c r="E593" s="65"/>
      <c r="F593" s="65"/>
      <c r="G593" s="65"/>
      <c r="H593" s="65"/>
      <c r="I593" s="65"/>
      <c r="J593" s="65"/>
      <c r="K593" s="65"/>
      <c r="L593" s="65"/>
      <c r="M593" s="65"/>
      <c r="N593" s="65"/>
      <c r="O593" s="65"/>
      <c r="P593" s="65"/>
      <c r="Q593" s="65"/>
      <c r="R593" s="65"/>
      <c r="S593" s="65"/>
      <c r="T593" s="65"/>
    </row>
    <row r="594" spans="3:20">
      <c r="C594" s="65"/>
      <c r="D594" s="65"/>
      <c r="E594" s="65"/>
      <c r="F594" s="65"/>
      <c r="G594" s="65"/>
      <c r="H594" s="65"/>
      <c r="I594" s="65"/>
      <c r="J594" s="65"/>
      <c r="K594" s="65"/>
      <c r="L594" s="65"/>
      <c r="M594" s="65"/>
      <c r="N594" s="65"/>
      <c r="O594" s="65"/>
      <c r="P594" s="65"/>
      <c r="Q594" s="65"/>
      <c r="R594" s="65"/>
      <c r="S594" s="65"/>
      <c r="T594" s="65"/>
    </row>
    <row r="595" spans="3:20">
      <c r="C595" s="65"/>
      <c r="D595" s="65"/>
      <c r="E595" s="65"/>
      <c r="F595" s="65"/>
      <c r="G595" s="65"/>
      <c r="H595" s="65"/>
      <c r="I595" s="65"/>
      <c r="J595" s="65"/>
      <c r="K595" s="65"/>
      <c r="L595" s="65"/>
      <c r="M595" s="65"/>
      <c r="N595" s="65"/>
      <c r="O595" s="65"/>
      <c r="P595" s="65"/>
      <c r="Q595" s="65"/>
      <c r="R595" s="65"/>
      <c r="S595" s="65"/>
      <c r="T595" s="65"/>
    </row>
    <row r="596" spans="3:20">
      <c r="C596" s="65"/>
      <c r="D596" s="65"/>
      <c r="E596" s="65"/>
      <c r="F596" s="65"/>
      <c r="G596" s="65"/>
      <c r="H596" s="65"/>
      <c r="I596" s="65"/>
      <c r="J596" s="65"/>
      <c r="K596" s="65"/>
      <c r="L596" s="65"/>
      <c r="M596" s="65"/>
      <c r="N596" s="65"/>
      <c r="O596" s="65"/>
      <c r="P596" s="65"/>
      <c r="Q596" s="65"/>
      <c r="R596" s="65"/>
      <c r="S596" s="65"/>
      <c r="T596" s="65"/>
    </row>
    <row r="597" spans="3:20">
      <c r="C597" s="65"/>
      <c r="D597" s="65"/>
      <c r="E597" s="65"/>
      <c r="F597" s="65"/>
      <c r="G597" s="65"/>
      <c r="H597" s="65"/>
      <c r="I597" s="65"/>
      <c r="J597" s="65"/>
      <c r="K597" s="65"/>
      <c r="L597" s="65"/>
      <c r="M597" s="65"/>
      <c r="N597" s="65"/>
      <c r="O597" s="65"/>
      <c r="P597" s="65"/>
      <c r="Q597" s="65"/>
      <c r="R597" s="65"/>
      <c r="S597" s="65"/>
      <c r="T597" s="65"/>
    </row>
    <row r="598" spans="3:20">
      <c r="C598" s="65"/>
      <c r="D598" s="65"/>
      <c r="E598" s="65"/>
      <c r="F598" s="65"/>
      <c r="G598" s="65"/>
      <c r="H598" s="65"/>
      <c r="I598" s="65"/>
      <c r="J598" s="65"/>
      <c r="K598" s="65"/>
      <c r="L598" s="65"/>
      <c r="M598" s="65"/>
      <c r="N598" s="65"/>
      <c r="O598" s="65"/>
      <c r="P598" s="65"/>
      <c r="Q598" s="65"/>
      <c r="R598" s="65"/>
      <c r="S598" s="65"/>
      <c r="T598" s="65"/>
    </row>
    <row r="599" spans="3:20">
      <c r="C599" s="65"/>
      <c r="D599" s="65"/>
      <c r="E599" s="65"/>
      <c r="F599" s="65"/>
      <c r="G599" s="65"/>
      <c r="H599" s="65"/>
      <c r="I599" s="65"/>
      <c r="J599" s="65"/>
      <c r="K599" s="65"/>
      <c r="L599" s="65"/>
      <c r="M599" s="65"/>
      <c r="N599" s="65"/>
      <c r="O599" s="65"/>
      <c r="P599" s="65"/>
      <c r="Q599" s="65"/>
      <c r="R599" s="65"/>
      <c r="S599" s="65"/>
      <c r="T599" s="65"/>
    </row>
    <row r="600" spans="3:20">
      <c r="C600" s="65"/>
      <c r="D600" s="65"/>
      <c r="E600" s="65"/>
      <c r="F600" s="65"/>
      <c r="G600" s="65"/>
      <c r="H600" s="65"/>
      <c r="I600" s="65"/>
      <c r="J600" s="65"/>
      <c r="K600" s="65"/>
      <c r="L600" s="65"/>
      <c r="M600" s="65"/>
      <c r="N600" s="65"/>
      <c r="O600" s="65"/>
      <c r="P600" s="65"/>
      <c r="Q600" s="65"/>
      <c r="R600" s="65"/>
      <c r="S600" s="65"/>
      <c r="T600" s="65"/>
    </row>
    <row r="601" spans="3:20">
      <c r="C601" s="65"/>
      <c r="D601" s="65"/>
      <c r="E601" s="65"/>
      <c r="F601" s="65"/>
      <c r="G601" s="65"/>
      <c r="H601" s="65"/>
      <c r="I601" s="65"/>
      <c r="J601" s="65"/>
      <c r="K601" s="65"/>
      <c r="L601" s="65"/>
      <c r="M601" s="65"/>
      <c r="N601" s="65"/>
      <c r="O601" s="65"/>
      <c r="P601" s="65"/>
      <c r="Q601" s="65"/>
      <c r="R601" s="65"/>
      <c r="S601" s="65"/>
      <c r="T601" s="65"/>
    </row>
    <row r="602" spans="3:20">
      <c r="C602" s="65"/>
      <c r="D602" s="65"/>
      <c r="E602" s="65"/>
      <c r="F602" s="65"/>
      <c r="G602" s="65"/>
      <c r="H602" s="65"/>
      <c r="I602" s="65"/>
      <c r="J602" s="65"/>
      <c r="K602" s="65"/>
      <c r="L602" s="65"/>
      <c r="M602" s="65"/>
      <c r="N602" s="65"/>
      <c r="O602" s="65"/>
      <c r="P602" s="65"/>
      <c r="Q602" s="65"/>
      <c r="R602" s="65"/>
      <c r="S602" s="65"/>
      <c r="T602" s="65"/>
    </row>
    <row r="603" spans="3:20">
      <c r="C603" s="65"/>
      <c r="D603" s="65"/>
      <c r="E603" s="65"/>
      <c r="F603" s="65"/>
      <c r="G603" s="65"/>
      <c r="H603" s="65"/>
      <c r="I603" s="65"/>
      <c r="J603" s="65"/>
      <c r="K603" s="65"/>
      <c r="L603" s="65"/>
      <c r="M603" s="65"/>
      <c r="N603" s="65"/>
      <c r="O603" s="65"/>
      <c r="P603" s="65"/>
      <c r="Q603" s="65"/>
      <c r="R603" s="65"/>
      <c r="S603" s="65"/>
      <c r="T603" s="65"/>
    </row>
    <row r="604" spans="3:20">
      <c r="C604" s="65"/>
      <c r="D604" s="65"/>
      <c r="E604" s="65"/>
      <c r="F604" s="65"/>
      <c r="G604" s="65"/>
      <c r="H604" s="65"/>
      <c r="I604" s="65"/>
      <c r="J604" s="65"/>
      <c r="K604" s="65"/>
      <c r="L604" s="65"/>
      <c r="M604" s="65"/>
      <c r="N604" s="65"/>
      <c r="O604" s="65"/>
      <c r="P604" s="65"/>
      <c r="Q604" s="65"/>
      <c r="R604" s="65"/>
      <c r="S604" s="65"/>
      <c r="T604" s="65"/>
    </row>
    <row r="605" spans="3:20">
      <c r="C605" s="65"/>
      <c r="D605" s="65"/>
      <c r="E605" s="65"/>
      <c r="F605" s="65"/>
      <c r="G605" s="65"/>
      <c r="H605" s="65"/>
      <c r="I605" s="65"/>
      <c r="J605" s="65"/>
      <c r="K605" s="65"/>
      <c r="L605" s="65"/>
      <c r="M605" s="65"/>
      <c r="N605" s="65"/>
      <c r="O605" s="65"/>
      <c r="P605" s="65"/>
      <c r="Q605" s="65"/>
      <c r="R605" s="65"/>
      <c r="S605" s="65"/>
      <c r="T605" s="65"/>
    </row>
    <row r="606" spans="3:20">
      <c r="C606" s="65"/>
      <c r="D606" s="65"/>
      <c r="E606" s="65"/>
      <c r="F606" s="65"/>
      <c r="G606" s="65"/>
      <c r="H606" s="65"/>
      <c r="I606" s="65"/>
      <c r="J606" s="65"/>
      <c r="K606" s="65"/>
      <c r="L606" s="65"/>
      <c r="M606" s="65"/>
      <c r="N606" s="65"/>
      <c r="O606" s="65"/>
      <c r="P606" s="65"/>
      <c r="Q606" s="65"/>
      <c r="R606" s="65"/>
      <c r="S606" s="65"/>
      <c r="T606" s="65"/>
    </row>
    <row r="607" spans="3:20">
      <c r="C607" s="65"/>
      <c r="D607" s="65"/>
      <c r="E607" s="65"/>
      <c r="F607" s="65"/>
      <c r="G607" s="65"/>
      <c r="H607" s="65"/>
      <c r="I607" s="65"/>
      <c r="J607" s="65"/>
      <c r="K607" s="65"/>
      <c r="L607" s="65"/>
      <c r="M607" s="65"/>
      <c r="N607" s="65"/>
      <c r="O607" s="65"/>
      <c r="P607" s="65"/>
      <c r="Q607" s="65"/>
      <c r="R607" s="65"/>
      <c r="S607" s="65"/>
      <c r="T607" s="65"/>
    </row>
    <row r="608" spans="3:20">
      <c r="C608" s="65"/>
      <c r="D608" s="65"/>
      <c r="E608" s="65"/>
      <c r="F608" s="65"/>
      <c r="G608" s="65"/>
      <c r="H608" s="65"/>
      <c r="I608" s="65"/>
      <c r="J608" s="65"/>
      <c r="K608" s="65"/>
      <c r="L608" s="65"/>
      <c r="M608" s="65"/>
      <c r="N608" s="65"/>
      <c r="O608" s="65"/>
      <c r="P608" s="65"/>
      <c r="Q608" s="65"/>
      <c r="R608" s="65"/>
      <c r="S608" s="65"/>
      <c r="T608" s="65"/>
    </row>
    <row r="609" spans="3:20">
      <c r="C609" s="65"/>
      <c r="D609" s="65"/>
      <c r="E609" s="65"/>
      <c r="F609" s="65"/>
      <c r="G609" s="65"/>
      <c r="H609" s="65"/>
      <c r="I609" s="65"/>
      <c r="J609" s="65"/>
      <c r="K609" s="65"/>
      <c r="L609" s="65"/>
      <c r="M609" s="65"/>
      <c r="N609" s="65"/>
      <c r="O609" s="65"/>
      <c r="P609" s="65"/>
      <c r="Q609" s="65"/>
      <c r="R609" s="65"/>
      <c r="S609" s="65"/>
      <c r="T609" s="65"/>
    </row>
    <row r="610" spans="3:20">
      <c r="C610" s="65"/>
      <c r="D610" s="65"/>
      <c r="E610" s="65"/>
      <c r="F610" s="65"/>
      <c r="G610" s="65"/>
      <c r="H610" s="65"/>
      <c r="I610" s="65"/>
      <c r="J610" s="65"/>
      <c r="K610" s="65"/>
      <c r="L610" s="65"/>
      <c r="M610" s="65"/>
      <c r="N610" s="65"/>
      <c r="O610" s="65"/>
      <c r="P610" s="65"/>
      <c r="Q610" s="65"/>
      <c r="R610" s="65"/>
      <c r="S610" s="65"/>
      <c r="T610" s="65"/>
    </row>
    <row r="611" spans="3:20">
      <c r="C611" s="65"/>
      <c r="D611" s="65"/>
      <c r="E611" s="65"/>
      <c r="F611" s="65"/>
      <c r="G611" s="65"/>
      <c r="H611" s="65"/>
      <c r="I611" s="65"/>
      <c r="J611" s="65"/>
      <c r="K611" s="65"/>
      <c r="L611" s="65"/>
      <c r="M611" s="65"/>
      <c r="N611" s="65"/>
      <c r="O611" s="65"/>
      <c r="P611" s="65"/>
      <c r="Q611" s="65"/>
      <c r="R611" s="65"/>
      <c r="S611" s="65"/>
      <c r="T611" s="65"/>
    </row>
    <row r="612" spans="3:20">
      <c r="C612" s="65"/>
      <c r="D612" s="65"/>
      <c r="E612" s="65"/>
      <c r="F612" s="65"/>
      <c r="G612" s="65"/>
      <c r="H612" s="65"/>
      <c r="I612" s="65"/>
      <c r="J612" s="65"/>
      <c r="K612" s="65"/>
      <c r="L612" s="65"/>
      <c r="M612" s="65"/>
      <c r="N612" s="65"/>
      <c r="O612" s="65"/>
      <c r="P612" s="65"/>
      <c r="Q612" s="65"/>
      <c r="R612" s="65"/>
      <c r="S612" s="65"/>
      <c r="T612" s="65"/>
    </row>
    <row r="613" spans="3:20">
      <c r="C613" s="65"/>
      <c r="D613" s="65"/>
      <c r="E613" s="65"/>
      <c r="F613" s="65"/>
      <c r="G613" s="65"/>
      <c r="H613" s="65"/>
      <c r="I613" s="65"/>
      <c r="J613" s="65"/>
      <c r="K613" s="65"/>
      <c r="L613" s="65"/>
      <c r="M613" s="65"/>
      <c r="N613" s="65"/>
      <c r="O613" s="65"/>
      <c r="P613" s="65"/>
      <c r="Q613" s="65"/>
      <c r="R613" s="65"/>
      <c r="S613" s="65"/>
      <c r="T613" s="65"/>
    </row>
    <row r="614" spans="3:20">
      <c r="C614" s="65"/>
      <c r="D614" s="65"/>
      <c r="E614" s="65"/>
      <c r="F614" s="65"/>
      <c r="G614" s="65"/>
      <c r="H614" s="65"/>
      <c r="I614" s="65"/>
      <c r="J614" s="65"/>
      <c r="K614" s="65"/>
      <c r="L614" s="65"/>
      <c r="M614" s="65"/>
      <c r="N614" s="65"/>
      <c r="O614" s="65"/>
      <c r="P614" s="65"/>
      <c r="Q614" s="65"/>
      <c r="R614" s="65"/>
      <c r="S614" s="65"/>
      <c r="T614" s="65"/>
    </row>
    <row r="615" spans="3:20">
      <c r="C615" s="65"/>
      <c r="D615" s="65"/>
      <c r="E615" s="65"/>
      <c r="F615" s="65"/>
      <c r="G615" s="65"/>
      <c r="H615" s="65"/>
      <c r="I615" s="65"/>
      <c r="J615" s="65"/>
      <c r="K615" s="65"/>
      <c r="L615" s="65"/>
      <c r="M615" s="65"/>
      <c r="N615" s="65"/>
      <c r="O615" s="65"/>
      <c r="P615" s="65"/>
      <c r="Q615" s="65"/>
      <c r="R615" s="65"/>
      <c r="S615" s="65"/>
      <c r="T615" s="65"/>
    </row>
    <row r="616" spans="3:20">
      <c r="C616" s="65"/>
      <c r="D616" s="65"/>
      <c r="E616" s="65"/>
      <c r="F616" s="65"/>
      <c r="G616" s="65"/>
      <c r="H616" s="65"/>
      <c r="I616" s="65"/>
      <c r="J616" s="65"/>
      <c r="K616" s="65"/>
      <c r="L616" s="65"/>
      <c r="M616" s="65"/>
      <c r="N616" s="65"/>
      <c r="O616" s="65"/>
      <c r="P616" s="65"/>
      <c r="Q616" s="65"/>
      <c r="R616" s="65"/>
      <c r="S616" s="65"/>
      <c r="T616" s="65"/>
    </row>
    <row r="617" spans="3:20">
      <c r="C617" s="65"/>
      <c r="D617" s="65"/>
      <c r="E617" s="65"/>
      <c r="F617" s="65"/>
      <c r="G617" s="65"/>
      <c r="H617" s="65"/>
      <c r="I617" s="65"/>
      <c r="J617" s="65"/>
      <c r="K617" s="65"/>
      <c r="L617" s="65"/>
      <c r="M617" s="65"/>
      <c r="N617" s="65"/>
      <c r="O617" s="65"/>
      <c r="P617" s="65"/>
      <c r="Q617" s="65"/>
      <c r="R617" s="65"/>
      <c r="S617" s="65"/>
      <c r="T617" s="65"/>
    </row>
    <row r="618" spans="3:20">
      <c r="C618" s="65"/>
      <c r="D618" s="65"/>
      <c r="E618" s="65"/>
      <c r="F618" s="65"/>
      <c r="G618" s="65"/>
      <c r="H618" s="65"/>
      <c r="I618" s="65"/>
      <c r="J618" s="65"/>
      <c r="K618" s="65"/>
      <c r="L618" s="65"/>
      <c r="M618" s="65"/>
      <c r="N618" s="65"/>
      <c r="O618" s="65"/>
      <c r="P618" s="65"/>
      <c r="Q618" s="65"/>
      <c r="R618" s="65"/>
      <c r="S618" s="65"/>
      <c r="T618" s="65"/>
    </row>
    <row r="619" spans="3:20">
      <c r="C619" s="65"/>
      <c r="D619" s="65"/>
      <c r="E619" s="65"/>
      <c r="F619" s="65"/>
      <c r="G619" s="65"/>
      <c r="H619" s="65"/>
      <c r="I619" s="65"/>
      <c r="J619" s="65"/>
      <c r="K619" s="65"/>
      <c r="L619" s="65"/>
      <c r="M619" s="65"/>
      <c r="N619" s="65"/>
      <c r="O619" s="65"/>
      <c r="P619" s="65"/>
      <c r="Q619" s="65"/>
      <c r="R619" s="65"/>
      <c r="S619" s="65"/>
      <c r="T619" s="65"/>
    </row>
    <row r="620" spans="3:20">
      <c r="C620" s="65"/>
      <c r="D620" s="65"/>
      <c r="E620" s="65"/>
      <c r="F620" s="65"/>
      <c r="G620" s="65"/>
      <c r="H620" s="65"/>
      <c r="I620" s="65"/>
      <c r="J620" s="65"/>
      <c r="K620" s="65"/>
      <c r="L620" s="65"/>
      <c r="M620" s="65"/>
      <c r="N620" s="65"/>
      <c r="O620" s="65"/>
      <c r="P620" s="65"/>
      <c r="Q620" s="65"/>
      <c r="R620" s="65"/>
      <c r="S620" s="65"/>
      <c r="T620" s="65"/>
    </row>
    <row r="621" spans="3:20">
      <c r="C621" s="65"/>
      <c r="D621" s="65"/>
      <c r="E621" s="65"/>
      <c r="F621" s="65"/>
      <c r="G621" s="65"/>
      <c r="H621" s="65"/>
      <c r="I621" s="65"/>
      <c r="J621" s="65"/>
      <c r="K621" s="65"/>
      <c r="L621" s="65"/>
      <c r="M621" s="65"/>
      <c r="N621" s="65"/>
      <c r="O621" s="65"/>
      <c r="P621" s="65"/>
      <c r="Q621" s="65"/>
      <c r="R621" s="65"/>
      <c r="S621" s="65"/>
      <c r="T621" s="65"/>
    </row>
    <row r="622" spans="3:20">
      <c r="C622" s="65"/>
      <c r="D622" s="65"/>
      <c r="E622" s="65"/>
      <c r="F622" s="65"/>
      <c r="G622" s="65"/>
      <c r="H622" s="65"/>
      <c r="I622" s="65"/>
      <c r="J622" s="65"/>
      <c r="K622" s="65"/>
      <c r="L622" s="65"/>
      <c r="M622" s="65"/>
      <c r="N622" s="65"/>
      <c r="O622" s="65"/>
      <c r="P622" s="65"/>
      <c r="Q622" s="65"/>
      <c r="R622" s="65"/>
      <c r="S622" s="65"/>
      <c r="T622" s="65"/>
    </row>
    <row r="623" spans="3:20">
      <c r="C623" s="65"/>
      <c r="D623" s="65"/>
      <c r="E623" s="65"/>
      <c r="F623" s="65"/>
      <c r="G623" s="65"/>
      <c r="H623" s="65"/>
      <c r="I623" s="65"/>
      <c r="J623" s="65"/>
      <c r="K623" s="65"/>
      <c r="L623" s="65"/>
      <c r="M623" s="65"/>
      <c r="N623" s="65"/>
      <c r="O623" s="65"/>
      <c r="P623" s="65"/>
      <c r="Q623" s="65"/>
      <c r="R623" s="65"/>
      <c r="S623" s="65"/>
      <c r="T623" s="65"/>
    </row>
    <row r="624" spans="3:20">
      <c r="C624" s="65"/>
      <c r="D624" s="65"/>
      <c r="E624" s="65"/>
      <c r="F624" s="65"/>
      <c r="G624" s="65"/>
      <c r="H624" s="65"/>
      <c r="I624" s="65"/>
      <c r="J624" s="65"/>
      <c r="K624" s="65"/>
      <c r="L624" s="65"/>
      <c r="M624" s="65"/>
      <c r="N624" s="65"/>
      <c r="O624" s="65"/>
      <c r="P624" s="65"/>
      <c r="Q624" s="65"/>
      <c r="R624" s="65"/>
      <c r="S624" s="65"/>
      <c r="T624" s="65"/>
    </row>
    <row r="625" spans="3:20">
      <c r="C625" s="65"/>
      <c r="D625" s="65"/>
      <c r="E625" s="65"/>
      <c r="F625" s="65"/>
      <c r="G625" s="65"/>
      <c r="H625" s="65"/>
      <c r="I625" s="65"/>
      <c r="J625" s="65"/>
      <c r="K625" s="65"/>
      <c r="L625" s="65"/>
      <c r="M625" s="65"/>
      <c r="N625" s="65"/>
      <c r="O625" s="65"/>
      <c r="P625" s="65"/>
      <c r="Q625" s="65"/>
      <c r="R625" s="65"/>
      <c r="S625" s="65"/>
      <c r="T625" s="65"/>
    </row>
    <row r="626" spans="3:20">
      <c r="C626" s="65"/>
      <c r="D626" s="65"/>
      <c r="E626" s="65"/>
      <c r="F626" s="65"/>
      <c r="G626" s="65"/>
      <c r="H626" s="65"/>
      <c r="I626" s="65"/>
      <c r="J626" s="65"/>
      <c r="K626" s="65"/>
      <c r="L626" s="65"/>
      <c r="M626" s="65"/>
      <c r="N626" s="65"/>
      <c r="O626" s="65"/>
      <c r="P626" s="65"/>
      <c r="Q626" s="65"/>
      <c r="R626" s="65"/>
      <c r="S626" s="65"/>
      <c r="T626" s="65"/>
    </row>
    <row r="627" spans="3:20">
      <c r="C627" s="65"/>
      <c r="D627" s="65"/>
      <c r="E627" s="65"/>
      <c r="F627" s="65"/>
      <c r="G627" s="65"/>
      <c r="H627" s="65"/>
      <c r="I627" s="65"/>
      <c r="J627" s="65"/>
      <c r="K627" s="65"/>
      <c r="L627" s="65"/>
      <c r="M627" s="65"/>
      <c r="N627" s="65"/>
      <c r="O627" s="65"/>
      <c r="P627" s="65"/>
      <c r="Q627" s="65"/>
      <c r="R627" s="65"/>
      <c r="S627" s="65"/>
      <c r="T627" s="65"/>
    </row>
    <row r="628" spans="3:20">
      <c r="C628" s="65"/>
      <c r="D628" s="65"/>
      <c r="E628" s="65"/>
      <c r="F628" s="65"/>
      <c r="G628" s="65"/>
      <c r="H628" s="65"/>
      <c r="I628" s="65"/>
      <c r="J628" s="65"/>
      <c r="K628" s="65"/>
      <c r="L628" s="65"/>
      <c r="M628" s="65"/>
      <c r="N628" s="65"/>
      <c r="O628" s="65"/>
      <c r="P628" s="65"/>
      <c r="Q628" s="65"/>
      <c r="R628" s="65"/>
      <c r="S628" s="65"/>
      <c r="T628" s="65"/>
    </row>
    <row r="629" spans="3:20">
      <c r="C629" s="65"/>
      <c r="D629" s="65"/>
      <c r="E629" s="65"/>
      <c r="F629" s="65"/>
      <c r="G629" s="65"/>
      <c r="H629" s="65"/>
      <c r="I629" s="65"/>
      <c r="J629" s="65"/>
      <c r="K629" s="65"/>
      <c r="L629" s="65"/>
      <c r="M629" s="65"/>
      <c r="N629" s="65"/>
      <c r="O629" s="65"/>
      <c r="P629" s="65"/>
      <c r="Q629" s="65"/>
      <c r="R629" s="65"/>
      <c r="S629" s="65"/>
      <c r="T629" s="65"/>
    </row>
    <row r="630" spans="3:20">
      <c r="C630" s="65"/>
      <c r="D630" s="65"/>
      <c r="E630" s="65"/>
      <c r="F630" s="65"/>
      <c r="G630" s="65"/>
      <c r="H630" s="65"/>
      <c r="I630" s="65"/>
      <c r="J630" s="65"/>
      <c r="K630" s="65"/>
      <c r="L630" s="65"/>
      <c r="M630" s="65"/>
      <c r="N630" s="65"/>
      <c r="O630" s="65"/>
      <c r="P630" s="65"/>
      <c r="Q630" s="65"/>
      <c r="R630" s="65"/>
      <c r="S630" s="65"/>
      <c r="T630" s="65"/>
    </row>
    <row r="631" spans="3:20">
      <c r="C631" s="65"/>
      <c r="D631" s="65"/>
      <c r="E631" s="65"/>
      <c r="F631" s="65"/>
      <c r="G631" s="65"/>
      <c r="H631" s="65"/>
      <c r="I631" s="65"/>
      <c r="J631" s="65"/>
      <c r="K631" s="65"/>
      <c r="L631" s="65"/>
      <c r="M631" s="65"/>
      <c r="N631" s="65"/>
      <c r="O631" s="65"/>
      <c r="P631" s="65"/>
      <c r="Q631" s="65"/>
      <c r="R631" s="65"/>
      <c r="S631" s="65"/>
      <c r="T631" s="65"/>
    </row>
    <row r="632" spans="3:20">
      <c r="C632" s="65"/>
      <c r="D632" s="65"/>
      <c r="E632" s="65"/>
      <c r="F632" s="65"/>
      <c r="G632" s="65"/>
      <c r="H632" s="65"/>
      <c r="I632" s="65"/>
      <c r="J632" s="65"/>
      <c r="K632" s="65"/>
      <c r="L632" s="65"/>
      <c r="M632" s="65"/>
      <c r="N632" s="65"/>
      <c r="O632" s="65"/>
      <c r="P632" s="65"/>
      <c r="Q632" s="65"/>
      <c r="R632" s="65"/>
      <c r="S632" s="65"/>
      <c r="T632" s="65"/>
    </row>
    <row r="633" spans="3:20">
      <c r="C633" s="65"/>
      <c r="D633" s="65"/>
      <c r="E633" s="65"/>
      <c r="F633" s="65"/>
      <c r="G633" s="65"/>
      <c r="H633" s="65"/>
      <c r="I633" s="65"/>
      <c r="J633" s="65"/>
      <c r="K633" s="65"/>
      <c r="L633" s="65"/>
      <c r="M633" s="65"/>
      <c r="N633" s="65"/>
      <c r="O633" s="65"/>
      <c r="P633" s="65"/>
      <c r="Q633" s="65"/>
      <c r="R633" s="65"/>
      <c r="S633" s="65"/>
      <c r="T633" s="65"/>
    </row>
    <row r="634" spans="3:20">
      <c r="C634" s="65"/>
      <c r="D634" s="65"/>
      <c r="E634" s="65"/>
      <c r="F634" s="65"/>
      <c r="G634" s="65"/>
      <c r="H634" s="65"/>
      <c r="I634" s="65"/>
      <c r="J634" s="65"/>
      <c r="K634" s="65"/>
      <c r="L634" s="65"/>
      <c r="M634" s="65"/>
      <c r="N634" s="65"/>
      <c r="O634" s="65"/>
      <c r="P634" s="65"/>
      <c r="Q634" s="65"/>
      <c r="R634" s="65"/>
      <c r="S634" s="65"/>
      <c r="T634" s="65"/>
    </row>
    <row r="635" spans="3:20">
      <c r="C635" s="65"/>
      <c r="D635" s="65"/>
      <c r="E635" s="65"/>
      <c r="F635" s="65"/>
      <c r="G635" s="65"/>
      <c r="H635" s="65"/>
      <c r="I635" s="65"/>
      <c r="J635" s="65"/>
      <c r="K635" s="65"/>
      <c r="L635" s="65"/>
      <c r="M635" s="65"/>
      <c r="N635" s="65"/>
      <c r="O635" s="65"/>
      <c r="P635" s="65"/>
      <c r="Q635" s="65"/>
      <c r="R635" s="65"/>
      <c r="S635" s="65"/>
      <c r="T635" s="65"/>
    </row>
    <row r="636" spans="3:20">
      <c r="C636" s="65"/>
      <c r="D636" s="65"/>
      <c r="E636" s="65"/>
      <c r="F636" s="65"/>
      <c r="G636" s="65"/>
      <c r="H636" s="65"/>
      <c r="I636" s="65"/>
      <c r="J636" s="65"/>
      <c r="K636" s="65"/>
      <c r="L636" s="65"/>
      <c r="M636" s="65"/>
      <c r="N636" s="65"/>
      <c r="O636" s="65"/>
      <c r="P636" s="65"/>
      <c r="Q636" s="65"/>
      <c r="R636" s="65"/>
      <c r="S636" s="65"/>
      <c r="T636" s="65"/>
    </row>
    <row r="637" spans="3:20">
      <c r="C637" s="65"/>
      <c r="D637" s="65"/>
      <c r="E637" s="65"/>
      <c r="F637" s="65"/>
      <c r="G637" s="65"/>
      <c r="H637" s="65"/>
      <c r="I637" s="65"/>
      <c r="J637" s="65"/>
      <c r="K637" s="65"/>
      <c r="L637" s="65"/>
      <c r="M637" s="65"/>
      <c r="N637" s="65"/>
      <c r="O637" s="65"/>
      <c r="P637" s="65"/>
      <c r="Q637" s="65"/>
      <c r="R637" s="65"/>
      <c r="S637" s="65"/>
      <c r="T637" s="65"/>
    </row>
    <row r="638" spans="3:20">
      <c r="C638" s="65"/>
      <c r="D638" s="65"/>
      <c r="E638" s="65"/>
      <c r="F638" s="65"/>
      <c r="G638" s="65"/>
      <c r="H638" s="65"/>
      <c r="I638" s="65"/>
      <c r="J638" s="65"/>
      <c r="K638" s="65"/>
      <c r="L638" s="65"/>
      <c r="M638" s="65"/>
      <c r="N638" s="65"/>
      <c r="O638" s="65"/>
      <c r="P638" s="65"/>
      <c r="Q638" s="65"/>
      <c r="R638" s="65"/>
      <c r="S638" s="65"/>
      <c r="T638" s="65"/>
    </row>
    <row r="639" spans="3:20">
      <c r="C639" s="65"/>
      <c r="D639" s="65"/>
      <c r="E639" s="65"/>
      <c r="F639" s="65"/>
      <c r="G639" s="65"/>
      <c r="H639" s="65"/>
      <c r="I639" s="65"/>
      <c r="J639" s="65"/>
      <c r="K639" s="65"/>
      <c r="L639" s="65"/>
      <c r="M639" s="65"/>
      <c r="N639" s="65"/>
      <c r="O639" s="65"/>
      <c r="P639" s="65"/>
      <c r="Q639" s="65"/>
      <c r="R639" s="65"/>
      <c r="S639" s="65"/>
      <c r="T639" s="65"/>
    </row>
    <row r="640" spans="3:20">
      <c r="C640" s="65"/>
      <c r="D640" s="65"/>
      <c r="E640" s="65"/>
      <c r="F640" s="65"/>
      <c r="G640" s="65"/>
      <c r="H640" s="65"/>
      <c r="I640" s="65"/>
      <c r="J640" s="65"/>
      <c r="K640" s="65"/>
      <c r="L640" s="65"/>
      <c r="M640" s="65"/>
      <c r="N640" s="65"/>
      <c r="O640" s="65"/>
      <c r="P640" s="65"/>
      <c r="Q640" s="65"/>
      <c r="R640" s="65"/>
      <c r="S640" s="65"/>
      <c r="T640" s="65"/>
    </row>
    <row r="641" spans="3:20">
      <c r="C641" s="65"/>
      <c r="D641" s="65"/>
      <c r="E641" s="65"/>
      <c r="F641" s="65"/>
      <c r="G641" s="65"/>
      <c r="H641" s="65"/>
      <c r="I641" s="65"/>
      <c r="J641" s="65"/>
      <c r="K641" s="65"/>
      <c r="L641" s="65"/>
      <c r="M641" s="65"/>
      <c r="N641" s="65"/>
      <c r="O641" s="65"/>
      <c r="P641" s="65"/>
      <c r="Q641" s="65"/>
      <c r="R641" s="65"/>
      <c r="S641" s="65"/>
      <c r="T641" s="65"/>
    </row>
    <row r="642" spans="3:20">
      <c r="C642" s="65"/>
      <c r="D642" s="65"/>
      <c r="E642" s="65"/>
      <c r="F642" s="65"/>
      <c r="G642" s="65"/>
      <c r="H642" s="65"/>
      <c r="I642" s="65"/>
      <c r="J642" s="65"/>
      <c r="K642" s="65"/>
      <c r="L642" s="65"/>
      <c r="M642" s="65"/>
      <c r="N642" s="65"/>
      <c r="O642" s="65"/>
      <c r="P642" s="65"/>
      <c r="Q642" s="65"/>
      <c r="R642" s="65"/>
      <c r="S642" s="65"/>
      <c r="T642" s="65"/>
    </row>
    <row r="643" spans="3:20">
      <c r="C643" s="65"/>
      <c r="D643" s="65"/>
      <c r="E643" s="65"/>
      <c r="F643" s="65"/>
      <c r="G643" s="65"/>
      <c r="H643" s="65"/>
      <c r="I643" s="65"/>
      <c r="J643" s="65"/>
      <c r="K643" s="65"/>
      <c r="L643" s="65"/>
      <c r="M643" s="65"/>
      <c r="N643" s="65"/>
      <c r="O643" s="65"/>
      <c r="P643" s="65"/>
      <c r="Q643" s="65"/>
      <c r="R643" s="65"/>
      <c r="S643" s="65"/>
      <c r="T643" s="65"/>
    </row>
    <row r="644" spans="3:20">
      <c r="C644" s="65"/>
      <c r="D644" s="65"/>
      <c r="E644" s="65"/>
      <c r="F644" s="65"/>
      <c r="G644" s="65"/>
      <c r="H644" s="65"/>
      <c r="I644" s="65"/>
      <c r="J644" s="65"/>
      <c r="K644" s="65"/>
      <c r="L644" s="65"/>
      <c r="M644" s="65"/>
      <c r="N644" s="65"/>
      <c r="O644" s="65"/>
      <c r="P644" s="65"/>
      <c r="Q644" s="65"/>
      <c r="R644" s="65"/>
      <c r="S644" s="65"/>
      <c r="T644" s="65"/>
    </row>
    <row r="645" spans="3:20">
      <c r="C645" s="65"/>
      <c r="D645" s="65"/>
      <c r="E645" s="65"/>
      <c r="F645" s="65"/>
      <c r="G645" s="65"/>
      <c r="H645" s="65"/>
      <c r="I645" s="65"/>
      <c r="J645" s="65"/>
      <c r="K645" s="65"/>
      <c r="L645" s="65"/>
      <c r="M645" s="65"/>
      <c r="N645" s="65"/>
      <c r="O645" s="65"/>
      <c r="P645" s="65"/>
      <c r="Q645" s="65"/>
      <c r="R645" s="65"/>
      <c r="S645" s="65"/>
      <c r="T645" s="65"/>
    </row>
    <row r="646" spans="3:20">
      <c r="C646" s="65"/>
      <c r="D646" s="65"/>
      <c r="E646" s="65"/>
      <c r="F646" s="65"/>
      <c r="G646" s="65"/>
      <c r="H646" s="65"/>
      <c r="I646" s="65"/>
      <c r="J646" s="65"/>
      <c r="K646" s="65"/>
      <c r="L646" s="65"/>
      <c r="M646" s="65"/>
      <c r="N646" s="65"/>
      <c r="O646" s="65"/>
      <c r="P646" s="65"/>
      <c r="Q646" s="65"/>
      <c r="R646" s="65"/>
      <c r="S646" s="65"/>
      <c r="T646" s="65"/>
    </row>
    <row r="647" spans="3:20">
      <c r="C647" s="65"/>
      <c r="D647" s="65"/>
      <c r="E647" s="65"/>
      <c r="F647" s="65"/>
      <c r="G647" s="65"/>
      <c r="H647" s="65"/>
      <c r="I647" s="65"/>
      <c r="J647" s="65"/>
      <c r="K647" s="65"/>
      <c r="L647" s="65"/>
      <c r="M647" s="65"/>
      <c r="N647" s="65"/>
      <c r="O647" s="65"/>
      <c r="P647" s="65"/>
      <c r="Q647" s="65"/>
      <c r="R647" s="65"/>
      <c r="S647" s="65"/>
      <c r="T647" s="65"/>
    </row>
    <row r="648" spans="3:20">
      <c r="C648" s="65"/>
      <c r="D648" s="65"/>
      <c r="E648" s="65"/>
      <c r="F648" s="65"/>
      <c r="G648" s="65"/>
      <c r="H648" s="65"/>
      <c r="I648" s="65"/>
      <c r="J648" s="65"/>
      <c r="K648" s="65"/>
      <c r="L648" s="65"/>
      <c r="M648" s="65"/>
      <c r="N648" s="65"/>
      <c r="O648" s="65"/>
      <c r="P648" s="65"/>
      <c r="Q648" s="65"/>
      <c r="R648" s="65"/>
      <c r="S648" s="65"/>
      <c r="T648" s="65"/>
    </row>
    <row r="649" spans="3:20">
      <c r="C649" s="65"/>
      <c r="D649" s="65"/>
      <c r="E649" s="65"/>
      <c r="F649" s="65"/>
      <c r="G649" s="65"/>
      <c r="H649" s="65"/>
      <c r="I649" s="65"/>
      <c r="J649" s="65"/>
      <c r="K649" s="65"/>
      <c r="L649" s="65"/>
      <c r="M649" s="65"/>
      <c r="N649" s="65"/>
      <c r="O649" s="65"/>
      <c r="P649" s="65"/>
      <c r="Q649" s="65"/>
      <c r="R649" s="65"/>
      <c r="S649" s="65"/>
      <c r="T649" s="65"/>
    </row>
    <row r="650" spans="3:20">
      <c r="C650" s="65"/>
      <c r="D650" s="65"/>
      <c r="E650" s="65"/>
      <c r="F650" s="65"/>
      <c r="G650" s="65"/>
      <c r="H650" s="65"/>
      <c r="I650" s="65"/>
      <c r="J650" s="65"/>
      <c r="K650" s="65"/>
      <c r="L650" s="65"/>
      <c r="M650" s="65"/>
      <c r="N650" s="65"/>
      <c r="O650" s="65"/>
      <c r="P650" s="65"/>
      <c r="Q650" s="65"/>
      <c r="R650" s="65"/>
      <c r="S650" s="65"/>
      <c r="T650" s="65"/>
    </row>
    <row r="651" spans="3:20">
      <c r="C651" s="65"/>
      <c r="D651" s="65"/>
      <c r="E651" s="65"/>
      <c r="F651" s="65"/>
      <c r="G651" s="65"/>
      <c r="H651" s="65"/>
      <c r="I651" s="65"/>
      <c r="J651" s="65"/>
      <c r="K651" s="65"/>
      <c r="L651" s="65"/>
      <c r="M651" s="65"/>
      <c r="N651" s="65"/>
      <c r="O651" s="65"/>
      <c r="P651" s="65"/>
      <c r="Q651" s="65"/>
      <c r="R651" s="65"/>
      <c r="S651" s="65"/>
      <c r="T651" s="65"/>
    </row>
    <row r="652" spans="3:20">
      <c r="C652" s="65"/>
      <c r="D652" s="65"/>
      <c r="E652" s="65"/>
      <c r="F652" s="65"/>
      <c r="G652" s="65"/>
      <c r="H652" s="65"/>
      <c r="I652" s="65"/>
      <c r="J652" s="65"/>
      <c r="K652" s="65"/>
      <c r="L652" s="65"/>
      <c r="M652" s="65"/>
      <c r="N652" s="65"/>
      <c r="O652" s="65"/>
      <c r="P652" s="65"/>
      <c r="Q652" s="65"/>
      <c r="R652" s="65"/>
      <c r="S652" s="65"/>
      <c r="T652" s="65"/>
    </row>
    <row r="653" spans="3:20">
      <c r="C653" s="65"/>
      <c r="D653" s="65"/>
      <c r="E653" s="65"/>
      <c r="F653" s="65"/>
      <c r="G653" s="65"/>
      <c r="H653" s="65"/>
      <c r="I653" s="65"/>
      <c r="J653" s="65"/>
      <c r="K653" s="65"/>
      <c r="L653" s="65"/>
      <c r="M653" s="65"/>
      <c r="N653" s="65"/>
      <c r="O653" s="65"/>
      <c r="P653" s="65"/>
      <c r="Q653" s="65"/>
      <c r="R653" s="65"/>
      <c r="S653" s="65"/>
      <c r="T653" s="65"/>
    </row>
    <row r="654" spans="3:20">
      <c r="C654" s="65"/>
      <c r="D654" s="65"/>
      <c r="E654" s="65"/>
      <c r="F654" s="65"/>
      <c r="G654" s="65"/>
      <c r="H654" s="65"/>
      <c r="I654" s="65"/>
      <c r="J654" s="65"/>
      <c r="K654" s="65"/>
      <c r="L654" s="65"/>
      <c r="M654" s="65"/>
      <c r="N654" s="65"/>
      <c r="O654" s="65"/>
      <c r="P654" s="65"/>
      <c r="Q654" s="65"/>
      <c r="R654" s="65"/>
      <c r="S654" s="65"/>
      <c r="T654" s="65"/>
    </row>
    <row r="655" spans="3:20">
      <c r="C655" s="65"/>
      <c r="D655" s="65"/>
      <c r="E655" s="65"/>
      <c r="F655" s="65"/>
      <c r="G655" s="65"/>
      <c r="H655" s="65"/>
      <c r="I655" s="65"/>
      <c r="J655" s="65"/>
      <c r="K655" s="65"/>
      <c r="L655" s="65"/>
      <c r="M655" s="65"/>
      <c r="N655" s="65"/>
      <c r="O655" s="65"/>
      <c r="P655" s="65"/>
      <c r="Q655" s="65"/>
      <c r="R655" s="65"/>
      <c r="S655" s="65"/>
      <c r="T655" s="65"/>
    </row>
    <row r="656" spans="3:20">
      <c r="C656" s="65"/>
      <c r="D656" s="65"/>
      <c r="E656" s="65"/>
      <c r="F656" s="65"/>
      <c r="G656" s="65"/>
      <c r="H656" s="65"/>
      <c r="I656" s="65"/>
      <c r="J656" s="65"/>
      <c r="K656" s="65"/>
      <c r="L656" s="65"/>
      <c r="M656" s="65"/>
      <c r="N656" s="65"/>
      <c r="O656" s="65"/>
      <c r="P656" s="65"/>
      <c r="Q656" s="65"/>
      <c r="R656" s="65"/>
      <c r="S656" s="65"/>
      <c r="T656" s="65"/>
    </row>
    <row r="657" spans="3:20">
      <c r="C657" s="65"/>
      <c r="D657" s="65"/>
      <c r="E657" s="65"/>
      <c r="F657" s="65"/>
      <c r="G657" s="65"/>
      <c r="H657" s="65"/>
      <c r="I657" s="65"/>
      <c r="J657" s="65"/>
      <c r="K657" s="65"/>
      <c r="L657" s="65"/>
      <c r="M657" s="65"/>
      <c r="N657" s="65"/>
      <c r="O657" s="65"/>
      <c r="P657" s="65"/>
      <c r="Q657" s="65"/>
      <c r="R657" s="65"/>
      <c r="S657" s="65"/>
      <c r="T657" s="65"/>
    </row>
    <row r="658" spans="3:20">
      <c r="C658" s="65"/>
      <c r="D658" s="65"/>
      <c r="E658" s="65"/>
      <c r="F658" s="65"/>
      <c r="G658" s="65"/>
      <c r="H658" s="65"/>
      <c r="I658" s="65"/>
      <c r="J658" s="65"/>
      <c r="K658" s="65"/>
      <c r="L658" s="65"/>
      <c r="M658" s="65"/>
      <c r="N658" s="65"/>
      <c r="O658" s="65"/>
      <c r="P658" s="65"/>
      <c r="Q658" s="65"/>
      <c r="R658" s="65"/>
      <c r="S658" s="65"/>
      <c r="T658" s="65"/>
    </row>
    <row r="659" spans="3:20">
      <c r="C659" s="65"/>
      <c r="D659" s="65"/>
      <c r="E659" s="65"/>
      <c r="F659" s="65"/>
      <c r="G659" s="65"/>
      <c r="H659" s="65"/>
      <c r="I659" s="65"/>
      <c r="J659" s="65"/>
      <c r="K659" s="65"/>
      <c r="L659" s="65"/>
      <c r="M659" s="65"/>
      <c r="N659" s="65"/>
      <c r="O659" s="65"/>
      <c r="P659" s="65"/>
      <c r="Q659" s="65"/>
      <c r="R659" s="65"/>
      <c r="S659" s="65"/>
      <c r="T659" s="65"/>
    </row>
    <row r="660" spans="3:20">
      <c r="C660" s="65"/>
      <c r="D660" s="65"/>
      <c r="E660" s="65"/>
      <c r="F660" s="65"/>
      <c r="G660" s="65"/>
      <c r="H660" s="65"/>
      <c r="I660" s="65"/>
      <c r="J660" s="65"/>
      <c r="K660" s="65"/>
      <c r="L660" s="65"/>
      <c r="M660" s="65"/>
      <c r="N660" s="65"/>
      <c r="O660" s="65"/>
      <c r="P660" s="65"/>
      <c r="Q660" s="65"/>
      <c r="R660" s="65"/>
      <c r="S660" s="65"/>
      <c r="T660" s="65"/>
    </row>
    <row r="661" spans="3:20">
      <c r="C661" s="65"/>
      <c r="D661" s="65"/>
      <c r="E661" s="65"/>
      <c r="F661" s="65"/>
      <c r="G661" s="65"/>
      <c r="H661" s="65"/>
      <c r="I661" s="65"/>
      <c r="J661" s="65"/>
      <c r="K661" s="65"/>
      <c r="L661" s="65"/>
      <c r="M661" s="65"/>
      <c r="N661" s="65"/>
      <c r="O661" s="65"/>
      <c r="P661" s="65"/>
      <c r="Q661" s="65"/>
      <c r="R661" s="65"/>
      <c r="S661" s="65"/>
      <c r="T661" s="65"/>
    </row>
    <row r="662" spans="3:20">
      <c r="C662" s="65"/>
      <c r="D662" s="65"/>
      <c r="E662" s="65"/>
      <c r="F662" s="65"/>
      <c r="G662" s="65"/>
      <c r="H662" s="65"/>
      <c r="I662" s="65"/>
      <c r="J662" s="65"/>
      <c r="K662" s="65"/>
      <c r="L662" s="65"/>
      <c r="M662" s="65"/>
      <c r="N662" s="65"/>
      <c r="O662" s="65"/>
      <c r="P662" s="65"/>
      <c r="Q662" s="65"/>
      <c r="R662" s="65"/>
      <c r="S662" s="65"/>
      <c r="T662" s="65"/>
    </row>
    <row r="663" spans="3:20">
      <c r="C663" s="65"/>
      <c r="D663" s="65"/>
      <c r="E663" s="65"/>
      <c r="F663" s="65"/>
      <c r="G663" s="65"/>
      <c r="H663" s="65"/>
      <c r="I663" s="65"/>
      <c r="J663" s="65"/>
      <c r="K663" s="65"/>
      <c r="L663" s="65"/>
      <c r="M663" s="65"/>
      <c r="N663" s="65"/>
      <c r="O663" s="65"/>
      <c r="P663" s="65"/>
      <c r="Q663" s="65"/>
      <c r="R663" s="65"/>
      <c r="S663" s="65"/>
      <c r="T663" s="65"/>
    </row>
    <row r="664" spans="3:20">
      <c r="C664" s="65"/>
      <c r="D664" s="65"/>
      <c r="E664" s="65"/>
      <c r="F664" s="65"/>
      <c r="G664" s="65"/>
      <c r="H664" s="65"/>
      <c r="I664" s="65"/>
      <c r="J664" s="65"/>
      <c r="K664" s="65"/>
      <c r="L664" s="65"/>
      <c r="M664" s="65"/>
      <c r="N664" s="65"/>
      <c r="O664" s="65"/>
      <c r="P664" s="65"/>
      <c r="Q664" s="65"/>
      <c r="R664" s="65"/>
      <c r="S664" s="65"/>
      <c r="T664" s="65"/>
    </row>
    <row r="665" spans="3:20">
      <c r="C665" s="65"/>
      <c r="D665" s="65"/>
      <c r="E665" s="65"/>
      <c r="F665" s="65"/>
      <c r="G665" s="65"/>
      <c r="H665" s="65"/>
      <c r="I665" s="65"/>
      <c r="J665" s="65"/>
      <c r="K665" s="65"/>
      <c r="L665" s="65"/>
      <c r="M665" s="65"/>
      <c r="N665" s="65"/>
      <c r="O665" s="65"/>
      <c r="P665" s="65"/>
      <c r="Q665" s="65"/>
      <c r="R665" s="65"/>
      <c r="S665" s="65"/>
      <c r="T665" s="65"/>
    </row>
    <row r="666" spans="3:20">
      <c r="C666" s="65"/>
      <c r="D666" s="65"/>
      <c r="E666" s="65"/>
      <c r="F666" s="65"/>
      <c r="G666" s="65"/>
      <c r="H666" s="65"/>
      <c r="I666" s="65"/>
      <c r="J666" s="65"/>
      <c r="K666" s="65"/>
      <c r="L666" s="65"/>
      <c r="M666" s="65"/>
      <c r="N666" s="65"/>
      <c r="O666" s="65"/>
      <c r="P666" s="65"/>
      <c r="Q666" s="65"/>
      <c r="R666" s="65"/>
      <c r="S666" s="65"/>
      <c r="T666" s="65"/>
    </row>
    <row r="667" spans="3:20">
      <c r="C667" s="65"/>
      <c r="D667" s="65"/>
      <c r="E667" s="65"/>
      <c r="F667" s="65"/>
      <c r="G667" s="65"/>
      <c r="H667" s="65"/>
      <c r="I667" s="65"/>
      <c r="J667" s="65"/>
      <c r="K667" s="65"/>
      <c r="L667" s="65"/>
      <c r="M667" s="65"/>
      <c r="N667" s="65"/>
      <c r="O667" s="65"/>
      <c r="P667" s="65"/>
      <c r="Q667" s="65"/>
      <c r="R667" s="65"/>
      <c r="S667" s="65"/>
      <c r="T667" s="65"/>
    </row>
    <row r="668" spans="3:20">
      <c r="C668" s="65"/>
      <c r="D668" s="65"/>
      <c r="E668" s="65"/>
      <c r="F668" s="65"/>
      <c r="G668" s="65"/>
      <c r="H668" s="65"/>
      <c r="I668" s="65"/>
      <c r="J668" s="65"/>
      <c r="K668" s="65"/>
      <c r="L668" s="65"/>
      <c r="M668" s="65"/>
      <c r="N668" s="65"/>
      <c r="O668" s="65"/>
      <c r="P668" s="65"/>
      <c r="Q668" s="65"/>
      <c r="R668" s="65"/>
      <c r="S668" s="65"/>
      <c r="T668" s="65"/>
    </row>
    <row r="669" spans="3:20">
      <c r="C669" s="65"/>
      <c r="D669" s="65"/>
      <c r="E669" s="65"/>
      <c r="F669" s="65"/>
      <c r="G669" s="65"/>
      <c r="H669" s="65"/>
      <c r="I669" s="65"/>
      <c r="J669" s="65"/>
      <c r="K669" s="65"/>
      <c r="L669" s="65"/>
      <c r="M669" s="65"/>
      <c r="N669" s="65"/>
      <c r="O669" s="65"/>
      <c r="P669" s="65"/>
      <c r="Q669" s="65"/>
      <c r="R669" s="65"/>
      <c r="S669" s="65"/>
      <c r="T669" s="65"/>
    </row>
    <row r="670" spans="3:20">
      <c r="C670" s="65"/>
      <c r="D670" s="65"/>
      <c r="E670" s="65"/>
      <c r="F670" s="65"/>
      <c r="G670" s="65"/>
      <c r="H670" s="65"/>
      <c r="I670" s="65"/>
      <c r="J670" s="65"/>
      <c r="K670" s="65"/>
      <c r="L670" s="65"/>
      <c r="M670" s="65"/>
      <c r="N670" s="65"/>
      <c r="O670" s="65"/>
      <c r="P670" s="65"/>
      <c r="Q670" s="65"/>
      <c r="R670" s="65"/>
      <c r="S670" s="65"/>
      <c r="T670" s="65"/>
    </row>
    <row r="671" spans="3:20">
      <c r="C671" s="65"/>
      <c r="D671" s="65"/>
      <c r="E671" s="65"/>
      <c r="F671" s="65"/>
      <c r="G671" s="65"/>
      <c r="H671" s="65"/>
      <c r="I671" s="65"/>
      <c r="J671" s="65"/>
      <c r="K671" s="65"/>
      <c r="L671" s="65"/>
      <c r="M671" s="65"/>
      <c r="N671" s="65"/>
      <c r="O671" s="65"/>
      <c r="P671" s="65"/>
      <c r="Q671" s="65"/>
      <c r="R671" s="65"/>
      <c r="S671" s="65"/>
      <c r="T671" s="65"/>
    </row>
    <row r="672" spans="3:20">
      <c r="C672" s="65"/>
      <c r="D672" s="65"/>
      <c r="E672" s="65"/>
      <c r="F672" s="65"/>
      <c r="G672" s="65"/>
      <c r="H672" s="65"/>
      <c r="I672" s="65"/>
      <c r="J672" s="65"/>
      <c r="K672" s="65"/>
      <c r="L672" s="65"/>
      <c r="M672" s="65"/>
      <c r="N672" s="65"/>
      <c r="O672" s="65"/>
      <c r="P672" s="65"/>
      <c r="Q672" s="65"/>
      <c r="R672" s="65"/>
      <c r="S672" s="65"/>
      <c r="T672" s="65"/>
    </row>
    <row r="673" spans="3:20">
      <c r="C673" s="65"/>
      <c r="D673" s="65"/>
      <c r="E673" s="65"/>
      <c r="F673" s="65"/>
      <c r="G673" s="65"/>
      <c r="H673" s="65"/>
      <c r="I673" s="65"/>
      <c r="J673" s="65"/>
      <c r="K673" s="65"/>
      <c r="L673" s="65"/>
      <c r="M673" s="65"/>
      <c r="N673" s="65"/>
      <c r="O673" s="65"/>
      <c r="P673" s="65"/>
      <c r="Q673" s="65"/>
      <c r="R673" s="65"/>
      <c r="S673" s="65"/>
      <c r="T673" s="65"/>
    </row>
    <row r="674" spans="3:20">
      <c r="C674" s="65"/>
      <c r="D674" s="65"/>
      <c r="E674" s="65"/>
      <c r="F674" s="65"/>
      <c r="G674" s="65"/>
      <c r="H674" s="65"/>
      <c r="I674" s="65"/>
      <c r="J674" s="65"/>
      <c r="K674" s="65"/>
      <c r="L674" s="65"/>
      <c r="M674" s="65"/>
      <c r="N674" s="65"/>
      <c r="O674" s="65"/>
      <c r="P674" s="65"/>
      <c r="Q674" s="65"/>
      <c r="R674" s="65"/>
      <c r="S674" s="65"/>
      <c r="T674" s="65"/>
    </row>
    <row r="675" spans="3:20">
      <c r="C675" s="65"/>
      <c r="D675" s="65"/>
      <c r="E675" s="65"/>
      <c r="F675" s="65"/>
      <c r="G675" s="65"/>
      <c r="H675" s="65"/>
      <c r="I675" s="65"/>
      <c r="J675" s="65"/>
      <c r="K675" s="65"/>
      <c r="L675" s="65"/>
      <c r="M675" s="65"/>
      <c r="N675" s="65"/>
      <c r="O675" s="65"/>
      <c r="P675" s="65"/>
      <c r="Q675" s="65"/>
      <c r="R675" s="65"/>
      <c r="S675" s="65"/>
      <c r="T675" s="65"/>
    </row>
    <row r="676" spans="3:20">
      <c r="C676" s="65"/>
      <c r="D676" s="65"/>
      <c r="E676" s="65"/>
      <c r="F676" s="65"/>
      <c r="G676" s="65"/>
      <c r="H676" s="65"/>
      <c r="I676" s="65"/>
      <c r="J676" s="65"/>
      <c r="K676" s="65"/>
      <c r="L676" s="65"/>
      <c r="M676" s="65"/>
      <c r="N676" s="65"/>
      <c r="O676" s="65"/>
      <c r="P676" s="65"/>
      <c r="Q676" s="65"/>
      <c r="R676" s="65"/>
      <c r="S676" s="65"/>
      <c r="T676" s="65"/>
    </row>
    <row r="677" spans="3:20">
      <c r="C677" s="65"/>
      <c r="D677" s="65"/>
      <c r="E677" s="65"/>
      <c r="F677" s="65"/>
      <c r="G677" s="65"/>
      <c r="H677" s="65"/>
      <c r="I677" s="65"/>
      <c r="J677" s="65"/>
      <c r="K677" s="65"/>
      <c r="L677" s="65"/>
      <c r="M677" s="65"/>
      <c r="N677" s="65"/>
      <c r="O677" s="65"/>
      <c r="P677" s="65"/>
      <c r="Q677" s="65"/>
      <c r="R677" s="65"/>
      <c r="S677" s="65"/>
      <c r="T677" s="65"/>
    </row>
    <row r="678" spans="3:20">
      <c r="C678" s="65"/>
      <c r="D678" s="65"/>
      <c r="E678" s="65"/>
      <c r="F678" s="65"/>
      <c r="G678" s="65"/>
      <c r="H678" s="65"/>
      <c r="I678" s="65"/>
      <c r="J678" s="65"/>
      <c r="K678" s="65"/>
      <c r="L678" s="65"/>
      <c r="M678" s="65"/>
      <c r="N678" s="65"/>
      <c r="O678" s="65"/>
      <c r="P678" s="65"/>
      <c r="Q678" s="65"/>
      <c r="R678" s="65"/>
      <c r="S678" s="65"/>
      <c r="T678" s="65"/>
    </row>
    <row r="679" spans="3:20">
      <c r="C679" s="65"/>
      <c r="D679" s="65"/>
      <c r="E679" s="65"/>
      <c r="F679" s="65"/>
      <c r="G679" s="65"/>
      <c r="H679" s="65"/>
      <c r="I679" s="65"/>
      <c r="J679" s="65"/>
      <c r="K679" s="65"/>
      <c r="L679" s="65"/>
      <c r="M679" s="65"/>
      <c r="N679" s="65"/>
      <c r="O679" s="65"/>
      <c r="P679" s="65"/>
      <c r="Q679" s="65"/>
      <c r="R679" s="65"/>
      <c r="S679" s="65"/>
      <c r="T679" s="65"/>
    </row>
    <row r="680" spans="3:20">
      <c r="C680" s="65"/>
      <c r="D680" s="65"/>
      <c r="E680" s="65"/>
      <c r="F680" s="65"/>
      <c r="G680" s="65"/>
      <c r="H680" s="65"/>
      <c r="I680" s="65"/>
      <c r="J680" s="65"/>
      <c r="K680" s="65"/>
      <c r="L680" s="65"/>
      <c r="M680" s="65"/>
      <c r="N680" s="65"/>
      <c r="O680" s="65"/>
      <c r="P680" s="65"/>
      <c r="Q680" s="65"/>
      <c r="R680" s="65"/>
      <c r="S680" s="65"/>
      <c r="T680" s="65"/>
    </row>
    <row r="681" spans="3:20">
      <c r="C681" s="65"/>
      <c r="D681" s="65"/>
      <c r="E681" s="65"/>
      <c r="F681" s="65"/>
      <c r="G681" s="65"/>
      <c r="H681" s="65"/>
      <c r="I681" s="65"/>
      <c r="J681" s="65"/>
      <c r="K681" s="65"/>
      <c r="L681" s="65"/>
      <c r="M681" s="65"/>
      <c r="N681" s="65"/>
      <c r="O681" s="65"/>
      <c r="P681" s="65"/>
      <c r="Q681" s="65"/>
      <c r="R681" s="65"/>
      <c r="S681" s="65"/>
      <c r="T681" s="65"/>
    </row>
    <row r="682" spans="3:20">
      <c r="C682" s="65"/>
      <c r="D682" s="65"/>
      <c r="E682" s="65"/>
      <c r="F682" s="65"/>
      <c r="G682" s="65"/>
      <c r="H682" s="65"/>
      <c r="I682" s="65"/>
      <c r="J682" s="65"/>
      <c r="K682" s="65"/>
      <c r="L682" s="65"/>
      <c r="M682" s="65"/>
      <c r="N682" s="65"/>
      <c r="O682" s="65"/>
      <c r="P682" s="65"/>
      <c r="Q682" s="65"/>
      <c r="R682" s="65"/>
      <c r="S682" s="65"/>
      <c r="T682" s="65"/>
    </row>
    <row r="683" spans="3:20">
      <c r="C683" s="65"/>
      <c r="D683" s="65"/>
      <c r="E683" s="65"/>
      <c r="F683" s="65"/>
      <c r="G683" s="65"/>
      <c r="H683" s="65"/>
      <c r="I683" s="65"/>
      <c r="J683" s="65"/>
      <c r="K683" s="65"/>
      <c r="L683" s="65"/>
      <c r="M683" s="65"/>
      <c r="N683" s="65"/>
      <c r="O683" s="65"/>
      <c r="P683" s="65"/>
      <c r="Q683" s="65"/>
      <c r="R683" s="65"/>
      <c r="S683" s="65"/>
      <c r="T683" s="65"/>
    </row>
    <row r="684" spans="3:20">
      <c r="C684" s="65"/>
      <c r="D684" s="65"/>
      <c r="E684" s="65"/>
      <c r="F684" s="65"/>
      <c r="G684" s="65"/>
      <c r="H684" s="65"/>
      <c r="I684" s="65"/>
      <c r="J684" s="65"/>
      <c r="K684" s="65"/>
      <c r="L684" s="65"/>
      <c r="M684" s="65"/>
      <c r="N684" s="65"/>
      <c r="O684" s="65"/>
      <c r="P684" s="65"/>
      <c r="Q684" s="65"/>
      <c r="R684" s="65"/>
      <c r="S684" s="65"/>
      <c r="T684" s="65"/>
    </row>
    <row r="685" spans="3:20">
      <c r="C685" s="65"/>
      <c r="D685" s="65"/>
      <c r="E685" s="65"/>
      <c r="F685" s="65"/>
      <c r="G685" s="65"/>
      <c r="H685" s="65"/>
      <c r="I685" s="65"/>
      <c r="J685" s="65"/>
      <c r="K685" s="65"/>
      <c r="L685" s="65"/>
      <c r="M685" s="65"/>
      <c r="N685" s="65"/>
      <c r="O685" s="65"/>
      <c r="P685" s="65"/>
      <c r="Q685" s="65"/>
      <c r="R685" s="65"/>
      <c r="S685" s="65"/>
      <c r="T685" s="65"/>
    </row>
    <row r="686" spans="3:20">
      <c r="C686" s="65"/>
      <c r="D686" s="65"/>
      <c r="E686" s="65"/>
      <c r="F686" s="65"/>
      <c r="G686" s="65"/>
      <c r="H686" s="65"/>
      <c r="I686" s="65"/>
      <c r="J686" s="65"/>
      <c r="K686" s="65"/>
      <c r="L686" s="65"/>
      <c r="M686" s="65"/>
      <c r="N686" s="65"/>
      <c r="O686" s="65"/>
      <c r="P686" s="65"/>
      <c r="Q686" s="65"/>
      <c r="R686" s="65"/>
      <c r="S686" s="65"/>
      <c r="T686" s="65"/>
    </row>
    <row r="687" spans="3:20">
      <c r="C687" s="65"/>
      <c r="D687" s="65"/>
      <c r="E687" s="65"/>
      <c r="F687" s="65"/>
      <c r="G687" s="65"/>
      <c r="H687" s="65"/>
      <c r="I687" s="65"/>
      <c r="J687" s="65"/>
      <c r="K687" s="65"/>
      <c r="L687" s="65"/>
      <c r="M687" s="65"/>
      <c r="N687" s="65"/>
      <c r="O687" s="65"/>
      <c r="P687" s="65"/>
      <c r="Q687" s="65"/>
      <c r="R687" s="65"/>
      <c r="S687" s="65"/>
      <c r="T687" s="65"/>
    </row>
    <row r="688" spans="3:20">
      <c r="C688" s="65"/>
      <c r="D688" s="65"/>
      <c r="E688" s="65"/>
      <c r="F688" s="65"/>
      <c r="G688" s="65"/>
      <c r="H688" s="65"/>
      <c r="I688" s="65"/>
      <c r="J688" s="65"/>
      <c r="K688" s="65"/>
      <c r="L688" s="65"/>
      <c r="M688" s="65"/>
      <c r="N688" s="65"/>
      <c r="O688" s="65"/>
      <c r="P688" s="65"/>
      <c r="Q688" s="65"/>
      <c r="R688" s="65"/>
      <c r="S688" s="65"/>
      <c r="T688" s="65"/>
    </row>
    <row r="689" spans="3:20">
      <c r="C689" s="65"/>
      <c r="D689" s="65"/>
      <c r="E689" s="65"/>
      <c r="F689" s="65"/>
      <c r="G689" s="65"/>
      <c r="H689" s="65"/>
      <c r="I689" s="65"/>
      <c r="J689" s="65"/>
      <c r="K689" s="65"/>
      <c r="L689" s="65"/>
      <c r="M689" s="65"/>
      <c r="N689" s="65"/>
      <c r="O689" s="65"/>
      <c r="P689" s="65"/>
      <c r="Q689" s="65"/>
      <c r="R689" s="65"/>
      <c r="S689" s="65"/>
      <c r="T689" s="65"/>
    </row>
    <row r="690" spans="3:20">
      <c r="C690" s="65"/>
      <c r="D690" s="65"/>
      <c r="E690" s="65"/>
      <c r="F690" s="65"/>
      <c r="G690" s="65"/>
      <c r="H690" s="65"/>
      <c r="I690" s="65"/>
      <c r="J690" s="65"/>
      <c r="K690" s="65"/>
      <c r="L690" s="65"/>
      <c r="M690" s="65"/>
      <c r="N690" s="65"/>
      <c r="O690" s="65"/>
      <c r="P690" s="65"/>
      <c r="Q690" s="65"/>
      <c r="R690" s="65"/>
      <c r="S690" s="65"/>
      <c r="T690" s="65"/>
    </row>
    <row r="691" spans="3:20">
      <c r="C691" s="65"/>
      <c r="D691" s="65"/>
      <c r="E691" s="65"/>
      <c r="F691" s="65"/>
      <c r="G691" s="65"/>
      <c r="H691" s="65"/>
      <c r="I691" s="65"/>
      <c r="J691" s="65"/>
      <c r="K691" s="65"/>
      <c r="L691" s="65"/>
      <c r="M691" s="65"/>
      <c r="N691" s="65"/>
      <c r="O691" s="65"/>
      <c r="P691" s="65"/>
      <c r="Q691" s="65"/>
      <c r="R691" s="65"/>
      <c r="S691" s="65"/>
      <c r="T691" s="65"/>
    </row>
    <row r="692" spans="3:20">
      <c r="C692" s="65"/>
      <c r="D692" s="65"/>
      <c r="E692" s="65"/>
      <c r="F692" s="65"/>
      <c r="G692" s="65"/>
      <c r="H692" s="65"/>
      <c r="I692" s="65"/>
      <c r="J692" s="65"/>
      <c r="K692" s="65"/>
      <c r="L692" s="65"/>
      <c r="M692" s="65"/>
      <c r="N692" s="65"/>
      <c r="O692" s="65"/>
      <c r="P692" s="65"/>
      <c r="Q692" s="65"/>
      <c r="R692" s="65"/>
      <c r="S692" s="65"/>
      <c r="T692" s="65"/>
    </row>
    <row r="693" spans="3:20">
      <c r="C693" s="65"/>
      <c r="D693" s="65"/>
      <c r="E693" s="65"/>
      <c r="F693" s="65"/>
      <c r="G693" s="65"/>
      <c r="H693" s="65"/>
      <c r="I693" s="65"/>
      <c r="J693" s="65"/>
      <c r="K693" s="65"/>
      <c r="L693" s="65"/>
      <c r="M693" s="65"/>
      <c r="N693" s="65"/>
      <c r="O693" s="65"/>
      <c r="P693" s="65"/>
      <c r="Q693" s="65"/>
      <c r="R693" s="65"/>
      <c r="S693" s="65"/>
      <c r="T693" s="65"/>
    </row>
    <row r="694" spans="3:20">
      <c r="C694" s="65"/>
      <c r="D694" s="65"/>
      <c r="E694" s="65"/>
      <c r="F694" s="65"/>
      <c r="G694" s="65"/>
      <c r="H694" s="65"/>
      <c r="I694" s="65"/>
      <c r="J694" s="65"/>
      <c r="K694" s="65"/>
      <c r="L694" s="65"/>
      <c r="M694" s="65"/>
      <c r="N694" s="65"/>
      <c r="O694" s="65"/>
      <c r="P694" s="65"/>
      <c r="Q694" s="65"/>
      <c r="R694" s="65"/>
      <c r="S694" s="65"/>
      <c r="T694" s="65"/>
    </row>
    <row r="695" spans="3:20">
      <c r="C695" s="65"/>
      <c r="D695" s="65"/>
      <c r="E695" s="65"/>
      <c r="F695" s="65"/>
      <c r="G695" s="65"/>
      <c r="H695" s="65"/>
      <c r="I695" s="65"/>
      <c r="J695" s="65"/>
      <c r="K695" s="65"/>
      <c r="L695" s="65"/>
      <c r="M695" s="65"/>
      <c r="N695" s="65"/>
      <c r="O695" s="65"/>
      <c r="P695" s="65"/>
      <c r="Q695" s="65"/>
      <c r="R695" s="65"/>
      <c r="S695" s="65"/>
      <c r="T695" s="65"/>
    </row>
    <row r="696" spans="3:20">
      <c r="C696" s="65"/>
      <c r="D696" s="65"/>
      <c r="E696" s="65"/>
      <c r="F696" s="65"/>
      <c r="G696" s="65"/>
      <c r="H696" s="65"/>
      <c r="I696" s="65"/>
      <c r="J696" s="65"/>
      <c r="K696" s="65"/>
      <c r="L696" s="65"/>
      <c r="M696" s="65"/>
      <c r="N696" s="65"/>
      <c r="O696" s="65"/>
      <c r="P696" s="65"/>
      <c r="Q696" s="65"/>
      <c r="R696" s="65"/>
      <c r="S696" s="65"/>
      <c r="T696" s="65"/>
    </row>
    <row r="697" spans="3:20">
      <c r="C697" s="65"/>
      <c r="D697" s="65"/>
      <c r="E697" s="65"/>
      <c r="F697" s="65"/>
      <c r="G697" s="65"/>
      <c r="H697" s="65"/>
      <c r="I697" s="65"/>
      <c r="J697" s="65"/>
      <c r="K697" s="65"/>
      <c r="L697" s="65"/>
      <c r="M697" s="65"/>
      <c r="N697" s="65"/>
      <c r="O697" s="65"/>
      <c r="P697" s="65"/>
      <c r="Q697" s="65"/>
      <c r="R697" s="65"/>
      <c r="S697" s="65"/>
      <c r="T697" s="65"/>
    </row>
    <row r="698" spans="3:20">
      <c r="C698" s="65"/>
      <c r="D698" s="65"/>
      <c r="E698" s="65"/>
      <c r="F698" s="65"/>
      <c r="G698" s="65"/>
      <c r="H698" s="65"/>
      <c r="I698" s="65"/>
      <c r="J698" s="65"/>
      <c r="K698" s="65"/>
      <c r="L698" s="65"/>
      <c r="M698" s="65"/>
      <c r="N698" s="65"/>
      <c r="O698" s="65"/>
      <c r="P698" s="65"/>
      <c r="Q698" s="65"/>
      <c r="R698" s="65"/>
      <c r="S698" s="65"/>
      <c r="T698" s="65"/>
    </row>
    <row r="699" spans="3:20">
      <c r="C699" s="65"/>
      <c r="D699" s="65"/>
      <c r="E699" s="65"/>
      <c r="F699" s="65"/>
      <c r="G699" s="65"/>
      <c r="H699" s="65"/>
      <c r="I699" s="65"/>
      <c r="J699" s="65"/>
      <c r="K699" s="65"/>
      <c r="L699" s="65"/>
      <c r="M699" s="65"/>
      <c r="N699" s="65"/>
      <c r="O699" s="65"/>
      <c r="P699" s="65"/>
      <c r="Q699" s="65"/>
      <c r="R699" s="65"/>
      <c r="S699" s="65"/>
      <c r="T699" s="65"/>
    </row>
    <row r="700" spans="3:20">
      <c r="C700" s="65"/>
      <c r="D700" s="65"/>
      <c r="E700" s="65"/>
      <c r="F700" s="65"/>
      <c r="G700" s="65"/>
      <c r="H700" s="65"/>
      <c r="I700" s="65"/>
      <c r="J700" s="65"/>
      <c r="K700" s="65"/>
      <c r="L700" s="65"/>
      <c r="M700" s="65"/>
      <c r="N700" s="65"/>
      <c r="O700" s="65"/>
      <c r="P700" s="65"/>
      <c r="Q700" s="65"/>
      <c r="R700" s="65"/>
      <c r="S700" s="65"/>
      <c r="T700" s="65"/>
    </row>
    <row r="701" spans="3:20">
      <c r="C701" s="65"/>
      <c r="D701" s="65"/>
      <c r="E701" s="65"/>
      <c r="F701" s="65"/>
      <c r="G701" s="65"/>
      <c r="H701" s="65"/>
      <c r="I701" s="65"/>
      <c r="J701" s="65"/>
      <c r="K701" s="65"/>
      <c r="L701" s="65"/>
      <c r="M701" s="65"/>
      <c r="N701" s="65"/>
      <c r="O701" s="65"/>
      <c r="P701" s="65"/>
      <c r="Q701" s="65"/>
      <c r="R701" s="65"/>
      <c r="S701" s="65"/>
      <c r="T701" s="65"/>
    </row>
    <row r="702" spans="3:20">
      <c r="C702" s="65"/>
      <c r="D702" s="65"/>
      <c r="E702" s="65"/>
      <c r="F702" s="65"/>
      <c r="G702" s="65"/>
      <c r="H702" s="65"/>
      <c r="I702" s="65"/>
      <c r="J702" s="65"/>
      <c r="K702" s="65"/>
      <c r="L702" s="65"/>
      <c r="M702" s="65"/>
      <c r="N702" s="65"/>
      <c r="O702" s="65"/>
      <c r="P702" s="65"/>
      <c r="Q702" s="65"/>
      <c r="R702" s="65"/>
      <c r="S702" s="65"/>
      <c r="T702" s="65"/>
    </row>
    <row r="703" spans="3:20">
      <c r="C703" s="65"/>
      <c r="D703" s="65"/>
      <c r="E703" s="65"/>
      <c r="F703" s="65"/>
      <c r="G703" s="65"/>
      <c r="H703" s="65"/>
      <c r="I703" s="65"/>
      <c r="J703" s="65"/>
      <c r="K703" s="65"/>
      <c r="L703" s="65"/>
      <c r="M703" s="65"/>
      <c r="N703" s="65"/>
      <c r="O703" s="65"/>
      <c r="P703" s="65"/>
      <c r="Q703" s="65"/>
      <c r="R703" s="65"/>
      <c r="S703" s="65"/>
      <c r="T703" s="65"/>
    </row>
    <row r="704" spans="3:20">
      <c r="C704" s="65"/>
      <c r="D704" s="65"/>
      <c r="E704" s="65"/>
      <c r="F704" s="65"/>
      <c r="G704" s="65"/>
      <c r="H704" s="65"/>
      <c r="I704" s="65"/>
      <c r="J704" s="65"/>
      <c r="K704" s="65"/>
      <c r="L704" s="65"/>
      <c r="M704" s="65"/>
      <c r="N704" s="65"/>
      <c r="O704" s="65"/>
      <c r="P704" s="65"/>
      <c r="Q704" s="65"/>
      <c r="R704" s="65"/>
      <c r="S704" s="65"/>
      <c r="T704" s="65"/>
    </row>
    <row r="705" spans="3:20">
      <c r="C705" s="65"/>
      <c r="D705" s="65"/>
      <c r="E705" s="65"/>
      <c r="F705" s="65"/>
      <c r="G705" s="65"/>
      <c r="H705" s="65"/>
      <c r="I705" s="65"/>
      <c r="J705" s="65"/>
      <c r="K705" s="65"/>
      <c r="L705" s="65"/>
      <c r="M705" s="65"/>
      <c r="N705" s="65"/>
      <c r="O705" s="65"/>
      <c r="P705" s="65"/>
      <c r="Q705" s="65"/>
      <c r="R705" s="65"/>
      <c r="S705" s="65"/>
      <c r="T705" s="65"/>
    </row>
    <row r="706" spans="3:20">
      <c r="C706" s="65"/>
      <c r="D706" s="65"/>
      <c r="E706" s="65"/>
      <c r="F706" s="65"/>
      <c r="G706" s="65"/>
      <c r="H706" s="65"/>
      <c r="I706" s="65"/>
      <c r="J706" s="65"/>
      <c r="K706" s="65"/>
      <c r="L706" s="65"/>
      <c r="M706" s="65"/>
      <c r="N706" s="65"/>
      <c r="O706" s="65"/>
      <c r="P706" s="65"/>
      <c r="Q706" s="65"/>
      <c r="R706" s="65"/>
      <c r="S706" s="65"/>
      <c r="T706" s="65"/>
    </row>
    <row r="707" spans="3:20">
      <c r="C707" s="65"/>
      <c r="D707" s="65"/>
      <c r="E707" s="65"/>
      <c r="F707" s="65"/>
      <c r="G707" s="65"/>
      <c r="H707" s="65"/>
      <c r="I707" s="65"/>
      <c r="J707" s="65"/>
      <c r="K707" s="65"/>
      <c r="L707" s="65"/>
      <c r="M707" s="65"/>
      <c r="N707" s="65"/>
      <c r="O707" s="65"/>
      <c r="P707" s="65"/>
      <c r="Q707" s="65"/>
      <c r="R707" s="65"/>
      <c r="S707" s="65"/>
      <c r="T707" s="65"/>
    </row>
    <row r="708" spans="3:20">
      <c r="C708" s="65"/>
      <c r="D708" s="65"/>
      <c r="E708" s="65"/>
      <c r="F708" s="65"/>
      <c r="G708" s="65"/>
      <c r="H708" s="65"/>
      <c r="I708" s="65"/>
      <c r="J708" s="65"/>
      <c r="K708" s="65"/>
      <c r="L708" s="65"/>
      <c r="M708" s="65"/>
      <c r="N708" s="65"/>
      <c r="O708" s="65"/>
      <c r="P708" s="65"/>
      <c r="Q708" s="65"/>
      <c r="R708" s="65"/>
      <c r="S708" s="65"/>
      <c r="T708" s="65"/>
    </row>
    <row r="709" spans="3:20">
      <c r="C709" s="65"/>
      <c r="D709" s="65"/>
      <c r="E709" s="65"/>
      <c r="F709" s="65"/>
      <c r="G709" s="65"/>
      <c r="H709" s="65"/>
      <c r="I709" s="65"/>
      <c r="J709" s="65"/>
      <c r="K709" s="65"/>
      <c r="L709" s="65"/>
      <c r="M709" s="65"/>
      <c r="N709" s="65"/>
      <c r="O709" s="65"/>
      <c r="P709" s="65"/>
      <c r="Q709" s="65"/>
      <c r="R709" s="65"/>
      <c r="S709" s="65"/>
      <c r="T709" s="65"/>
    </row>
    <row r="710" spans="3:20">
      <c r="C710" s="65"/>
      <c r="D710" s="65"/>
      <c r="E710" s="65"/>
      <c r="F710" s="65"/>
      <c r="G710" s="65"/>
      <c r="H710" s="65"/>
      <c r="I710" s="65"/>
      <c r="J710" s="65"/>
      <c r="K710" s="65"/>
      <c r="L710" s="65"/>
      <c r="M710" s="65"/>
      <c r="N710" s="65"/>
      <c r="O710" s="65"/>
      <c r="P710" s="65"/>
      <c r="Q710" s="65"/>
      <c r="R710" s="65"/>
      <c r="S710" s="65"/>
      <c r="T710" s="65"/>
    </row>
    <row r="711" spans="3:20">
      <c r="C711" s="65"/>
      <c r="D711" s="65"/>
      <c r="E711" s="65"/>
      <c r="F711" s="65"/>
      <c r="G711" s="65"/>
      <c r="H711" s="65"/>
      <c r="I711" s="65"/>
      <c r="J711" s="65"/>
      <c r="K711" s="65"/>
      <c r="L711" s="65"/>
      <c r="M711" s="65"/>
      <c r="N711" s="65"/>
      <c r="O711" s="65"/>
      <c r="P711" s="65"/>
      <c r="Q711" s="65"/>
      <c r="R711" s="65"/>
      <c r="S711" s="65"/>
      <c r="T711" s="65"/>
    </row>
    <row r="712" spans="3:20">
      <c r="C712" s="65"/>
      <c r="D712" s="65"/>
      <c r="E712" s="65"/>
      <c r="F712" s="65"/>
      <c r="G712" s="65"/>
      <c r="H712" s="65"/>
      <c r="I712" s="65"/>
      <c r="J712" s="65"/>
      <c r="K712" s="65"/>
      <c r="L712" s="65"/>
      <c r="M712" s="65"/>
      <c r="N712" s="65"/>
      <c r="O712" s="65"/>
      <c r="P712" s="65"/>
      <c r="Q712" s="65"/>
      <c r="R712" s="65"/>
      <c r="S712" s="65"/>
      <c r="T712" s="65"/>
    </row>
    <row r="713" spans="3:20">
      <c r="C713" s="65"/>
      <c r="D713" s="65"/>
      <c r="E713" s="65"/>
      <c r="F713" s="65"/>
      <c r="G713" s="65"/>
      <c r="H713" s="65"/>
      <c r="I713" s="65"/>
      <c r="J713" s="65"/>
      <c r="K713" s="65"/>
      <c r="L713" s="65"/>
      <c r="M713" s="65"/>
      <c r="N713" s="65"/>
      <c r="O713" s="65"/>
      <c r="P713" s="65"/>
      <c r="Q713" s="65"/>
      <c r="R713" s="65"/>
      <c r="S713" s="65"/>
      <c r="T713" s="65"/>
    </row>
    <row r="714" spans="3:20">
      <c r="C714" s="65"/>
      <c r="D714" s="65"/>
      <c r="E714" s="65"/>
      <c r="F714" s="65"/>
      <c r="G714" s="65"/>
      <c r="H714" s="65"/>
      <c r="I714" s="65"/>
      <c r="J714" s="65"/>
      <c r="K714" s="65"/>
      <c r="L714" s="65"/>
      <c r="M714" s="65"/>
      <c r="N714" s="65"/>
      <c r="O714" s="65"/>
      <c r="P714" s="65"/>
      <c r="Q714" s="65"/>
      <c r="R714" s="65"/>
      <c r="S714" s="65"/>
      <c r="T714" s="65"/>
    </row>
    <row r="715" spans="3:20">
      <c r="C715" s="65"/>
      <c r="D715" s="65"/>
      <c r="E715" s="65"/>
      <c r="F715" s="65"/>
      <c r="G715" s="65"/>
      <c r="H715" s="65"/>
      <c r="I715" s="65"/>
      <c r="J715" s="65"/>
      <c r="K715" s="65"/>
      <c r="L715" s="65"/>
      <c r="M715" s="65"/>
      <c r="N715" s="65"/>
      <c r="O715" s="65"/>
      <c r="P715" s="65"/>
      <c r="Q715" s="65"/>
      <c r="R715" s="65"/>
      <c r="S715" s="65"/>
      <c r="T715" s="65"/>
    </row>
    <row r="716" spans="3:20">
      <c r="C716" s="65"/>
      <c r="D716" s="65"/>
      <c r="E716" s="65"/>
      <c r="F716" s="65"/>
      <c r="G716" s="65"/>
      <c r="H716" s="65"/>
      <c r="I716" s="65"/>
      <c r="J716" s="65"/>
      <c r="K716" s="65"/>
      <c r="L716" s="65"/>
      <c r="M716" s="65"/>
      <c r="N716" s="65"/>
      <c r="O716" s="65"/>
      <c r="P716" s="65"/>
      <c r="Q716" s="65"/>
      <c r="R716" s="65"/>
      <c r="S716" s="65"/>
      <c r="T716" s="65"/>
    </row>
    <row r="717" spans="3:20">
      <c r="C717" s="65"/>
      <c r="D717" s="65"/>
      <c r="E717" s="65"/>
      <c r="F717" s="65"/>
      <c r="G717" s="65"/>
      <c r="H717" s="65"/>
      <c r="I717" s="65"/>
      <c r="J717" s="65"/>
      <c r="K717" s="65"/>
      <c r="L717" s="65"/>
      <c r="M717" s="65"/>
      <c r="N717" s="65"/>
      <c r="O717" s="65"/>
      <c r="P717" s="65"/>
      <c r="Q717" s="65"/>
      <c r="R717" s="65"/>
      <c r="S717" s="65"/>
      <c r="T717" s="65"/>
    </row>
    <row r="718" spans="3:20">
      <c r="C718" s="65"/>
      <c r="D718" s="65"/>
      <c r="E718" s="65"/>
      <c r="F718" s="65"/>
      <c r="G718" s="65"/>
      <c r="H718" s="65"/>
      <c r="I718" s="65"/>
      <c r="J718" s="65"/>
      <c r="K718" s="65"/>
      <c r="L718" s="65"/>
      <c r="M718" s="65"/>
      <c r="N718" s="65"/>
      <c r="O718" s="65"/>
      <c r="P718" s="65"/>
      <c r="Q718" s="65"/>
      <c r="R718" s="65"/>
      <c r="S718" s="65"/>
      <c r="T718" s="65"/>
    </row>
    <row r="719" spans="3:20">
      <c r="C719" s="65"/>
      <c r="D719" s="65"/>
      <c r="E719" s="65"/>
      <c r="F719" s="65"/>
      <c r="G719" s="65"/>
      <c r="H719" s="65"/>
      <c r="I719" s="65"/>
      <c r="J719" s="65"/>
      <c r="K719" s="65"/>
      <c r="L719" s="65"/>
      <c r="M719" s="65"/>
      <c r="N719" s="65"/>
      <c r="O719" s="65"/>
      <c r="P719" s="65"/>
      <c r="Q719" s="65"/>
      <c r="R719" s="65"/>
      <c r="S719" s="65"/>
      <c r="T719" s="65"/>
    </row>
    <row r="720" spans="3:20">
      <c r="C720" s="65"/>
      <c r="D720" s="65"/>
      <c r="E720" s="65"/>
      <c r="F720" s="65"/>
      <c r="G720" s="65"/>
      <c r="H720" s="65"/>
      <c r="I720" s="65"/>
      <c r="J720" s="65"/>
      <c r="K720" s="65"/>
      <c r="L720" s="65"/>
      <c r="M720" s="65"/>
      <c r="N720" s="65"/>
      <c r="O720" s="65"/>
      <c r="P720" s="65"/>
      <c r="Q720" s="65"/>
      <c r="R720" s="65"/>
      <c r="S720" s="65"/>
      <c r="T720" s="65"/>
    </row>
    <row r="721" spans="3:20">
      <c r="C721" s="65"/>
      <c r="D721" s="65"/>
      <c r="E721" s="65"/>
      <c r="F721" s="65"/>
      <c r="G721" s="65"/>
      <c r="H721" s="65"/>
      <c r="I721" s="65"/>
      <c r="J721" s="65"/>
      <c r="K721" s="65"/>
      <c r="L721" s="65"/>
      <c r="M721" s="65"/>
      <c r="N721" s="65"/>
      <c r="O721" s="65"/>
      <c r="P721" s="65"/>
      <c r="Q721" s="65"/>
      <c r="R721" s="65"/>
      <c r="S721" s="65"/>
      <c r="T721" s="65"/>
    </row>
    <row r="722" spans="3:20">
      <c r="C722" s="65"/>
      <c r="D722" s="65"/>
      <c r="E722" s="65"/>
      <c r="F722" s="65"/>
      <c r="G722" s="65"/>
      <c r="H722" s="65"/>
      <c r="I722" s="65"/>
      <c r="J722" s="65"/>
      <c r="K722" s="65"/>
      <c r="L722" s="65"/>
      <c r="M722" s="65"/>
      <c r="N722" s="65"/>
      <c r="O722" s="65"/>
      <c r="P722" s="65"/>
      <c r="Q722" s="65"/>
      <c r="R722" s="65"/>
      <c r="S722" s="65"/>
      <c r="T722" s="65"/>
    </row>
    <row r="723" spans="3:20">
      <c r="C723" s="65"/>
      <c r="D723" s="65"/>
      <c r="E723" s="65"/>
      <c r="F723" s="65"/>
      <c r="G723" s="65"/>
      <c r="H723" s="65"/>
      <c r="I723" s="65"/>
      <c r="J723" s="65"/>
      <c r="K723" s="65"/>
      <c r="L723" s="65"/>
      <c r="M723" s="65"/>
      <c r="N723" s="65"/>
      <c r="O723" s="65"/>
      <c r="P723" s="65"/>
      <c r="Q723" s="65"/>
      <c r="R723" s="65"/>
      <c r="S723" s="65"/>
      <c r="T723" s="65"/>
    </row>
    <row r="724" spans="3:20">
      <c r="C724" s="65"/>
      <c r="D724" s="65"/>
      <c r="E724" s="65"/>
      <c r="F724" s="65"/>
      <c r="G724" s="65"/>
      <c r="H724" s="65"/>
      <c r="I724" s="65"/>
      <c r="J724" s="65"/>
      <c r="K724" s="65"/>
      <c r="L724" s="65"/>
      <c r="M724" s="65"/>
      <c r="N724" s="65"/>
      <c r="O724" s="65"/>
      <c r="P724" s="65"/>
      <c r="Q724" s="65"/>
      <c r="R724" s="65"/>
      <c r="S724" s="65"/>
      <c r="T724" s="65"/>
    </row>
    <row r="725" spans="3:20">
      <c r="C725" s="65"/>
      <c r="D725" s="65"/>
      <c r="E725" s="65"/>
      <c r="F725" s="65"/>
      <c r="G725" s="65"/>
      <c r="H725" s="65"/>
      <c r="I725" s="65"/>
      <c r="J725" s="65"/>
      <c r="K725" s="65"/>
      <c r="L725" s="65"/>
      <c r="M725" s="65"/>
      <c r="N725" s="65"/>
      <c r="O725" s="65"/>
      <c r="P725" s="65"/>
      <c r="Q725" s="65"/>
      <c r="R725" s="65"/>
      <c r="S725" s="65"/>
      <c r="T725" s="65"/>
    </row>
    <row r="726" spans="3:20">
      <c r="C726" s="65"/>
      <c r="D726" s="65"/>
      <c r="E726" s="65"/>
      <c r="F726" s="65"/>
      <c r="G726" s="65"/>
      <c r="H726" s="65"/>
      <c r="I726" s="65"/>
      <c r="J726" s="65"/>
      <c r="K726" s="65"/>
      <c r="L726" s="65"/>
      <c r="M726" s="65"/>
      <c r="N726" s="65"/>
      <c r="O726" s="65"/>
      <c r="P726" s="65"/>
      <c r="Q726" s="65"/>
      <c r="R726" s="65"/>
      <c r="S726" s="65"/>
      <c r="T726" s="65"/>
    </row>
    <row r="727" spans="3:20">
      <c r="C727" s="65"/>
      <c r="D727" s="65"/>
      <c r="E727" s="65"/>
      <c r="F727" s="65"/>
      <c r="G727" s="65"/>
      <c r="H727" s="65"/>
      <c r="I727" s="65"/>
      <c r="J727" s="65"/>
      <c r="K727" s="65"/>
      <c r="L727" s="65"/>
      <c r="M727" s="65"/>
      <c r="N727" s="65"/>
      <c r="O727" s="65"/>
      <c r="P727" s="65"/>
      <c r="Q727" s="65"/>
      <c r="R727" s="65"/>
      <c r="S727" s="65"/>
      <c r="T727" s="65"/>
    </row>
    <row r="728" spans="3:20">
      <c r="C728" s="65"/>
      <c r="D728" s="65"/>
      <c r="E728" s="65"/>
      <c r="F728" s="65"/>
      <c r="G728" s="65"/>
      <c r="H728" s="65"/>
      <c r="I728" s="65"/>
      <c r="J728" s="65"/>
      <c r="K728" s="65"/>
      <c r="L728" s="65"/>
      <c r="M728" s="65"/>
      <c r="N728" s="65"/>
      <c r="O728" s="65"/>
      <c r="P728" s="65"/>
      <c r="Q728" s="65"/>
      <c r="R728" s="65"/>
      <c r="S728" s="65"/>
      <c r="T728" s="65"/>
    </row>
    <row r="729" spans="3:20">
      <c r="C729" s="65"/>
      <c r="D729" s="65"/>
      <c r="E729" s="65"/>
      <c r="F729" s="65"/>
      <c r="G729" s="65"/>
      <c r="H729" s="65"/>
      <c r="I729" s="65"/>
      <c r="J729" s="65"/>
      <c r="K729" s="65"/>
      <c r="L729" s="65"/>
      <c r="M729" s="65"/>
      <c r="N729" s="65"/>
      <c r="O729" s="65"/>
      <c r="P729" s="65"/>
      <c r="Q729" s="65"/>
      <c r="R729" s="65"/>
      <c r="S729" s="65"/>
      <c r="T729" s="65"/>
    </row>
    <row r="730" spans="3:20">
      <c r="C730" s="65"/>
      <c r="D730" s="65"/>
      <c r="E730" s="65"/>
      <c r="F730" s="65"/>
      <c r="G730" s="65"/>
      <c r="H730" s="65"/>
      <c r="I730" s="65"/>
      <c r="J730" s="65"/>
      <c r="K730" s="65"/>
      <c r="L730" s="65"/>
      <c r="M730" s="65"/>
      <c r="N730" s="65"/>
      <c r="O730" s="65"/>
      <c r="P730" s="65"/>
      <c r="Q730" s="65"/>
      <c r="R730" s="65"/>
      <c r="S730" s="65"/>
      <c r="T730" s="65"/>
    </row>
    <row r="731" spans="3:20">
      <c r="C731" s="65"/>
      <c r="D731" s="65"/>
      <c r="E731" s="65"/>
      <c r="F731" s="65"/>
      <c r="G731" s="65"/>
      <c r="H731" s="65"/>
      <c r="I731" s="65"/>
      <c r="J731" s="65"/>
      <c r="K731" s="65"/>
      <c r="L731" s="65"/>
      <c r="M731" s="65"/>
      <c r="N731" s="65"/>
      <c r="O731" s="65"/>
      <c r="P731" s="65"/>
      <c r="Q731" s="65"/>
      <c r="R731" s="65"/>
      <c r="S731" s="65"/>
      <c r="T731" s="65"/>
    </row>
    <row r="732" spans="3:20">
      <c r="C732" s="65"/>
      <c r="D732" s="65"/>
      <c r="E732" s="65"/>
      <c r="F732" s="65"/>
      <c r="G732" s="65"/>
      <c r="H732" s="65"/>
      <c r="I732" s="65"/>
      <c r="J732" s="65"/>
      <c r="K732" s="65"/>
      <c r="L732" s="65"/>
      <c r="M732" s="65"/>
      <c r="N732" s="65"/>
      <c r="O732" s="65"/>
      <c r="P732" s="65"/>
      <c r="Q732" s="65"/>
      <c r="R732" s="65"/>
      <c r="S732" s="65"/>
      <c r="T732" s="65"/>
    </row>
    <row r="733" spans="3:20">
      <c r="C733" s="65"/>
      <c r="D733" s="65"/>
      <c r="E733" s="65"/>
      <c r="F733" s="65"/>
      <c r="G733" s="65"/>
      <c r="H733" s="65"/>
      <c r="I733" s="65"/>
      <c r="J733" s="65"/>
      <c r="K733" s="65"/>
      <c r="L733" s="65"/>
      <c r="M733" s="65"/>
      <c r="N733" s="65"/>
      <c r="O733" s="65"/>
      <c r="P733" s="65"/>
      <c r="Q733" s="65"/>
      <c r="R733" s="65"/>
      <c r="S733" s="65"/>
      <c r="T733" s="65"/>
    </row>
    <row r="734" spans="3:20">
      <c r="C734" s="65"/>
      <c r="D734" s="65"/>
      <c r="E734" s="65"/>
      <c r="F734" s="65"/>
      <c r="G734" s="65"/>
      <c r="H734" s="65"/>
      <c r="I734" s="65"/>
      <c r="J734" s="65"/>
      <c r="K734" s="65"/>
      <c r="L734" s="65"/>
      <c r="M734" s="65"/>
      <c r="N734" s="65"/>
      <c r="O734" s="65"/>
      <c r="P734" s="65"/>
      <c r="Q734" s="65"/>
      <c r="R734" s="65"/>
      <c r="S734" s="65"/>
      <c r="T734" s="65"/>
    </row>
    <row r="735" spans="3:20">
      <c r="C735" s="65"/>
      <c r="D735" s="65"/>
      <c r="E735" s="65"/>
      <c r="F735" s="65"/>
      <c r="G735" s="65"/>
      <c r="H735" s="65"/>
      <c r="I735" s="65"/>
      <c r="J735" s="65"/>
      <c r="K735" s="65"/>
      <c r="L735" s="65"/>
      <c r="M735" s="65"/>
      <c r="N735" s="65"/>
      <c r="O735" s="65"/>
      <c r="P735" s="65"/>
      <c r="Q735" s="65"/>
      <c r="R735" s="65"/>
      <c r="S735" s="65"/>
      <c r="T735" s="65"/>
    </row>
    <row r="736" spans="3:20">
      <c r="C736" s="65"/>
      <c r="D736" s="65"/>
      <c r="E736" s="65"/>
      <c r="F736" s="65"/>
      <c r="G736" s="65"/>
      <c r="H736" s="65"/>
      <c r="I736" s="65"/>
      <c r="J736" s="65"/>
      <c r="K736" s="65"/>
      <c r="L736" s="65"/>
      <c r="M736" s="65"/>
      <c r="N736" s="65"/>
      <c r="O736" s="65"/>
      <c r="P736" s="65"/>
      <c r="Q736" s="65"/>
      <c r="R736" s="65"/>
      <c r="S736" s="65"/>
      <c r="T736" s="65"/>
    </row>
    <row r="737" spans="3:20">
      <c r="C737" s="65"/>
      <c r="D737" s="65"/>
      <c r="E737" s="65"/>
      <c r="F737" s="65"/>
      <c r="G737" s="65"/>
      <c r="H737" s="65"/>
      <c r="I737" s="65"/>
      <c r="J737" s="65"/>
      <c r="K737" s="65"/>
      <c r="L737" s="65"/>
      <c r="M737" s="65"/>
      <c r="N737" s="65"/>
      <c r="O737" s="65"/>
      <c r="P737" s="65"/>
      <c r="Q737" s="65"/>
      <c r="R737" s="65"/>
      <c r="S737" s="65"/>
      <c r="T737" s="65"/>
    </row>
    <row r="738" spans="3:20">
      <c r="C738" s="65"/>
      <c r="D738" s="65"/>
      <c r="E738" s="65"/>
      <c r="F738" s="65"/>
      <c r="G738" s="65"/>
      <c r="H738" s="65"/>
      <c r="I738" s="65"/>
      <c r="J738" s="65"/>
      <c r="K738" s="65"/>
      <c r="L738" s="65"/>
      <c r="M738" s="65"/>
      <c r="N738" s="65"/>
      <c r="O738" s="65"/>
      <c r="P738" s="65"/>
      <c r="Q738" s="65"/>
      <c r="R738" s="65"/>
      <c r="S738" s="65"/>
      <c r="T738" s="65"/>
    </row>
    <row r="739" spans="3:20">
      <c r="C739" s="65"/>
      <c r="D739" s="65"/>
      <c r="E739" s="65"/>
      <c r="F739" s="65"/>
      <c r="G739" s="65"/>
      <c r="H739" s="65"/>
      <c r="I739" s="65"/>
      <c r="J739" s="65"/>
      <c r="K739" s="65"/>
      <c r="L739" s="65"/>
      <c r="M739" s="65"/>
      <c r="N739" s="65"/>
      <c r="O739" s="65"/>
      <c r="P739" s="65"/>
      <c r="Q739" s="65"/>
      <c r="R739" s="65"/>
      <c r="S739" s="65"/>
      <c r="T739" s="65"/>
    </row>
    <row r="740" spans="3:20">
      <c r="C740" s="65"/>
      <c r="D740" s="65"/>
      <c r="E740" s="65"/>
      <c r="F740" s="65"/>
      <c r="G740" s="65"/>
      <c r="H740" s="65"/>
      <c r="I740" s="65"/>
      <c r="J740" s="65"/>
      <c r="K740" s="65"/>
      <c r="L740" s="65"/>
      <c r="M740" s="65"/>
      <c r="N740" s="65"/>
      <c r="O740" s="65"/>
      <c r="P740" s="65"/>
      <c r="Q740" s="65"/>
      <c r="R740" s="65"/>
      <c r="S740" s="65"/>
      <c r="T740" s="65"/>
    </row>
    <row r="741" spans="3:20">
      <c r="C741" s="65"/>
      <c r="D741" s="65"/>
      <c r="E741" s="65"/>
      <c r="F741" s="65"/>
      <c r="G741" s="65"/>
      <c r="H741" s="65"/>
      <c r="I741" s="65"/>
      <c r="J741" s="65"/>
      <c r="K741" s="65"/>
      <c r="L741" s="65"/>
      <c r="M741" s="65"/>
      <c r="N741" s="65"/>
      <c r="O741" s="65"/>
      <c r="P741" s="65"/>
      <c r="Q741" s="65"/>
      <c r="R741" s="65"/>
      <c r="S741" s="65"/>
      <c r="T741" s="65"/>
    </row>
    <row r="742" spans="3:20">
      <c r="C742" s="65"/>
      <c r="D742" s="65"/>
      <c r="E742" s="65"/>
      <c r="F742" s="65"/>
      <c r="G742" s="65"/>
      <c r="H742" s="65"/>
      <c r="I742" s="65"/>
      <c r="J742" s="65"/>
      <c r="K742" s="65"/>
      <c r="L742" s="65"/>
      <c r="M742" s="65"/>
      <c r="N742" s="65"/>
      <c r="O742" s="65"/>
      <c r="P742" s="65"/>
      <c r="Q742" s="65"/>
      <c r="R742" s="65"/>
      <c r="S742" s="65"/>
      <c r="T742" s="65"/>
    </row>
    <row r="743" spans="3:20">
      <c r="C743" s="65"/>
      <c r="D743" s="65"/>
      <c r="E743" s="65"/>
      <c r="F743" s="65"/>
      <c r="G743" s="65"/>
      <c r="H743" s="65"/>
      <c r="I743" s="65"/>
      <c r="J743" s="65"/>
      <c r="K743" s="65"/>
      <c r="L743" s="65"/>
      <c r="M743" s="65"/>
      <c r="N743" s="65"/>
      <c r="O743" s="65"/>
      <c r="P743" s="65"/>
      <c r="Q743" s="65"/>
      <c r="R743" s="65"/>
      <c r="S743" s="65"/>
      <c r="T743" s="65"/>
    </row>
    <row r="744" spans="3:20">
      <c r="C744" s="65"/>
      <c r="D744" s="65"/>
      <c r="E744" s="65"/>
      <c r="F744" s="65"/>
      <c r="G744" s="65"/>
      <c r="H744" s="65"/>
      <c r="I744" s="65"/>
      <c r="J744" s="65"/>
      <c r="K744" s="65"/>
      <c r="L744" s="65"/>
      <c r="M744" s="65"/>
      <c r="N744" s="65"/>
      <c r="O744" s="65"/>
      <c r="P744" s="65"/>
      <c r="Q744" s="65"/>
      <c r="R744" s="65"/>
      <c r="S744" s="65"/>
      <c r="T744" s="65"/>
    </row>
    <row r="745" spans="3:20">
      <c r="C745" s="65"/>
      <c r="D745" s="65"/>
      <c r="E745" s="65"/>
      <c r="F745" s="65"/>
      <c r="G745" s="65"/>
      <c r="H745" s="65"/>
      <c r="I745" s="65"/>
      <c r="J745" s="65"/>
      <c r="K745" s="65"/>
      <c r="L745" s="65"/>
      <c r="M745" s="65"/>
      <c r="N745" s="65"/>
      <c r="O745" s="65"/>
      <c r="P745" s="65"/>
      <c r="Q745" s="65"/>
      <c r="R745" s="65"/>
      <c r="S745" s="65"/>
      <c r="T745" s="65"/>
    </row>
    <row r="746" spans="3:20">
      <c r="C746" s="65"/>
      <c r="D746" s="65"/>
      <c r="E746" s="65"/>
      <c r="F746" s="65"/>
      <c r="G746" s="65"/>
      <c r="H746" s="65"/>
      <c r="I746" s="65"/>
      <c r="J746" s="65"/>
      <c r="K746" s="65"/>
      <c r="L746" s="65"/>
      <c r="M746" s="65"/>
      <c r="N746" s="65"/>
      <c r="O746" s="65"/>
      <c r="P746" s="65"/>
      <c r="Q746" s="65"/>
      <c r="R746" s="65"/>
      <c r="S746" s="65"/>
      <c r="T746" s="65"/>
    </row>
    <row r="747" spans="3:20">
      <c r="C747" s="65"/>
      <c r="D747" s="65"/>
      <c r="E747" s="65"/>
      <c r="F747" s="65"/>
      <c r="G747" s="65"/>
      <c r="H747" s="65"/>
      <c r="I747" s="65"/>
      <c r="J747" s="65"/>
      <c r="K747" s="65"/>
      <c r="L747" s="65"/>
      <c r="M747" s="65"/>
      <c r="N747" s="65"/>
      <c r="O747" s="65"/>
      <c r="P747" s="65"/>
      <c r="Q747" s="65"/>
      <c r="R747" s="65"/>
      <c r="S747" s="65"/>
      <c r="T747" s="65"/>
    </row>
    <row r="748" spans="3:20">
      <c r="C748" s="65"/>
      <c r="D748" s="65"/>
      <c r="E748" s="65"/>
      <c r="F748" s="65"/>
      <c r="G748" s="65"/>
      <c r="H748" s="65"/>
      <c r="I748" s="65"/>
      <c r="J748" s="65"/>
      <c r="K748" s="65"/>
      <c r="L748" s="65"/>
      <c r="M748" s="65"/>
      <c r="N748" s="65"/>
      <c r="O748" s="65"/>
      <c r="P748" s="65"/>
      <c r="Q748" s="65"/>
      <c r="R748" s="65"/>
      <c r="S748" s="65"/>
      <c r="T748" s="65"/>
    </row>
    <row r="749" spans="3:20">
      <c r="C749" s="65"/>
      <c r="D749" s="65"/>
      <c r="E749" s="65"/>
      <c r="F749" s="65"/>
      <c r="G749" s="65"/>
      <c r="H749" s="65"/>
      <c r="I749" s="65"/>
      <c r="J749" s="65"/>
      <c r="K749" s="65"/>
      <c r="L749" s="65"/>
      <c r="M749" s="65"/>
      <c r="N749" s="65"/>
      <c r="O749" s="65"/>
      <c r="P749" s="65"/>
      <c r="Q749" s="65"/>
      <c r="R749" s="65"/>
      <c r="S749" s="65"/>
      <c r="T749" s="65"/>
    </row>
    <row r="750" spans="3:20">
      <c r="C750" s="65"/>
      <c r="D750" s="65"/>
      <c r="E750" s="65"/>
      <c r="F750" s="65"/>
      <c r="G750" s="65"/>
      <c r="H750" s="65"/>
      <c r="I750" s="65"/>
      <c r="J750" s="65"/>
      <c r="K750" s="65"/>
      <c r="L750" s="65"/>
      <c r="M750" s="65"/>
      <c r="N750" s="65"/>
      <c r="O750" s="65"/>
      <c r="P750" s="65"/>
      <c r="Q750" s="65"/>
      <c r="R750" s="65"/>
      <c r="S750" s="65"/>
      <c r="T750" s="65"/>
    </row>
    <row r="751" spans="3:20">
      <c r="C751" s="65"/>
      <c r="D751" s="65"/>
      <c r="E751" s="65"/>
      <c r="F751" s="65"/>
      <c r="G751" s="65"/>
      <c r="H751" s="65"/>
      <c r="I751" s="65"/>
      <c r="J751" s="65"/>
      <c r="K751" s="65"/>
      <c r="L751" s="65"/>
      <c r="M751" s="65"/>
      <c r="N751" s="65"/>
      <c r="O751" s="65"/>
      <c r="P751" s="65"/>
      <c r="Q751" s="65"/>
      <c r="R751" s="65"/>
      <c r="S751" s="65"/>
      <c r="T751" s="65"/>
    </row>
    <row r="752" spans="3:20">
      <c r="C752" s="65"/>
      <c r="D752" s="65"/>
      <c r="E752" s="65"/>
      <c r="F752" s="65"/>
      <c r="G752" s="65"/>
      <c r="H752" s="65"/>
      <c r="I752" s="65"/>
      <c r="J752" s="65"/>
      <c r="K752" s="65"/>
      <c r="L752" s="65"/>
      <c r="M752" s="65"/>
      <c r="N752" s="65"/>
      <c r="O752" s="65"/>
      <c r="P752" s="65"/>
      <c r="Q752" s="65"/>
      <c r="R752" s="65"/>
      <c r="S752" s="65"/>
      <c r="T752" s="65"/>
    </row>
    <row r="753" spans="3:20">
      <c r="C753" s="65"/>
      <c r="D753" s="65"/>
      <c r="E753" s="65"/>
      <c r="F753" s="65"/>
      <c r="G753" s="65"/>
      <c r="H753" s="65"/>
      <c r="I753" s="65"/>
      <c r="J753" s="65"/>
      <c r="K753" s="65"/>
      <c r="L753" s="65"/>
      <c r="M753" s="65"/>
      <c r="N753" s="65"/>
      <c r="O753" s="65"/>
      <c r="P753" s="65"/>
      <c r="Q753" s="65"/>
      <c r="R753" s="65"/>
      <c r="S753" s="65"/>
      <c r="T753" s="65"/>
    </row>
    <row r="754" spans="3:20">
      <c r="C754" s="65"/>
      <c r="D754" s="65"/>
      <c r="E754" s="65"/>
      <c r="F754" s="65"/>
      <c r="G754" s="65"/>
      <c r="H754" s="65"/>
      <c r="I754" s="65"/>
      <c r="J754" s="65"/>
      <c r="K754" s="65"/>
      <c r="L754" s="65"/>
      <c r="M754" s="65"/>
      <c r="N754" s="65"/>
      <c r="O754" s="65"/>
      <c r="P754" s="65"/>
      <c r="Q754" s="65"/>
      <c r="R754" s="65"/>
      <c r="S754" s="65"/>
      <c r="T754" s="65"/>
    </row>
    <row r="755" spans="3:20">
      <c r="C755" s="65"/>
      <c r="D755" s="65"/>
      <c r="E755" s="65"/>
      <c r="F755" s="65"/>
      <c r="G755" s="65"/>
      <c r="H755" s="65"/>
      <c r="I755" s="65"/>
      <c r="J755" s="65"/>
      <c r="K755" s="65"/>
      <c r="L755" s="65"/>
      <c r="M755" s="65"/>
      <c r="N755" s="65"/>
      <c r="O755" s="65"/>
      <c r="P755" s="65"/>
      <c r="Q755" s="65"/>
      <c r="R755" s="65"/>
      <c r="S755" s="65"/>
      <c r="T755" s="65"/>
    </row>
    <row r="756" spans="3:20">
      <c r="C756" s="65"/>
      <c r="D756" s="65"/>
      <c r="E756" s="65"/>
      <c r="F756" s="65"/>
      <c r="G756" s="65"/>
      <c r="H756" s="65"/>
      <c r="I756" s="65"/>
      <c r="J756" s="65"/>
      <c r="K756" s="65"/>
      <c r="L756" s="65"/>
      <c r="M756" s="65"/>
      <c r="N756" s="65"/>
      <c r="O756" s="65"/>
      <c r="P756" s="65"/>
      <c r="Q756" s="65"/>
      <c r="R756" s="65"/>
      <c r="S756" s="65"/>
      <c r="T756" s="65"/>
    </row>
    <row r="757" spans="3:20">
      <c r="C757" s="65"/>
      <c r="D757" s="65"/>
      <c r="E757" s="65"/>
      <c r="F757" s="65"/>
      <c r="G757" s="65"/>
      <c r="H757" s="65"/>
      <c r="I757" s="65"/>
      <c r="J757" s="65"/>
      <c r="K757" s="65"/>
      <c r="L757" s="65"/>
      <c r="M757" s="65"/>
      <c r="N757" s="65"/>
      <c r="O757" s="65"/>
      <c r="P757" s="65"/>
      <c r="Q757" s="65"/>
      <c r="R757" s="65"/>
      <c r="S757" s="65"/>
      <c r="T757" s="65"/>
    </row>
    <row r="758" spans="3:20">
      <c r="C758" s="65"/>
      <c r="D758" s="65"/>
      <c r="E758" s="65"/>
      <c r="F758" s="65"/>
      <c r="G758" s="65"/>
      <c r="H758" s="65"/>
      <c r="I758" s="65"/>
      <c r="J758" s="65"/>
      <c r="K758" s="65"/>
      <c r="L758" s="65"/>
      <c r="M758" s="65"/>
      <c r="N758" s="65"/>
      <c r="O758" s="65"/>
      <c r="P758" s="65"/>
      <c r="Q758" s="65"/>
      <c r="R758" s="65"/>
      <c r="S758" s="65"/>
      <c r="T758" s="65"/>
    </row>
    <row r="759" spans="3:20">
      <c r="C759" s="65"/>
      <c r="D759" s="65"/>
      <c r="E759" s="65"/>
      <c r="F759" s="65"/>
      <c r="G759" s="65"/>
      <c r="H759" s="65"/>
      <c r="I759" s="65"/>
      <c r="J759" s="65"/>
      <c r="K759" s="65"/>
      <c r="L759" s="65"/>
      <c r="M759" s="65"/>
      <c r="N759" s="65"/>
      <c r="O759" s="65"/>
      <c r="P759" s="65"/>
      <c r="Q759" s="65"/>
      <c r="R759" s="65"/>
      <c r="S759" s="65"/>
      <c r="T759" s="65"/>
    </row>
    <row r="760" spans="3:20">
      <c r="C760" s="65"/>
      <c r="D760" s="65"/>
      <c r="E760" s="65"/>
      <c r="F760" s="65"/>
      <c r="G760" s="65"/>
      <c r="H760" s="65"/>
      <c r="I760" s="65"/>
      <c r="J760" s="65"/>
      <c r="K760" s="65"/>
      <c r="L760" s="65"/>
      <c r="M760" s="65"/>
      <c r="N760" s="65"/>
      <c r="O760" s="65"/>
      <c r="P760" s="65"/>
      <c r="Q760" s="65"/>
      <c r="R760" s="65"/>
      <c r="S760" s="65"/>
      <c r="T760" s="65"/>
    </row>
    <row r="761" spans="3:20">
      <c r="C761" s="65"/>
      <c r="D761" s="65"/>
      <c r="E761" s="65"/>
      <c r="F761" s="65"/>
      <c r="G761" s="65"/>
      <c r="H761" s="65"/>
      <c r="I761" s="65"/>
      <c r="J761" s="65"/>
      <c r="K761" s="65"/>
      <c r="L761" s="65"/>
      <c r="M761" s="65"/>
      <c r="N761" s="65"/>
      <c r="O761" s="65"/>
      <c r="P761" s="65"/>
      <c r="Q761" s="65"/>
      <c r="R761" s="65"/>
      <c r="S761" s="65"/>
      <c r="T761" s="65"/>
    </row>
    <row r="762" spans="3:20">
      <c r="C762" s="65"/>
      <c r="D762" s="65"/>
      <c r="E762" s="65"/>
      <c r="F762" s="65"/>
      <c r="G762" s="65"/>
      <c r="H762" s="65"/>
      <c r="I762" s="65"/>
      <c r="J762" s="65"/>
      <c r="K762" s="65"/>
      <c r="L762" s="65"/>
      <c r="M762" s="65"/>
      <c r="N762" s="65"/>
      <c r="O762" s="65"/>
      <c r="P762" s="65"/>
      <c r="Q762" s="65"/>
      <c r="R762" s="65"/>
      <c r="S762" s="65"/>
      <c r="T762" s="65"/>
    </row>
    <row r="763" spans="3:20">
      <c r="C763" s="65"/>
      <c r="D763" s="65"/>
      <c r="E763" s="65"/>
      <c r="F763" s="65"/>
      <c r="G763" s="65"/>
      <c r="H763" s="65"/>
      <c r="I763" s="65"/>
      <c r="J763" s="65"/>
      <c r="K763" s="65"/>
      <c r="L763" s="65"/>
      <c r="M763" s="65"/>
      <c r="N763" s="65"/>
      <c r="O763" s="65"/>
      <c r="P763" s="65"/>
      <c r="Q763" s="65"/>
      <c r="R763" s="65"/>
      <c r="S763" s="65"/>
      <c r="T763" s="65"/>
    </row>
    <row r="764" spans="3:20">
      <c r="C764" s="65"/>
      <c r="D764" s="65"/>
      <c r="E764" s="65"/>
      <c r="F764" s="65"/>
      <c r="G764" s="65"/>
      <c r="H764" s="65"/>
      <c r="I764" s="65"/>
      <c r="J764" s="65"/>
      <c r="K764" s="65"/>
      <c r="L764" s="65"/>
      <c r="M764" s="65"/>
      <c r="N764" s="65"/>
      <c r="O764" s="65"/>
      <c r="P764" s="65"/>
      <c r="Q764" s="65"/>
      <c r="R764" s="65"/>
      <c r="S764" s="65"/>
      <c r="T764" s="65"/>
    </row>
    <row r="765" spans="3:20">
      <c r="C765" s="65"/>
      <c r="D765" s="65"/>
      <c r="E765" s="65"/>
      <c r="F765" s="65"/>
      <c r="G765" s="65"/>
      <c r="H765" s="65"/>
      <c r="I765" s="65"/>
      <c r="J765" s="65"/>
      <c r="K765" s="65"/>
      <c r="L765" s="65"/>
      <c r="M765" s="65"/>
      <c r="N765" s="65"/>
      <c r="O765" s="65"/>
      <c r="P765" s="65"/>
      <c r="Q765" s="65"/>
      <c r="R765" s="65"/>
      <c r="S765" s="65"/>
      <c r="T765" s="65"/>
    </row>
    <row r="766" spans="3:20">
      <c r="C766" s="65"/>
      <c r="D766" s="65"/>
      <c r="E766" s="65"/>
      <c r="F766" s="65"/>
      <c r="G766" s="65"/>
      <c r="H766" s="65"/>
      <c r="I766" s="65"/>
      <c r="J766" s="65"/>
      <c r="K766" s="65"/>
      <c r="L766" s="65"/>
      <c r="M766" s="65"/>
      <c r="N766" s="65"/>
      <c r="O766" s="65"/>
      <c r="P766" s="65"/>
      <c r="Q766" s="65"/>
      <c r="R766" s="65"/>
      <c r="S766" s="65"/>
      <c r="T766" s="65"/>
    </row>
    <row r="767" spans="3:20">
      <c r="C767" s="65"/>
      <c r="D767" s="65"/>
      <c r="E767" s="65"/>
      <c r="F767" s="65"/>
      <c r="G767" s="65"/>
      <c r="H767" s="65"/>
      <c r="I767" s="65"/>
      <c r="J767" s="65"/>
      <c r="K767" s="65"/>
      <c r="L767" s="65"/>
      <c r="M767" s="65"/>
      <c r="N767" s="65"/>
      <c r="O767" s="65"/>
      <c r="P767" s="65"/>
      <c r="Q767" s="65"/>
      <c r="R767" s="65"/>
      <c r="S767" s="65"/>
      <c r="T767" s="65"/>
    </row>
    <row r="768" spans="3:20">
      <c r="C768" s="65"/>
      <c r="D768" s="65"/>
      <c r="E768" s="65"/>
      <c r="F768" s="65"/>
      <c r="G768" s="65"/>
      <c r="H768" s="65"/>
      <c r="I768" s="65"/>
      <c r="J768" s="65"/>
      <c r="K768" s="65"/>
      <c r="L768" s="65"/>
      <c r="M768" s="65"/>
      <c r="N768" s="65"/>
      <c r="O768" s="65"/>
      <c r="P768" s="65"/>
      <c r="Q768" s="65"/>
      <c r="R768" s="65"/>
      <c r="S768" s="65"/>
      <c r="T768" s="65"/>
    </row>
    <row r="769" spans="3:20">
      <c r="C769" s="65"/>
      <c r="D769" s="65"/>
      <c r="E769" s="65"/>
      <c r="F769" s="65"/>
      <c r="G769" s="65"/>
      <c r="H769" s="65"/>
      <c r="I769" s="65"/>
      <c r="J769" s="65"/>
      <c r="K769" s="65"/>
      <c r="L769" s="65"/>
      <c r="M769" s="65"/>
      <c r="N769" s="65"/>
      <c r="O769" s="65"/>
      <c r="P769" s="65"/>
      <c r="Q769" s="65"/>
      <c r="R769" s="65"/>
      <c r="S769" s="65"/>
      <c r="T769" s="65"/>
    </row>
    <row r="770" spans="3:20">
      <c r="C770" s="65"/>
      <c r="D770" s="65"/>
      <c r="E770" s="65"/>
      <c r="F770" s="65"/>
      <c r="G770" s="65"/>
      <c r="H770" s="65"/>
      <c r="I770" s="65"/>
      <c r="J770" s="65"/>
      <c r="K770" s="65"/>
      <c r="L770" s="65"/>
      <c r="M770" s="65"/>
      <c r="N770" s="65"/>
      <c r="O770" s="65"/>
      <c r="P770" s="65"/>
      <c r="Q770" s="65"/>
      <c r="R770" s="65"/>
      <c r="S770" s="65"/>
      <c r="T770" s="65"/>
    </row>
    <row r="771" spans="3:20">
      <c r="C771" s="65"/>
      <c r="D771" s="65"/>
      <c r="E771" s="65"/>
      <c r="F771" s="65"/>
      <c r="G771" s="65"/>
      <c r="H771" s="65"/>
      <c r="I771" s="65"/>
      <c r="J771" s="65"/>
      <c r="K771" s="65"/>
      <c r="L771" s="65"/>
      <c r="M771" s="65"/>
      <c r="N771" s="65"/>
      <c r="O771" s="65"/>
      <c r="P771" s="65"/>
      <c r="Q771" s="65"/>
      <c r="R771" s="65"/>
      <c r="S771" s="65"/>
      <c r="T771" s="65"/>
    </row>
    <row r="772" spans="3:20">
      <c r="C772" s="65"/>
      <c r="D772" s="65"/>
      <c r="E772" s="65"/>
      <c r="F772" s="65"/>
      <c r="G772" s="65"/>
      <c r="H772" s="65"/>
      <c r="I772" s="65"/>
      <c r="J772" s="65"/>
      <c r="K772" s="65"/>
      <c r="L772" s="65"/>
      <c r="M772" s="65"/>
      <c r="N772" s="65"/>
      <c r="O772" s="65"/>
      <c r="P772" s="65"/>
      <c r="Q772" s="65"/>
      <c r="R772" s="65"/>
      <c r="S772" s="65"/>
      <c r="T772" s="65"/>
    </row>
    <row r="773" spans="3:20">
      <c r="C773" s="65"/>
      <c r="D773" s="65"/>
      <c r="E773" s="65"/>
      <c r="F773" s="65"/>
      <c r="G773" s="65"/>
      <c r="H773" s="65"/>
      <c r="I773" s="65"/>
      <c r="J773" s="65"/>
      <c r="K773" s="65"/>
      <c r="L773" s="65"/>
      <c r="M773" s="65"/>
      <c r="N773" s="65"/>
      <c r="O773" s="65"/>
      <c r="P773" s="65"/>
      <c r="Q773" s="65"/>
      <c r="R773" s="65"/>
      <c r="S773" s="65"/>
      <c r="T773" s="65"/>
    </row>
    <row r="774" spans="3:20">
      <c r="C774" s="65"/>
      <c r="D774" s="65"/>
      <c r="E774" s="65"/>
      <c r="F774" s="65"/>
      <c r="G774" s="65"/>
      <c r="H774" s="65"/>
      <c r="I774" s="65"/>
      <c r="J774" s="65"/>
      <c r="K774" s="65"/>
      <c r="L774" s="65"/>
      <c r="M774" s="65"/>
      <c r="N774" s="65"/>
      <c r="O774" s="65"/>
      <c r="P774" s="65"/>
      <c r="Q774" s="65"/>
      <c r="R774" s="65"/>
      <c r="S774" s="65"/>
      <c r="T774" s="65"/>
    </row>
    <row r="775" spans="3:20">
      <c r="C775" s="65"/>
      <c r="D775" s="65"/>
      <c r="E775" s="65"/>
      <c r="F775" s="65"/>
      <c r="G775" s="65"/>
      <c r="H775" s="65"/>
      <c r="I775" s="65"/>
      <c r="J775" s="65"/>
      <c r="K775" s="65"/>
      <c r="L775" s="65"/>
      <c r="M775" s="65"/>
      <c r="N775" s="65"/>
      <c r="O775" s="65"/>
      <c r="P775" s="65"/>
      <c r="Q775" s="65"/>
      <c r="R775" s="65"/>
      <c r="S775" s="65"/>
      <c r="T775" s="65"/>
    </row>
    <row r="776" spans="3:20">
      <c r="C776" s="65"/>
      <c r="D776" s="65"/>
      <c r="E776" s="65"/>
      <c r="F776" s="65"/>
      <c r="G776" s="65"/>
      <c r="H776" s="65"/>
      <c r="I776" s="65"/>
      <c r="J776" s="65"/>
      <c r="K776" s="65"/>
      <c r="L776" s="65"/>
      <c r="M776" s="65"/>
      <c r="N776" s="65"/>
      <c r="O776" s="65"/>
      <c r="P776" s="65"/>
      <c r="Q776" s="65"/>
      <c r="R776" s="65"/>
      <c r="S776" s="65"/>
      <c r="T776" s="65"/>
    </row>
    <row r="777" spans="3:20">
      <c r="C777" s="65"/>
      <c r="D777" s="65"/>
      <c r="E777" s="65"/>
      <c r="F777" s="65"/>
      <c r="G777" s="65"/>
      <c r="H777" s="65"/>
      <c r="I777" s="65"/>
      <c r="J777" s="65"/>
      <c r="K777" s="65"/>
      <c r="L777" s="65"/>
      <c r="M777" s="65"/>
      <c r="N777" s="65"/>
      <c r="O777" s="65"/>
      <c r="P777" s="65"/>
      <c r="Q777" s="65"/>
      <c r="R777" s="65"/>
      <c r="S777" s="65"/>
      <c r="T777" s="65"/>
    </row>
    <row r="778" spans="3:20">
      <c r="C778" s="65"/>
      <c r="D778" s="65"/>
      <c r="E778" s="65"/>
      <c r="F778" s="65"/>
      <c r="G778" s="65"/>
      <c r="H778" s="65"/>
      <c r="I778" s="65"/>
      <c r="J778" s="65"/>
      <c r="K778" s="65"/>
      <c r="L778" s="65"/>
      <c r="M778" s="65"/>
      <c r="N778" s="65"/>
      <c r="O778" s="65"/>
      <c r="P778" s="65"/>
      <c r="Q778" s="65"/>
      <c r="R778" s="65"/>
      <c r="S778" s="65"/>
      <c r="T778" s="65"/>
    </row>
    <row r="779" spans="3:20">
      <c r="C779" s="65"/>
      <c r="D779" s="65"/>
      <c r="E779" s="65"/>
      <c r="F779" s="65"/>
      <c r="G779" s="65"/>
      <c r="H779" s="65"/>
      <c r="I779" s="65"/>
      <c r="J779" s="65"/>
      <c r="K779" s="65"/>
      <c r="L779" s="65"/>
      <c r="M779" s="65"/>
      <c r="N779" s="65"/>
      <c r="O779" s="65"/>
      <c r="P779" s="65"/>
      <c r="Q779" s="65"/>
      <c r="R779" s="65"/>
      <c r="S779" s="65"/>
      <c r="T779" s="65"/>
    </row>
    <row r="780" spans="3:20">
      <c r="C780" s="65"/>
      <c r="D780" s="65"/>
      <c r="E780" s="65"/>
      <c r="F780" s="65"/>
      <c r="G780" s="65"/>
      <c r="H780" s="65"/>
      <c r="I780" s="65"/>
      <c r="J780" s="65"/>
      <c r="K780" s="65"/>
      <c r="L780" s="65"/>
      <c r="M780" s="65"/>
      <c r="N780" s="65"/>
      <c r="O780" s="65"/>
      <c r="P780" s="65"/>
      <c r="Q780" s="65"/>
      <c r="R780" s="65"/>
      <c r="S780" s="65"/>
      <c r="T780" s="65"/>
    </row>
    <row r="781" spans="3:20">
      <c r="C781" s="65"/>
      <c r="D781" s="65"/>
      <c r="E781" s="65"/>
      <c r="F781" s="65"/>
      <c r="G781" s="65"/>
      <c r="H781" s="65"/>
      <c r="I781" s="65"/>
      <c r="J781" s="65"/>
      <c r="K781" s="65"/>
      <c r="L781" s="65"/>
      <c r="M781" s="65"/>
      <c r="N781" s="65"/>
      <c r="O781" s="65"/>
      <c r="P781" s="65"/>
      <c r="Q781" s="65"/>
      <c r="R781" s="65"/>
      <c r="S781" s="65"/>
      <c r="T781" s="65"/>
    </row>
    <row r="782" spans="3:20">
      <c r="C782" s="65"/>
      <c r="D782" s="65"/>
      <c r="E782" s="65"/>
      <c r="F782" s="65"/>
      <c r="G782" s="65"/>
      <c r="H782" s="65"/>
      <c r="I782" s="65"/>
      <c r="J782" s="65"/>
      <c r="K782" s="65"/>
      <c r="L782" s="65"/>
      <c r="M782" s="65"/>
      <c r="N782" s="65"/>
      <c r="O782" s="65"/>
      <c r="P782" s="65"/>
      <c r="Q782" s="65"/>
      <c r="R782" s="65"/>
      <c r="S782" s="65"/>
      <c r="T782" s="65"/>
    </row>
    <row r="783" spans="3:20">
      <c r="C783" s="65"/>
      <c r="D783" s="65"/>
      <c r="E783" s="65"/>
      <c r="F783" s="65"/>
      <c r="G783" s="65"/>
      <c r="H783" s="65"/>
      <c r="I783" s="65"/>
      <c r="J783" s="65"/>
      <c r="K783" s="65"/>
      <c r="L783" s="65"/>
      <c r="M783" s="65"/>
      <c r="N783" s="65"/>
      <c r="O783" s="65"/>
      <c r="P783" s="65"/>
      <c r="Q783" s="65"/>
      <c r="R783" s="65"/>
      <c r="S783" s="65"/>
      <c r="T783" s="65"/>
    </row>
    <row r="784" spans="3:20">
      <c r="C784" s="65"/>
      <c r="D784" s="65"/>
      <c r="E784" s="65"/>
      <c r="F784" s="65"/>
      <c r="G784" s="65"/>
      <c r="H784" s="65"/>
      <c r="I784" s="65"/>
      <c r="J784" s="65"/>
      <c r="K784" s="65"/>
      <c r="L784" s="65"/>
      <c r="M784" s="65"/>
      <c r="N784" s="65"/>
      <c r="O784" s="65"/>
      <c r="P784" s="65"/>
      <c r="Q784" s="65"/>
      <c r="R784" s="65"/>
      <c r="S784" s="65"/>
      <c r="T784" s="65"/>
    </row>
    <row r="785" spans="3:20">
      <c r="C785" s="65"/>
      <c r="D785" s="65"/>
      <c r="E785" s="65"/>
      <c r="F785" s="65"/>
      <c r="G785" s="65"/>
      <c r="H785" s="65"/>
      <c r="I785" s="65"/>
      <c r="J785" s="65"/>
      <c r="K785" s="65"/>
      <c r="L785" s="65"/>
      <c r="M785" s="65"/>
      <c r="N785" s="65"/>
      <c r="O785" s="65"/>
      <c r="P785" s="65"/>
      <c r="Q785" s="65"/>
      <c r="R785" s="65"/>
      <c r="S785" s="65"/>
      <c r="T785" s="65"/>
    </row>
    <row r="786" spans="3:20">
      <c r="C786" s="65"/>
      <c r="D786" s="65"/>
      <c r="E786" s="65"/>
      <c r="F786" s="65"/>
      <c r="G786" s="65"/>
      <c r="H786" s="65"/>
      <c r="I786" s="65"/>
      <c r="J786" s="65"/>
      <c r="K786" s="65"/>
      <c r="L786" s="65"/>
      <c r="M786" s="65"/>
      <c r="N786" s="65"/>
      <c r="O786" s="65"/>
      <c r="P786" s="65"/>
      <c r="Q786" s="65"/>
      <c r="R786" s="65"/>
      <c r="S786" s="65"/>
      <c r="T786" s="65"/>
    </row>
    <row r="787" spans="3:20">
      <c r="C787" s="65"/>
      <c r="D787" s="65"/>
      <c r="E787" s="65"/>
      <c r="F787" s="65"/>
      <c r="G787" s="65"/>
      <c r="H787" s="65"/>
      <c r="I787" s="65"/>
      <c r="J787" s="65"/>
      <c r="K787" s="65"/>
      <c r="L787" s="65"/>
      <c r="M787" s="65"/>
      <c r="N787" s="65"/>
      <c r="O787" s="65"/>
      <c r="P787" s="65"/>
      <c r="Q787" s="65"/>
      <c r="R787" s="65"/>
      <c r="S787" s="65"/>
      <c r="T787" s="65"/>
    </row>
    <row r="788" spans="3:20">
      <c r="C788" s="65"/>
      <c r="D788" s="65"/>
      <c r="E788" s="65"/>
      <c r="F788" s="65"/>
      <c r="G788" s="65"/>
      <c r="H788" s="65"/>
      <c r="I788" s="65"/>
      <c r="J788" s="65"/>
      <c r="K788" s="65"/>
      <c r="L788" s="65"/>
      <c r="M788" s="65"/>
      <c r="N788" s="65"/>
      <c r="O788" s="65"/>
      <c r="P788" s="65"/>
      <c r="Q788" s="65"/>
      <c r="R788" s="65"/>
      <c r="S788" s="65"/>
      <c r="T788" s="65"/>
    </row>
    <row r="789" spans="3:20">
      <c r="C789" s="65"/>
      <c r="D789" s="65"/>
      <c r="E789" s="65"/>
      <c r="F789" s="65"/>
      <c r="G789" s="65"/>
      <c r="H789" s="65"/>
      <c r="I789" s="65"/>
      <c r="J789" s="65"/>
      <c r="K789" s="65"/>
      <c r="L789" s="65"/>
      <c r="M789" s="65"/>
      <c r="N789" s="65"/>
      <c r="O789" s="65"/>
      <c r="P789" s="65"/>
      <c r="Q789" s="65"/>
      <c r="R789" s="65"/>
      <c r="S789" s="65"/>
      <c r="T789" s="65"/>
    </row>
    <row r="790" spans="3:20">
      <c r="C790" s="65"/>
      <c r="D790" s="65"/>
      <c r="E790" s="65"/>
      <c r="F790" s="65"/>
      <c r="G790" s="65"/>
      <c r="H790" s="65"/>
      <c r="I790" s="65"/>
      <c r="J790" s="65"/>
      <c r="K790" s="65"/>
      <c r="L790" s="65"/>
      <c r="M790" s="65"/>
      <c r="N790" s="65"/>
      <c r="O790" s="65"/>
      <c r="P790" s="65"/>
      <c r="Q790" s="65"/>
      <c r="R790" s="65"/>
      <c r="S790" s="65"/>
      <c r="T790" s="65"/>
    </row>
    <row r="791" spans="3:20">
      <c r="C791" s="65"/>
      <c r="D791" s="65"/>
      <c r="E791" s="65"/>
      <c r="F791" s="65"/>
      <c r="G791" s="65"/>
      <c r="H791" s="65"/>
      <c r="I791" s="65"/>
      <c r="J791" s="65"/>
      <c r="K791" s="65"/>
      <c r="L791" s="65"/>
      <c r="M791" s="65"/>
      <c r="N791" s="65"/>
      <c r="O791" s="65"/>
      <c r="P791" s="65"/>
      <c r="Q791" s="65"/>
      <c r="R791" s="65"/>
      <c r="S791" s="65"/>
      <c r="T791" s="65"/>
    </row>
    <row r="792" spans="3:20">
      <c r="C792" s="65"/>
      <c r="D792" s="65"/>
      <c r="E792" s="65"/>
      <c r="F792" s="65"/>
      <c r="G792" s="65"/>
      <c r="H792" s="65"/>
      <c r="I792" s="65"/>
      <c r="J792" s="65"/>
      <c r="K792" s="65"/>
      <c r="L792" s="65"/>
      <c r="M792" s="65"/>
      <c r="N792" s="65"/>
      <c r="O792" s="65"/>
      <c r="P792" s="65"/>
      <c r="Q792" s="65"/>
      <c r="R792" s="65"/>
      <c r="S792" s="65"/>
      <c r="T792" s="65"/>
    </row>
    <row r="793" spans="3:20">
      <c r="C793" s="65"/>
      <c r="D793" s="65"/>
      <c r="E793" s="65"/>
      <c r="F793" s="65"/>
      <c r="G793" s="65"/>
      <c r="H793" s="65"/>
      <c r="I793" s="65"/>
      <c r="J793" s="65"/>
      <c r="K793" s="65"/>
      <c r="L793" s="65"/>
      <c r="M793" s="65"/>
      <c r="N793" s="65"/>
      <c r="O793" s="65"/>
      <c r="P793" s="65"/>
      <c r="Q793" s="65"/>
      <c r="R793" s="65"/>
      <c r="S793" s="65"/>
      <c r="T793" s="65"/>
    </row>
    <row r="794" spans="3:20">
      <c r="C794" s="65"/>
      <c r="D794" s="65"/>
      <c r="E794" s="65"/>
      <c r="F794" s="65"/>
      <c r="G794" s="65"/>
      <c r="H794" s="65"/>
      <c r="I794" s="65"/>
      <c r="J794" s="65"/>
      <c r="K794" s="65"/>
      <c r="L794" s="65"/>
      <c r="M794" s="65"/>
      <c r="N794" s="65"/>
      <c r="O794" s="65"/>
      <c r="P794" s="65"/>
      <c r="Q794" s="65"/>
      <c r="R794" s="65"/>
      <c r="S794" s="65"/>
      <c r="T794" s="65"/>
    </row>
    <row r="795" spans="3:20">
      <c r="C795" s="65"/>
      <c r="D795" s="65"/>
      <c r="E795" s="65"/>
      <c r="F795" s="65"/>
      <c r="G795" s="65"/>
      <c r="H795" s="65"/>
      <c r="I795" s="65"/>
      <c r="J795" s="65"/>
      <c r="K795" s="65"/>
      <c r="L795" s="65"/>
      <c r="M795" s="65"/>
      <c r="N795" s="65"/>
      <c r="O795" s="65"/>
      <c r="P795" s="65"/>
      <c r="Q795" s="65"/>
      <c r="R795" s="65"/>
      <c r="S795" s="65"/>
      <c r="T795" s="65"/>
    </row>
    <row r="796" spans="3:20">
      <c r="C796" s="65"/>
      <c r="D796" s="65"/>
      <c r="E796" s="65"/>
      <c r="F796" s="65"/>
      <c r="G796" s="65"/>
      <c r="H796" s="65"/>
      <c r="I796" s="65"/>
      <c r="J796" s="65"/>
      <c r="K796" s="65"/>
      <c r="L796" s="65"/>
      <c r="M796" s="65"/>
      <c r="N796" s="65"/>
      <c r="O796" s="65"/>
      <c r="P796" s="65"/>
      <c r="Q796" s="65"/>
      <c r="R796" s="65"/>
      <c r="S796" s="65"/>
      <c r="T796" s="65"/>
    </row>
    <row r="797" spans="3:20">
      <c r="C797" s="65"/>
      <c r="D797" s="65"/>
      <c r="E797" s="65"/>
      <c r="F797" s="65"/>
      <c r="G797" s="65"/>
      <c r="H797" s="65"/>
      <c r="I797" s="65"/>
      <c r="J797" s="65"/>
      <c r="K797" s="65"/>
      <c r="L797" s="65"/>
      <c r="M797" s="65"/>
      <c r="N797" s="65"/>
      <c r="O797" s="65"/>
      <c r="P797" s="65"/>
      <c r="Q797" s="65"/>
      <c r="R797" s="65"/>
      <c r="S797" s="65"/>
      <c r="T797" s="65"/>
    </row>
    <row r="798" spans="3:20">
      <c r="C798" s="65"/>
      <c r="D798" s="65"/>
      <c r="E798" s="65"/>
      <c r="F798" s="65"/>
      <c r="G798" s="65"/>
      <c r="H798" s="65"/>
      <c r="I798" s="65"/>
      <c r="J798" s="65"/>
      <c r="K798" s="65"/>
      <c r="L798" s="65"/>
      <c r="M798" s="65"/>
      <c r="N798" s="65"/>
      <c r="O798" s="65"/>
      <c r="P798" s="65"/>
      <c r="Q798" s="65"/>
      <c r="R798" s="65"/>
      <c r="S798" s="65"/>
      <c r="T798" s="65"/>
    </row>
    <row r="799" spans="3:20">
      <c r="C799" s="65"/>
      <c r="D799" s="65"/>
      <c r="E799" s="65"/>
      <c r="F799" s="65"/>
      <c r="G799" s="65"/>
      <c r="H799" s="65"/>
      <c r="I799" s="65"/>
      <c r="J799" s="65"/>
      <c r="K799" s="65"/>
      <c r="L799" s="65"/>
      <c r="M799" s="65"/>
      <c r="N799" s="65"/>
      <c r="O799" s="65"/>
      <c r="P799" s="65"/>
      <c r="Q799" s="65"/>
      <c r="R799" s="65"/>
      <c r="S799" s="65"/>
      <c r="T799" s="65"/>
    </row>
    <row r="800" spans="3:20">
      <c r="C800" s="65"/>
      <c r="D800" s="65"/>
      <c r="E800" s="65"/>
      <c r="F800" s="65"/>
      <c r="G800" s="65"/>
      <c r="H800" s="65"/>
      <c r="I800" s="65"/>
      <c r="J800" s="65"/>
      <c r="K800" s="65"/>
      <c r="L800" s="65"/>
      <c r="M800" s="65"/>
      <c r="N800" s="65"/>
      <c r="O800" s="65"/>
      <c r="P800" s="65"/>
      <c r="Q800" s="65"/>
      <c r="R800" s="65"/>
      <c r="S800" s="65"/>
      <c r="T800" s="65"/>
    </row>
    <row r="801" spans="3:20">
      <c r="C801" s="65"/>
      <c r="D801" s="65"/>
      <c r="E801" s="65"/>
      <c r="F801" s="65"/>
      <c r="G801" s="65"/>
      <c r="H801" s="65"/>
      <c r="I801" s="65"/>
      <c r="J801" s="65"/>
      <c r="K801" s="65"/>
      <c r="L801" s="65"/>
      <c r="M801" s="65"/>
      <c r="N801" s="65"/>
      <c r="O801" s="65"/>
      <c r="P801" s="65"/>
      <c r="Q801" s="65"/>
      <c r="R801" s="65"/>
      <c r="S801" s="65"/>
      <c r="T801" s="65"/>
    </row>
    <row r="802" spans="3:20">
      <c r="C802" s="65"/>
      <c r="D802" s="65"/>
      <c r="E802" s="65"/>
      <c r="F802" s="65"/>
      <c r="G802" s="65"/>
      <c r="H802" s="65"/>
      <c r="I802" s="65"/>
      <c r="J802" s="65"/>
      <c r="K802" s="65"/>
      <c r="L802" s="65"/>
      <c r="M802" s="65"/>
      <c r="N802" s="65"/>
      <c r="O802" s="65"/>
      <c r="P802" s="65"/>
      <c r="Q802" s="65"/>
      <c r="R802" s="65"/>
      <c r="S802" s="65"/>
      <c r="T802" s="65"/>
    </row>
    <row r="803" spans="3:20">
      <c r="C803" s="65"/>
      <c r="D803" s="65"/>
      <c r="E803" s="65"/>
      <c r="F803" s="65"/>
      <c r="G803" s="65"/>
      <c r="H803" s="65"/>
      <c r="I803" s="65"/>
      <c r="J803" s="65"/>
      <c r="K803" s="65"/>
      <c r="L803" s="65"/>
      <c r="M803" s="65"/>
      <c r="N803" s="65"/>
      <c r="O803" s="65"/>
      <c r="P803" s="65"/>
      <c r="Q803" s="65"/>
      <c r="R803" s="65"/>
      <c r="S803" s="65"/>
      <c r="T803" s="65"/>
    </row>
    <row r="804" spans="3:20">
      <c r="C804" s="65"/>
      <c r="D804" s="65"/>
      <c r="E804" s="65"/>
      <c r="F804" s="65"/>
      <c r="G804" s="65"/>
      <c r="H804" s="65"/>
      <c r="I804" s="65"/>
      <c r="J804" s="65"/>
      <c r="K804" s="65"/>
      <c r="L804" s="65"/>
      <c r="M804" s="65"/>
      <c r="N804" s="65"/>
      <c r="O804" s="65"/>
      <c r="P804" s="65"/>
      <c r="Q804" s="65"/>
      <c r="R804" s="65"/>
      <c r="S804" s="65"/>
      <c r="T804" s="65"/>
    </row>
    <row r="805" spans="3:20">
      <c r="C805" s="65"/>
      <c r="D805" s="65"/>
      <c r="E805" s="65"/>
      <c r="F805" s="65"/>
      <c r="G805" s="65"/>
      <c r="H805" s="65"/>
      <c r="I805" s="65"/>
      <c r="J805" s="65"/>
      <c r="K805" s="65"/>
      <c r="L805" s="65"/>
      <c r="M805" s="65"/>
      <c r="N805" s="65"/>
      <c r="O805" s="65"/>
      <c r="P805" s="65"/>
      <c r="Q805" s="65"/>
      <c r="R805" s="65"/>
      <c r="S805" s="65"/>
      <c r="T805" s="65"/>
    </row>
    <row r="806" spans="3:20">
      <c r="C806" s="65"/>
      <c r="D806" s="65"/>
      <c r="E806" s="65"/>
      <c r="F806" s="65"/>
      <c r="G806" s="65"/>
      <c r="H806" s="65"/>
      <c r="I806" s="65"/>
      <c r="J806" s="65"/>
      <c r="K806" s="65"/>
      <c r="L806" s="65"/>
      <c r="M806" s="65"/>
      <c r="N806" s="65"/>
      <c r="O806" s="65"/>
      <c r="P806" s="65"/>
      <c r="Q806" s="65"/>
      <c r="R806" s="65"/>
      <c r="S806" s="65"/>
      <c r="T806" s="65"/>
    </row>
    <row r="807" spans="3:20">
      <c r="C807" s="65"/>
      <c r="D807" s="65"/>
      <c r="E807" s="65"/>
      <c r="F807" s="65"/>
      <c r="G807" s="65"/>
      <c r="H807" s="65"/>
      <c r="I807" s="65"/>
      <c r="J807" s="65"/>
      <c r="K807" s="65"/>
      <c r="L807" s="65"/>
      <c r="M807" s="65"/>
      <c r="N807" s="65"/>
      <c r="O807" s="65"/>
      <c r="P807" s="65"/>
      <c r="Q807" s="65"/>
      <c r="R807" s="65"/>
      <c r="S807" s="65"/>
      <c r="T807" s="65"/>
    </row>
    <row r="808" spans="3:20">
      <c r="C808" s="65"/>
      <c r="D808" s="65"/>
      <c r="E808" s="65"/>
      <c r="F808" s="65"/>
      <c r="G808" s="65"/>
      <c r="H808" s="65"/>
      <c r="I808" s="65"/>
      <c r="J808" s="65"/>
      <c r="K808" s="65"/>
      <c r="L808" s="65"/>
      <c r="M808" s="65"/>
      <c r="N808" s="65"/>
      <c r="O808" s="65"/>
      <c r="P808" s="65"/>
      <c r="Q808" s="65"/>
      <c r="R808" s="65"/>
      <c r="S808" s="65"/>
      <c r="T808" s="65"/>
    </row>
    <row r="809" spans="3:20">
      <c r="C809" s="65"/>
      <c r="D809" s="65"/>
      <c r="E809" s="65"/>
      <c r="F809" s="65"/>
      <c r="G809" s="65"/>
      <c r="H809" s="65"/>
      <c r="I809" s="65"/>
      <c r="J809" s="65"/>
      <c r="K809" s="65"/>
      <c r="L809" s="65"/>
      <c r="M809" s="65"/>
      <c r="N809" s="65"/>
      <c r="O809" s="65"/>
      <c r="P809" s="65"/>
      <c r="Q809" s="65"/>
      <c r="R809" s="65"/>
      <c r="S809" s="65"/>
      <c r="T809" s="65"/>
    </row>
    <row r="810" spans="3:20">
      <c r="C810" s="65"/>
      <c r="D810" s="65"/>
      <c r="E810" s="65"/>
      <c r="F810" s="65"/>
      <c r="G810" s="65"/>
      <c r="H810" s="65"/>
      <c r="I810" s="65"/>
      <c r="J810" s="65"/>
      <c r="K810" s="65"/>
      <c r="L810" s="65"/>
      <c r="M810" s="65"/>
      <c r="N810" s="65"/>
      <c r="O810" s="65"/>
      <c r="P810" s="65"/>
      <c r="Q810" s="65"/>
      <c r="R810" s="65"/>
      <c r="S810" s="65"/>
      <c r="T810" s="65"/>
    </row>
    <row r="811" spans="3:20">
      <c r="C811" s="65"/>
      <c r="D811" s="65"/>
      <c r="E811" s="65"/>
      <c r="F811" s="65"/>
      <c r="G811" s="65"/>
      <c r="H811" s="65"/>
      <c r="I811" s="65"/>
      <c r="J811" s="65"/>
      <c r="K811" s="65"/>
      <c r="L811" s="65"/>
      <c r="M811" s="65"/>
      <c r="N811" s="65"/>
      <c r="O811" s="65"/>
      <c r="P811" s="65"/>
      <c r="Q811" s="65"/>
      <c r="R811" s="65"/>
      <c r="S811" s="65"/>
      <c r="T811" s="65"/>
    </row>
    <row r="812" spans="3:20">
      <c r="C812" s="65"/>
      <c r="D812" s="65"/>
      <c r="E812" s="65"/>
      <c r="F812" s="65"/>
      <c r="G812" s="65"/>
      <c r="H812" s="65"/>
      <c r="I812" s="65"/>
      <c r="J812" s="65"/>
      <c r="K812" s="65"/>
      <c r="L812" s="65"/>
      <c r="M812" s="65"/>
      <c r="N812" s="65"/>
      <c r="O812" s="65"/>
      <c r="P812" s="65"/>
      <c r="Q812" s="65"/>
      <c r="R812" s="65"/>
      <c r="S812" s="65"/>
      <c r="T812" s="65"/>
    </row>
    <row r="813" spans="3:20">
      <c r="C813" s="65"/>
      <c r="D813" s="65"/>
      <c r="E813" s="65"/>
      <c r="F813" s="65"/>
      <c r="G813" s="65"/>
      <c r="H813" s="65"/>
      <c r="I813" s="65"/>
      <c r="J813" s="65"/>
      <c r="K813" s="65"/>
      <c r="L813" s="65"/>
      <c r="M813" s="65"/>
      <c r="N813" s="65"/>
      <c r="O813" s="65"/>
      <c r="P813" s="65"/>
      <c r="Q813" s="65"/>
      <c r="R813" s="65"/>
      <c r="S813" s="65"/>
      <c r="T813" s="65"/>
    </row>
    <row r="814" spans="3:20">
      <c r="C814" s="65"/>
      <c r="D814" s="65"/>
      <c r="E814" s="65"/>
      <c r="F814" s="65"/>
      <c r="G814" s="65"/>
      <c r="H814" s="65"/>
      <c r="I814" s="65"/>
      <c r="J814" s="65"/>
      <c r="K814" s="65"/>
      <c r="L814" s="65"/>
      <c r="M814" s="65"/>
      <c r="N814" s="65"/>
      <c r="O814" s="65"/>
      <c r="P814" s="65"/>
      <c r="Q814" s="65"/>
      <c r="R814" s="65"/>
      <c r="S814" s="65"/>
      <c r="T814" s="65"/>
    </row>
    <row r="815" spans="3:20">
      <c r="C815" s="65"/>
      <c r="D815" s="65"/>
      <c r="E815" s="65"/>
      <c r="F815" s="65"/>
      <c r="G815" s="65"/>
      <c r="H815" s="65"/>
      <c r="I815" s="65"/>
      <c r="J815" s="65"/>
      <c r="K815" s="65"/>
      <c r="L815" s="65"/>
      <c r="M815" s="65"/>
      <c r="N815" s="65"/>
      <c r="O815" s="65"/>
      <c r="P815" s="65"/>
      <c r="Q815" s="65"/>
      <c r="R815" s="65"/>
      <c r="S815" s="65"/>
      <c r="T815" s="65"/>
    </row>
    <row r="816" spans="3:20">
      <c r="C816" s="65"/>
      <c r="D816" s="65"/>
      <c r="E816" s="65"/>
      <c r="F816" s="65"/>
      <c r="G816" s="65"/>
      <c r="H816" s="65"/>
      <c r="I816" s="65"/>
      <c r="J816" s="65"/>
      <c r="K816" s="65"/>
      <c r="L816" s="65"/>
      <c r="M816" s="65"/>
      <c r="N816" s="65"/>
      <c r="O816" s="65"/>
      <c r="P816" s="65"/>
      <c r="Q816" s="65"/>
      <c r="R816" s="65"/>
      <c r="S816" s="65"/>
      <c r="T816" s="65"/>
    </row>
    <row r="817" spans="3:20">
      <c r="C817" s="65"/>
      <c r="D817" s="65"/>
      <c r="E817" s="65"/>
      <c r="F817" s="65"/>
      <c r="G817" s="65"/>
      <c r="H817" s="65"/>
      <c r="I817" s="65"/>
      <c r="J817" s="65"/>
      <c r="K817" s="65"/>
      <c r="L817" s="65"/>
      <c r="M817" s="65"/>
      <c r="N817" s="65"/>
      <c r="O817" s="65"/>
      <c r="P817" s="65"/>
      <c r="Q817" s="65"/>
      <c r="R817" s="65"/>
      <c r="S817" s="65"/>
      <c r="T817" s="65"/>
    </row>
    <row r="818" spans="3:20">
      <c r="C818" s="65"/>
      <c r="D818" s="65"/>
      <c r="E818" s="65"/>
      <c r="F818" s="65"/>
      <c r="G818" s="65"/>
      <c r="H818" s="65"/>
      <c r="I818" s="65"/>
      <c r="J818" s="65"/>
      <c r="K818" s="65"/>
      <c r="L818" s="65"/>
      <c r="M818" s="65"/>
      <c r="N818" s="65"/>
      <c r="O818" s="65"/>
      <c r="P818" s="65"/>
      <c r="Q818" s="65"/>
      <c r="R818" s="65"/>
      <c r="S818" s="65"/>
      <c r="T818" s="65"/>
    </row>
    <row r="819" spans="3:20">
      <c r="C819" s="65"/>
      <c r="D819" s="65"/>
      <c r="E819" s="65"/>
      <c r="F819" s="65"/>
      <c r="G819" s="65"/>
      <c r="H819" s="65"/>
      <c r="I819" s="65"/>
      <c r="J819" s="65"/>
      <c r="K819" s="65"/>
      <c r="L819" s="65"/>
      <c r="M819" s="65"/>
      <c r="N819" s="65"/>
      <c r="O819" s="65"/>
      <c r="P819" s="65"/>
      <c r="Q819" s="65"/>
      <c r="R819" s="65"/>
      <c r="S819" s="65"/>
      <c r="T819" s="65"/>
    </row>
    <row r="820" spans="3:20">
      <c r="C820" s="65"/>
      <c r="D820" s="65"/>
      <c r="E820" s="65"/>
      <c r="F820" s="65"/>
      <c r="G820" s="65"/>
      <c r="H820" s="65"/>
      <c r="I820" s="65"/>
      <c r="J820" s="65"/>
      <c r="K820" s="65"/>
      <c r="L820" s="65"/>
      <c r="M820" s="65"/>
      <c r="N820" s="65"/>
      <c r="O820" s="65"/>
      <c r="P820" s="65"/>
      <c r="Q820" s="65"/>
      <c r="R820" s="65"/>
      <c r="S820" s="65"/>
      <c r="T820" s="65"/>
    </row>
    <row r="821" spans="3:20">
      <c r="C821" s="65"/>
      <c r="D821" s="65"/>
      <c r="E821" s="65"/>
      <c r="F821" s="65"/>
      <c r="G821" s="65"/>
      <c r="H821" s="65"/>
      <c r="I821" s="65"/>
      <c r="J821" s="65"/>
      <c r="K821" s="65"/>
      <c r="L821" s="65"/>
      <c r="M821" s="65"/>
      <c r="N821" s="65"/>
      <c r="O821" s="65"/>
      <c r="P821" s="65"/>
      <c r="Q821" s="65"/>
      <c r="R821" s="65"/>
      <c r="S821" s="65"/>
      <c r="T821" s="65"/>
    </row>
    <row r="822" spans="3:20">
      <c r="C822" s="65"/>
      <c r="D822" s="65"/>
      <c r="E822" s="65"/>
      <c r="F822" s="65"/>
      <c r="G822" s="65"/>
      <c r="H822" s="65"/>
      <c r="I822" s="65"/>
      <c r="J822" s="65"/>
      <c r="K822" s="65"/>
      <c r="L822" s="65"/>
      <c r="M822" s="65"/>
      <c r="N822" s="65"/>
      <c r="O822" s="65"/>
      <c r="P822" s="65"/>
      <c r="Q822" s="65"/>
      <c r="R822" s="65"/>
      <c r="S822" s="65"/>
      <c r="T822" s="65"/>
    </row>
    <row r="823" spans="3:20">
      <c r="C823" s="65"/>
      <c r="D823" s="65"/>
      <c r="E823" s="65"/>
      <c r="F823" s="65"/>
      <c r="G823" s="65"/>
      <c r="H823" s="65"/>
      <c r="I823" s="65"/>
      <c r="J823" s="65"/>
      <c r="K823" s="65"/>
      <c r="L823" s="65"/>
      <c r="M823" s="65"/>
      <c r="N823" s="65"/>
      <c r="O823" s="65"/>
      <c r="P823" s="65"/>
      <c r="Q823" s="65"/>
      <c r="R823" s="65"/>
      <c r="S823" s="65"/>
      <c r="T823" s="65"/>
    </row>
    <row r="824" spans="3:20">
      <c r="C824" s="65"/>
      <c r="D824" s="65"/>
      <c r="E824" s="65"/>
      <c r="F824" s="65"/>
      <c r="G824" s="65"/>
      <c r="H824" s="65"/>
      <c r="I824" s="65"/>
      <c r="J824" s="65"/>
      <c r="K824" s="65"/>
      <c r="L824" s="65"/>
      <c r="M824" s="65"/>
      <c r="N824" s="65"/>
      <c r="O824" s="65"/>
      <c r="P824" s="65"/>
      <c r="Q824" s="65"/>
      <c r="R824" s="65"/>
      <c r="S824" s="65"/>
      <c r="T824" s="65"/>
    </row>
    <row r="825" spans="3:20">
      <c r="C825" s="65"/>
      <c r="D825" s="65"/>
      <c r="E825" s="65"/>
      <c r="F825" s="65"/>
      <c r="G825" s="65"/>
      <c r="H825" s="65"/>
      <c r="I825" s="65"/>
      <c r="J825" s="65"/>
      <c r="K825" s="65"/>
      <c r="L825" s="65"/>
      <c r="M825" s="65"/>
      <c r="N825" s="65"/>
      <c r="O825" s="65"/>
      <c r="P825" s="65"/>
      <c r="Q825" s="65"/>
      <c r="R825" s="65"/>
      <c r="S825" s="65"/>
      <c r="T825" s="65"/>
    </row>
    <row r="826" spans="3:20">
      <c r="C826" s="65"/>
      <c r="D826" s="65"/>
      <c r="E826" s="65"/>
      <c r="F826" s="65"/>
      <c r="G826" s="65"/>
      <c r="H826" s="65"/>
      <c r="I826" s="65"/>
      <c r="J826" s="65"/>
      <c r="K826" s="65"/>
      <c r="L826" s="65"/>
      <c r="M826" s="65"/>
      <c r="N826" s="65"/>
      <c r="O826" s="65"/>
      <c r="P826" s="65"/>
      <c r="Q826" s="65"/>
      <c r="R826" s="65"/>
      <c r="S826" s="65"/>
      <c r="T826" s="65"/>
    </row>
    <row r="827" spans="3:20">
      <c r="C827" s="65"/>
      <c r="D827" s="65"/>
      <c r="E827" s="65"/>
      <c r="F827" s="65"/>
      <c r="G827" s="65"/>
      <c r="H827" s="65"/>
      <c r="I827" s="65"/>
      <c r="J827" s="65"/>
      <c r="K827" s="65"/>
      <c r="L827" s="65"/>
      <c r="M827" s="65"/>
      <c r="N827" s="65"/>
      <c r="O827" s="65"/>
      <c r="P827" s="65"/>
      <c r="Q827" s="65"/>
      <c r="R827" s="65"/>
      <c r="S827" s="65"/>
      <c r="T827" s="65"/>
    </row>
    <row r="828" spans="3:20">
      <c r="C828" s="65"/>
      <c r="D828" s="65"/>
      <c r="E828" s="65"/>
      <c r="F828" s="65"/>
      <c r="G828" s="65"/>
      <c r="H828" s="65"/>
      <c r="I828" s="65"/>
      <c r="J828" s="65"/>
      <c r="K828" s="65"/>
      <c r="L828" s="65"/>
      <c r="M828" s="65"/>
      <c r="N828" s="65"/>
      <c r="O828" s="65"/>
      <c r="P828" s="65"/>
      <c r="Q828" s="65"/>
      <c r="R828" s="65"/>
      <c r="S828" s="65"/>
      <c r="T828" s="65"/>
    </row>
    <row r="829" spans="3:20">
      <c r="C829" s="65"/>
      <c r="D829" s="65"/>
      <c r="E829" s="65"/>
      <c r="F829" s="65"/>
      <c r="G829" s="65"/>
      <c r="H829" s="65"/>
      <c r="I829" s="65"/>
      <c r="J829" s="65"/>
      <c r="K829" s="65"/>
      <c r="L829" s="65"/>
      <c r="M829" s="65"/>
      <c r="N829" s="65"/>
      <c r="O829" s="65"/>
      <c r="P829" s="65"/>
      <c r="Q829" s="65"/>
      <c r="R829" s="65"/>
      <c r="S829" s="65"/>
      <c r="T829" s="65"/>
    </row>
    <row r="830" spans="3:20">
      <c r="C830" s="65"/>
      <c r="D830" s="65"/>
      <c r="E830" s="65"/>
      <c r="F830" s="65"/>
      <c r="G830" s="65"/>
      <c r="H830" s="65"/>
      <c r="I830" s="65"/>
      <c r="J830" s="65"/>
      <c r="K830" s="65"/>
      <c r="L830" s="65"/>
      <c r="M830" s="65"/>
      <c r="N830" s="65"/>
      <c r="O830" s="65"/>
      <c r="P830" s="65"/>
      <c r="Q830" s="65"/>
      <c r="R830" s="65"/>
      <c r="S830" s="65"/>
      <c r="T830" s="65"/>
    </row>
    <row r="831" spans="3:20">
      <c r="C831" s="65"/>
      <c r="D831" s="65"/>
      <c r="E831" s="65"/>
      <c r="F831" s="65"/>
      <c r="G831" s="65"/>
      <c r="H831" s="65"/>
      <c r="I831" s="65"/>
      <c r="J831" s="65"/>
      <c r="K831" s="65"/>
      <c r="L831" s="65"/>
      <c r="M831" s="65"/>
      <c r="N831" s="65"/>
      <c r="O831" s="65"/>
      <c r="P831" s="65"/>
      <c r="Q831" s="65"/>
      <c r="R831" s="65"/>
      <c r="S831" s="65"/>
      <c r="T831" s="65"/>
    </row>
    <row r="832" spans="3:20">
      <c r="C832" s="65"/>
      <c r="D832" s="65"/>
      <c r="E832" s="65"/>
      <c r="F832" s="65"/>
      <c r="G832" s="65"/>
      <c r="H832" s="65"/>
      <c r="I832" s="65"/>
      <c r="J832" s="65"/>
      <c r="K832" s="65"/>
      <c r="L832" s="65"/>
      <c r="M832" s="65"/>
      <c r="N832" s="65"/>
      <c r="O832" s="65"/>
      <c r="P832" s="65"/>
      <c r="Q832" s="65"/>
      <c r="R832" s="65"/>
      <c r="S832" s="65"/>
      <c r="T832" s="65"/>
    </row>
    <row r="833" spans="3:20">
      <c r="C833" s="65"/>
      <c r="D833" s="65"/>
      <c r="E833" s="65"/>
      <c r="F833" s="65"/>
      <c r="G833" s="65"/>
      <c r="H833" s="65"/>
      <c r="I833" s="65"/>
      <c r="J833" s="65"/>
      <c r="K833" s="65"/>
      <c r="L833" s="65"/>
      <c r="M833" s="65"/>
      <c r="N833" s="65"/>
      <c r="O833" s="65"/>
      <c r="P833" s="65"/>
      <c r="Q833" s="65"/>
      <c r="R833" s="65"/>
      <c r="S833" s="65"/>
      <c r="T833" s="65"/>
    </row>
    <row r="834" spans="3:20">
      <c r="C834" s="65"/>
      <c r="D834" s="65"/>
      <c r="E834" s="65"/>
      <c r="F834" s="65"/>
      <c r="G834" s="65"/>
      <c r="H834" s="65"/>
      <c r="I834" s="65"/>
      <c r="J834" s="65"/>
      <c r="K834" s="65"/>
      <c r="L834" s="65"/>
      <c r="M834" s="65"/>
      <c r="N834" s="65"/>
      <c r="O834" s="65"/>
      <c r="P834" s="65"/>
      <c r="Q834" s="65"/>
      <c r="R834" s="65"/>
      <c r="S834" s="65"/>
      <c r="T834" s="65"/>
    </row>
    <row r="835" spans="3:20">
      <c r="C835" s="65"/>
      <c r="D835" s="65"/>
      <c r="E835" s="65"/>
      <c r="F835" s="65"/>
      <c r="G835" s="65"/>
      <c r="H835" s="65"/>
      <c r="I835" s="65"/>
      <c r="J835" s="65"/>
      <c r="K835" s="65"/>
      <c r="L835" s="65"/>
      <c r="M835" s="65"/>
      <c r="N835" s="65"/>
      <c r="O835" s="65"/>
      <c r="P835" s="65"/>
      <c r="Q835" s="65"/>
      <c r="R835" s="65"/>
      <c r="S835" s="65"/>
      <c r="T835" s="65"/>
    </row>
    <row r="836" spans="3:20">
      <c r="C836" s="65"/>
      <c r="D836" s="65"/>
      <c r="E836" s="65"/>
      <c r="F836" s="65"/>
      <c r="G836" s="65"/>
      <c r="H836" s="65"/>
      <c r="I836" s="65"/>
      <c r="J836" s="65"/>
      <c r="K836" s="65"/>
      <c r="L836" s="65"/>
      <c r="M836" s="65"/>
      <c r="N836" s="65"/>
      <c r="O836" s="65"/>
      <c r="P836" s="65"/>
      <c r="Q836" s="65"/>
      <c r="R836" s="65"/>
      <c r="S836" s="65"/>
      <c r="T836" s="65"/>
    </row>
    <row r="837" spans="3:20">
      <c r="C837" s="65"/>
      <c r="D837" s="65"/>
      <c r="E837" s="65"/>
      <c r="F837" s="65"/>
      <c r="G837" s="65"/>
      <c r="H837" s="65"/>
      <c r="I837" s="65"/>
      <c r="J837" s="65"/>
      <c r="K837" s="65"/>
      <c r="L837" s="65"/>
      <c r="M837" s="65"/>
      <c r="N837" s="65"/>
      <c r="O837" s="65"/>
      <c r="P837" s="65"/>
      <c r="Q837" s="65"/>
      <c r="R837" s="65"/>
      <c r="S837" s="65"/>
      <c r="T837" s="65"/>
    </row>
    <row r="838" spans="3:20">
      <c r="C838" s="65"/>
      <c r="D838" s="65"/>
      <c r="E838" s="65"/>
      <c r="F838" s="65"/>
      <c r="G838" s="65"/>
      <c r="H838" s="65"/>
      <c r="I838" s="65"/>
      <c r="J838" s="65"/>
      <c r="K838" s="65"/>
      <c r="L838" s="65"/>
      <c r="M838" s="65"/>
      <c r="N838" s="65"/>
      <c r="O838" s="65"/>
      <c r="P838" s="65"/>
      <c r="Q838" s="65"/>
      <c r="R838" s="65"/>
      <c r="S838" s="65"/>
      <c r="T838" s="65"/>
    </row>
    <row r="839" spans="3:20">
      <c r="C839" s="65"/>
      <c r="D839" s="65"/>
      <c r="E839" s="65"/>
      <c r="F839" s="65"/>
      <c r="G839" s="65"/>
      <c r="H839" s="65"/>
      <c r="I839" s="65"/>
      <c r="J839" s="65"/>
      <c r="K839" s="65"/>
      <c r="L839" s="65"/>
      <c r="M839" s="65"/>
      <c r="N839" s="65"/>
      <c r="O839" s="65"/>
      <c r="P839" s="65"/>
      <c r="Q839" s="65"/>
      <c r="R839" s="65"/>
      <c r="S839" s="65"/>
      <c r="T839" s="65"/>
    </row>
    <row r="840" spans="3:20">
      <c r="C840" s="65"/>
      <c r="D840" s="65"/>
      <c r="E840" s="65"/>
      <c r="F840" s="65"/>
      <c r="G840" s="65"/>
      <c r="H840" s="65"/>
      <c r="I840" s="65"/>
      <c r="J840" s="65"/>
      <c r="K840" s="65"/>
      <c r="L840" s="65"/>
      <c r="M840" s="65"/>
      <c r="N840" s="65"/>
      <c r="O840" s="65"/>
      <c r="P840" s="65"/>
      <c r="Q840" s="65"/>
      <c r="R840" s="65"/>
      <c r="S840" s="65"/>
      <c r="T840" s="65"/>
    </row>
    <row r="841" spans="3:20">
      <c r="C841" s="65"/>
      <c r="D841" s="65"/>
      <c r="E841" s="65"/>
      <c r="F841" s="65"/>
      <c r="G841" s="65"/>
      <c r="H841" s="65"/>
      <c r="I841" s="65"/>
      <c r="J841" s="65"/>
      <c r="K841" s="65"/>
      <c r="L841" s="65"/>
      <c r="M841" s="65"/>
      <c r="N841" s="65"/>
      <c r="O841" s="65"/>
      <c r="P841" s="65"/>
      <c r="Q841" s="65"/>
      <c r="R841" s="65"/>
      <c r="S841" s="65"/>
      <c r="T841" s="65"/>
    </row>
    <row r="842" spans="3:20">
      <c r="C842" s="65"/>
      <c r="D842" s="65"/>
      <c r="E842" s="65"/>
      <c r="F842" s="65"/>
      <c r="G842" s="65"/>
      <c r="H842" s="65"/>
      <c r="I842" s="65"/>
      <c r="J842" s="65"/>
      <c r="K842" s="65"/>
      <c r="L842" s="65"/>
      <c r="M842" s="65"/>
      <c r="N842" s="65"/>
      <c r="O842" s="65"/>
      <c r="P842" s="65"/>
      <c r="Q842" s="65"/>
      <c r="R842" s="65"/>
      <c r="S842" s="65"/>
      <c r="T842" s="65"/>
    </row>
    <row r="843" spans="3:20">
      <c r="C843" s="65"/>
      <c r="D843" s="65"/>
      <c r="E843" s="65"/>
      <c r="F843" s="65"/>
      <c r="G843" s="65"/>
      <c r="H843" s="65"/>
      <c r="I843" s="65"/>
      <c r="J843" s="65"/>
      <c r="K843" s="65"/>
      <c r="L843" s="65"/>
      <c r="M843" s="65"/>
      <c r="N843" s="65"/>
      <c r="O843" s="65"/>
      <c r="P843" s="65"/>
      <c r="Q843" s="65"/>
      <c r="R843" s="65"/>
      <c r="S843" s="65"/>
      <c r="T843" s="65"/>
    </row>
    <row r="844" spans="3:20">
      <c r="C844" s="65"/>
      <c r="D844" s="65"/>
      <c r="E844" s="65"/>
      <c r="F844" s="65"/>
      <c r="G844" s="65"/>
      <c r="H844" s="65"/>
      <c r="I844" s="65"/>
      <c r="J844" s="65"/>
      <c r="K844" s="65"/>
      <c r="L844" s="65"/>
      <c r="M844" s="65"/>
      <c r="N844" s="65"/>
      <c r="O844" s="65"/>
      <c r="P844" s="65"/>
      <c r="Q844" s="65"/>
      <c r="R844" s="65"/>
      <c r="S844" s="65"/>
      <c r="T844" s="65"/>
    </row>
    <row r="845" spans="3:20">
      <c r="C845" s="65"/>
      <c r="D845" s="65"/>
      <c r="E845" s="65"/>
      <c r="F845" s="65"/>
      <c r="G845" s="65"/>
      <c r="H845" s="65"/>
      <c r="I845" s="65"/>
      <c r="J845" s="65"/>
      <c r="K845" s="65"/>
      <c r="L845" s="65"/>
      <c r="M845" s="65"/>
      <c r="N845" s="65"/>
      <c r="O845" s="65"/>
      <c r="P845" s="65"/>
      <c r="Q845" s="65"/>
      <c r="R845" s="65"/>
      <c r="S845" s="65"/>
      <c r="T845" s="65"/>
    </row>
    <row r="846" spans="3:20">
      <c r="C846" s="65"/>
      <c r="D846" s="65"/>
      <c r="E846" s="65"/>
      <c r="F846" s="65"/>
      <c r="G846" s="65"/>
      <c r="H846" s="65"/>
      <c r="I846" s="65"/>
      <c r="J846" s="65"/>
      <c r="K846" s="65"/>
      <c r="L846" s="65"/>
      <c r="M846" s="65"/>
      <c r="N846" s="65"/>
      <c r="O846" s="65"/>
      <c r="P846" s="65"/>
      <c r="Q846" s="65"/>
      <c r="R846" s="65"/>
      <c r="S846" s="65"/>
      <c r="T846" s="65"/>
    </row>
    <row r="847" spans="3:20">
      <c r="C847" s="65"/>
      <c r="D847" s="65"/>
      <c r="E847" s="65"/>
      <c r="F847" s="65"/>
      <c r="G847" s="65"/>
      <c r="H847" s="65"/>
      <c r="I847" s="65"/>
      <c r="J847" s="65"/>
      <c r="K847" s="65"/>
      <c r="L847" s="65"/>
      <c r="M847" s="65"/>
      <c r="N847" s="65"/>
      <c r="O847" s="65"/>
      <c r="P847" s="65"/>
      <c r="Q847" s="65"/>
      <c r="R847" s="65"/>
      <c r="S847" s="65"/>
      <c r="T847" s="65"/>
    </row>
    <row r="848" spans="3:20">
      <c r="C848" s="65"/>
      <c r="D848" s="65"/>
      <c r="E848" s="65"/>
      <c r="F848" s="65"/>
      <c r="G848" s="65"/>
      <c r="H848" s="65"/>
      <c r="I848" s="65"/>
      <c r="J848" s="65"/>
      <c r="K848" s="65"/>
      <c r="L848" s="65"/>
      <c r="M848" s="65"/>
      <c r="N848" s="65"/>
      <c r="O848" s="65"/>
      <c r="P848" s="65"/>
      <c r="Q848" s="65"/>
      <c r="R848" s="65"/>
      <c r="S848" s="65"/>
      <c r="T848" s="65"/>
    </row>
    <row r="849" spans="3:20">
      <c r="C849" s="65"/>
      <c r="D849" s="65"/>
      <c r="E849" s="65"/>
      <c r="F849" s="65"/>
      <c r="G849" s="65"/>
      <c r="H849" s="65"/>
      <c r="I849" s="65"/>
      <c r="J849" s="65"/>
      <c r="K849" s="65"/>
      <c r="L849" s="65"/>
      <c r="M849" s="65"/>
      <c r="N849" s="65"/>
      <c r="O849" s="65"/>
      <c r="P849" s="65"/>
      <c r="Q849" s="65"/>
      <c r="R849" s="65"/>
      <c r="S849" s="65"/>
      <c r="T849" s="65"/>
    </row>
    <row r="850" spans="3:20">
      <c r="C850" s="65"/>
      <c r="D850" s="65"/>
      <c r="E850" s="65"/>
      <c r="F850" s="65"/>
      <c r="G850" s="65"/>
      <c r="H850" s="65"/>
      <c r="I850" s="65"/>
      <c r="J850" s="65"/>
      <c r="K850" s="65"/>
      <c r="L850" s="65"/>
      <c r="M850" s="65"/>
      <c r="N850" s="65"/>
      <c r="O850" s="65"/>
      <c r="P850" s="65"/>
      <c r="Q850" s="65"/>
      <c r="R850" s="65"/>
      <c r="S850" s="65"/>
      <c r="T850" s="65"/>
    </row>
    <row r="851" spans="3:20">
      <c r="C851" s="65"/>
      <c r="D851" s="65"/>
      <c r="E851" s="65"/>
      <c r="F851" s="65"/>
      <c r="G851" s="65"/>
      <c r="H851" s="65"/>
      <c r="I851" s="65"/>
      <c r="J851" s="65"/>
      <c r="K851" s="65"/>
      <c r="L851" s="65"/>
      <c r="M851" s="65"/>
      <c r="N851" s="65"/>
      <c r="O851" s="65"/>
      <c r="P851" s="65"/>
      <c r="Q851" s="65"/>
      <c r="R851" s="65"/>
      <c r="S851" s="65"/>
      <c r="T851" s="65"/>
    </row>
    <row r="852" spans="3:20">
      <c r="C852" s="65"/>
      <c r="D852" s="65"/>
      <c r="E852" s="65"/>
      <c r="F852" s="65"/>
      <c r="G852" s="65"/>
      <c r="H852" s="65"/>
      <c r="I852" s="65"/>
      <c r="J852" s="65"/>
      <c r="K852" s="65"/>
      <c r="L852" s="65"/>
      <c r="M852" s="65"/>
      <c r="N852" s="65"/>
      <c r="O852" s="65"/>
      <c r="P852" s="65"/>
      <c r="Q852" s="65"/>
      <c r="R852" s="65"/>
      <c r="S852" s="65"/>
      <c r="T852" s="65"/>
    </row>
    <row r="853" spans="3:20">
      <c r="C853" s="65"/>
      <c r="D853" s="65"/>
      <c r="E853" s="65"/>
      <c r="F853" s="65"/>
      <c r="G853" s="65"/>
      <c r="H853" s="65"/>
      <c r="I853" s="65"/>
      <c r="J853" s="65"/>
      <c r="K853" s="65"/>
      <c r="L853" s="65"/>
      <c r="M853" s="65"/>
      <c r="N853" s="65"/>
      <c r="O853" s="65"/>
      <c r="P853" s="65"/>
      <c r="Q853" s="65"/>
      <c r="R853" s="65"/>
      <c r="S853" s="65"/>
      <c r="T853" s="65"/>
    </row>
    <row r="854" spans="3:20">
      <c r="C854" s="65"/>
      <c r="D854" s="65"/>
      <c r="E854" s="65"/>
      <c r="F854" s="65"/>
      <c r="G854" s="65"/>
      <c r="H854" s="65"/>
      <c r="I854" s="65"/>
      <c r="J854" s="65"/>
      <c r="K854" s="65"/>
      <c r="L854" s="65"/>
      <c r="M854" s="65"/>
      <c r="N854" s="65"/>
      <c r="O854" s="65"/>
      <c r="P854" s="65"/>
      <c r="Q854" s="65"/>
      <c r="R854" s="65"/>
      <c r="S854" s="65"/>
      <c r="T854" s="65"/>
    </row>
    <row r="855" spans="3:20">
      <c r="C855" s="65"/>
      <c r="D855" s="65"/>
      <c r="E855" s="65"/>
      <c r="F855" s="65"/>
      <c r="G855" s="65"/>
      <c r="H855" s="65"/>
      <c r="I855" s="65"/>
      <c r="J855" s="65"/>
      <c r="K855" s="65"/>
      <c r="L855" s="65"/>
      <c r="M855" s="65"/>
      <c r="N855" s="65"/>
      <c r="O855" s="65"/>
      <c r="P855" s="65"/>
      <c r="Q855" s="65"/>
      <c r="R855" s="65"/>
      <c r="S855" s="65"/>
      <c r="T855" s="65"/>
    </row>
    <row r="856" spans="3:20">
      <c r="C856" s="65"/>
      <c r="D856" s="65"/>
      <c r="E856" s="65"/>
      <c r="F856" s="65"/>
      <c r="G856" s="65"/>
      <c r="H856" s="65"/>
      <c r="I856" s="65"/>
      <c r="J856" s="65"/>
      <c r="K856" s="65"/>
      <c r="L856" s="65"/>
      <c r="M856" s="65"/>
      <c r="N856" s="65"/>
      <c r="O856" s="65"/>
      <c r="P856" s="65"/>
      <c r="Q856" s="65"/>
      <c r="R856" s="65"/>
      <c r="S856" s="65"/>
      <c r="T856" s="65"/>
    </row>
    <row r="857" spans="3:20">
      <c r="C857" s="65"/>
      <c r="D857" s="65"/>
      <c r="E857" s="65"/>
      <c r="F857" s="65"/>
      <c r="G857" s="65"/>
      <c r="H857" s="65"/>
      <c r="I857" s="65"/>
      <c r="J857" s="65"/>
      <c r="K857" s="65"/>
      <c r="L857" s="65"/>
      <c r="M857" s="65"/>
      <c r="N857" s="65"/>
      <c r="O857" s="65"/>
      <c r="P857" s="65"/>
      <c r="Q857" s="65"/>
      <c r="R857" s="65"/>
      <c r="S857" s="65"/>
      <c r="T857" s="65"/>
    </row>
    <row r="858" spans="3:20">
      <c r="C858" s="65"/>
      <c r="D858" s="65"/>
      <c r="E858" s="65"/>
      <c r="F858" s="65"/>
      <c r="G858" s="65"/>
      <c r="H858" s="65"/>
      <c r="I858" s="65"/>
      <c r="J858" s="65"/>
      <c r="K858" s="65"/>
      <c r="L858" s="65"/>
      <c r="M858" s="65"/>
      <c r="N858" s="65"/>
      <c r="O858" s="65"/>
      <c r="P858" s="65"/>
      <c r="Q858" s="65"/>
      <c r="R858" s="65"/>
      <c r="S858" s="65"/>
      <c r="T858" s="65"/>
    </row>
    <row r="859" spans="3:20">
      <c r="C859" s="65"/>
      <c r="D859" s="65"/>
      <c r="E859" s="65"/>
      <c r="F859" s="65"/>
      <c r="G859" s="65"/>
      <c r="H859" s="65"/>
      <c r="I859" s="65"/>
      <c r="J859" s="65"/>
      <c r="K859" s="65"/>
      <c r="L859" s="65"/>
      <c r="M859" s="65"/>
      <c r="N859" s="65"/>
      <c r="O859" s="65"/>
      <c r="P859" s="65"/>
      <c r="Q859" s="65"/>
      <c r="R859" s="65"/>
      <c r="S859" s="65"/>
      <c r="T859" s="65"/>
    </row>
    <row r="860" spans="3:20">
      <c r="C860" s="65"/>
      <c r="D860" s="65"/>
      <c r="E860" s="65"/>
      <c r="F860" s="65"/>
      <c r="G860" s="65"/>
      <c r="H860" s="65"/>
      <c r="I860" s="65"/>
      <c r="J860" s="65"/>
      <c r="K860" s="65"/>
      <c r="L860" s="65"/>
      <c r="M860" s="65"/>
      <c r="N860" s="65"/>
      <c r="O860" s="65"/>
      <c r="P860" s="65"/>
      <c r="Q860" s="65"/>
      <c r="R860" s="65"/>
      <c r="S860" s="65"/>
      <c r="T860" s="65"/>
    </row>
    <row r="861" spans="3:20">
      <c r="C861" s="65"/>
      <c r="D861" s="65"/>
      <c r="E861" s="65"/>
      <c r="F861" s="65"/>
      <c r="G861" s="65"/>
      <c r="H861" s="65"/>
      <c r="I861" s="65"/>
      <c r="J861" s="65"/>
      <c r="K861" s="65"/>
      <c r="L861" s="65"/>
      <c r="M861" s="65"/>
      <c r="N861" s="65"/>
      <c r="O861" s="65"/>
      <c r="P861" s="65"/>
      <c r="Q861" s="65"/>
      <c r="R861" s="65"/>
      <c r="S861" s="65"/>
      <c r="T861" s="65"/>
    </row>
    <row r="862" spans="3:20">
      <c r="C862" s="65"/>
      <c r="D862" s="65"/>
      <c r="E862" s="65"/>
      <c r="F862" s="65"/>
      <c r="G862" s="65"/>
      <c r="H862" s="65"/>
      <c r="I862" s="65"/>
      <c r="J862" s="65"/>
      <c r="K862" s="65"/>
      <c r="L862" s="65"/>
      <c r="M862" s="65"/>
      <c r="N862" s="65"/>
      <c r="O862" s="65"/>
      <c r="P862" s="65"/>
      <c r="Q862" s="65"/>
      <c r="R862" s="65"/>
      <c r="S862" s="65"/>
      <c r="T862" s="65"/>
    </row>
    <row r="863" spans="3:20">
      <c r="C863" s="65"/>
      <c r="D863" s="65"/>
      <c r="E863" s="65"/>
      <c r="F863" s="65"/>
      <c r="G863" s="65"/>
      <c r="H863" s="65"/>
      <c r="I863" s="65"/>
      <c r="J863" s="65"/>
      <c r="K863" s="65"/>
      <c r="L863" s="65"/>
      <c r="M863" s="65"/>
      <c r="N863" s="65"/>
      <c r="O863" s="65"/>
      <c r="P863" s="65"/>
      <c r="Q863" s="65"/>
      <c r="R863" s="65"/>
      <c r="S863" s="65"/>
      <c r="T863" s="65"/>
    </row>
    <row r="864" spans="3:20">
      <c r="C864" s="65"/>
      <c r="D864" s="65"/>
      <c r="E864" s="65"/>
      <c r="F864" s="65"/>
      <c r="G864" s="65"/>
      <c r="H864" s="65"/>
      <c r="I864" s="65"/>
      <c r="J864" s="65"/>
      <c r="K864" s="65"/>
      <c r="L864" s="65"/>
      <c r="M864" s="65"/>
      <c r="N864" s="65"/>
      <c r="O864" s="65"/>
      <c r="P864" s="65"/>
      <c r="Q864" s="65"/>
      <c r="R864" s="65"/>
      <c r="S864" s="65"/>
      <c r="T864" s="65"/>
    </row>
    <row r="865" spans="3:20">
      <c r="C865" s="65"/>
      <c r="D865" s="65"/>
      <c r="E865" s="65"/>
      <c r="F865" s="65"/>
      <c r="G865" s="65"/>
      <c r="H865" s="65"/>
      <c r="I865" s="65"/>
      <c r="J865" s="65"/>
      <c r="K865" s="65"/>
      <c r="L865" s="65"/>
      <c r="M865" s="65"/>
      <c r="N865" s="65"/>
      <c r="O865" s="65"/>
      <c r="P865" s="65"/>
      <c r="Q865" s="65"/>
      <c r="R865" s="65"/>
      <c r="S865" s="65"/>
      <c r="T865" s="65"/>
    </row>
    <row r="866" spans="3:20">
      <c r="C866" s="65"/>
      <c r="D866" s="65"/>
      <c r="E866" s="65"/>
      <c r="F866" s="65"/>
      <c r="G866" s="65"/>
      <c r="H866" s="65"/>
      <c r="I866" s="65"/>
      <c r="J866" s="65"/>
      <c r="K866" s="65"/>
      <c r="L866" s="65"/>
      <c r="M866" s="65"/>
      <c r="N866" s="65"/>
      <c r="O866" s="65"/>
      <c r="P866" s="65"/>
      <c r="Q866" s="65"/>
      <c r="R866" s="65"/>
      <c r="S866" s="65"/>
      <c r="T866" s="65"/>
    </row>
    <row r="867" spans="3:20">
      <c r="C867" s="65"/>
      <c r="D867" s="65"/>
      <c r="E867" s="65"/>
      <c r="F867" s="65"/>
      <c r="G867" s="65"/>
      <c r="H867" s="65"/>
      <c r="I867" s="65"/>
      <c r="J867" s="65"/>
      <c r="K867" s="65"/>
      <c r="L867" s="65"/>
      <c r="M867" s="65"/>
      <c r="N867" s="65"/>
      <c r="O867" s="65"/>
      <c r="P867" s="65"/>
      <c r="Q867" s="65"/>
      <c r="R867" s="65"/>
      <c r="S867" s="65"/>
      <c r="T867" s="65"/>
    </row>
    <row r="868" spans="3:20">
      <c r="C868" s="65"/>
      <c r="D868" s="65"/>
      <c r="E868" s="65"/>
      <c r="F868" s="65"/>
      <c r="G868" s="65"/>
      <c r="H868" s="65"/>
      <c r="I868" s="65"/>
      <c r="J868" s="65"/>
      <c r="K868" s="65"/>
      <c r="L868" s="65"/>
      <c r="M868" s="65"/>
      <c r="N868" s="65"/>
      <c r="O868" s="65"/>
      <c r="P868" s="65"/>
      <c r="Q868" s="65"/>
      <c r="R868" s="65"/>
      <c r="S868" s="65"/>
      <c r="T868" s="65"/>
    </row>
    <row r="869" spans="3:20">
      <c r="C869" s="65"/>
      <c r="D869" s="65"/>
      <c r="E869" s="65"/>
      <c r="F869" s="65"/>
      <c r="G869" s="65"/>
      <c r="H869" s="65"/>
      <c r="I869" s="65"/>
      <c r="J869" s="65"/>
      <c r="K869" s="65"/>
      <c r="L869" s="65"/>
      <c r="M869" s="65"/>
      <c r="N869" s="65"/>
      <c r="O869" s="65"/>
      <c r="P869" s="65"/>
      <c r="Q869" s="65"/>
      <c r="R869" s="65"/>
      <c r="S869" s="65"/>
      <c r="T869" s="65"/>
    </row>
    <row r="870" spans="3:20">
      <c r="C870" s="65"/>
      <c r="D870" s="65"/>
      <c r="E870" s="65"/>
      <c r="F870" s="65"/>
      <c r="G870" s="65"/>
      <c r="H870" s="65"/>
      <c r="I870" s="65"/>
      <c r="J870" s="65"/>
      <c r="K870" s="65"/>
      <c r="L870" s="65"/>
      <c r="M870" s="65"/>
      <c r="N870" s="65"/>
      <c r="O870" s="65"/>
      <c r="P870" s="65"/>
      <c r="Q870" s="65"/>
      <c r="R870" s="65"/>
      <c r="S870" s="65"/>
      <c r="T870" s="65"/>
    </row>
    <row r="871" spans="3:20">
      <c r="C871" s="65"/>
      <c r="D871" s="65"/>
      <c r="E871" s="65"/>
      <c r="F871" s="65"/>
      <c r="G871" s="65"/>
      <c r="H871" s="65"/>
      <c r="I871" s="65"/>
      <c r="J871" s="65"/>
      <c r="K871" s="65"/>
      <c r="L871" s="65"/>
      <c r="M871" s="65"/>
      <c r="N871" s="65"/>
      <c r="O871" s="65"/>
      <c r="P871" s="65"/>
      <c r="Q871" s="65"/>
      <c r="R871" s="65"/>
      <c r="S871" s="65"/>
      <c r="T871" s="65"/>
    </row>
    <row r="872" spans="3:20">
      <c r="C872" s="65"/>
      <c r="D872" s="65"/>
      <c r="E872" s="65"/>
      <c r="F872" s="65"/>
      <c r="G872" s="65"/>
      <c r="H872" s="65"/>
      <c r="I872" s="65"/>
      <c r="J872" s="65"/>
      <c r="K872" s="65"/>
      <c r="L872" s="65"/>
      <c r="M872" s="65"/>
      <c r="N872" s="65"/>
      <c r="O872" s="65"/>
      <c r="P872" s="65"/>
      <c r="Q872" s="65"/>
      <c r="R872" s="65"/>
      <c r="S872" s="65"/>
      <c r="T872" s="65"/>
    </row>
    <row r="873" spans="3:20">
      <c r="C873" s="65"/>
      <c r="D873" s="65"/>
      <c r="E873" s="65"/>
      <c r="F873" s="65"/>
      <c r="G873" s="65"/>
      <c r="H873" s="65"/>
      <c r="I873" s="65"/>
      <c r="J873" s="65"/>
      <c r="K873" s="65"/>
      <c r="L873" s="65"/>
      <c r="M873" s="65"/>
      <c r="N873" s="65"/>
      <c r="O873" s="65"/>
      <c r="P873" s="65"/>
      <c r="Q873" s="65"/>
      <c r="R873" s="65"/>
      <c r="S873" s="65"/>
      <c r="T873" s="65"/>
    </row>
    <row r="874" spans="3:20">
      <c r="C874" s="65"/>
      <c r="D874" s="65"/>
      <c r="E874" s="65"/>
      <c r="F874" s="65"/>
      <c r="G874" s="65"/>
      <c r="H874" s="65"/>
      <c r="I874" s="65"/>
      <c r="J874" s="65"/>
      <c r="K874" s="65"/>
      <c r="L874" s="65"/>
      <c r="M874" s="65"/>
      <c r="N874" s="65"/>
      <c r="O874" s="65"/>
      <c r="P874" s="65"/>
      <c r="Q874" s="65"/>
      <c r="R874" s="65"/>
      <c r="S874" s="65"/>
      <c r="T874" s="65"/>
    </row>
    <row r="875" spans="3:20">
      <c r="C875" s="65"/>
      <c r="D875" s="65"/>
      <c r="E875" s="65"/>
      <c r="F875" s="65"/>
      <c r="G875" s="65"/>
      <c r="H875" s="65"/>
      <c r="I875" s="65"/>
      <c r="J875" s="65"/>
      <c r="K875" s="65"/>
      <c r="L875" s="65"/>
      <c r="M875" s="65"/>
      <c r="N875" s="65"/>
      <c r="O875" s="65"/>
      <c r="P875" s="65"/>
      <c r="Q875" s="65"/>
      <c r="R875" s="65"/>
      <c r="S875" s="65"/>
      <c r="T875" s="65"/>
    </row>
    <row r="876" spans="3:20">
      <c r="C876" s="65"/>
      <c r="D876" s="65"/>
      <c r="E876" s="65"/>
      <c r="F876" s="65"/>
      <c r="G876" s="65"/>
      <c r="H876" s="65"/>
      <c r="I876" s="65"/>
      <c r="J876" s="65"/>
      <c r="K876" s="65"/>
      <c r="L876" s="65"/>
      <c r="M876" s="65"/>
      <c r="N876" s="65"/>
      <c r="O876" s="65"/>
      <c r="P876" s="65"/>
      <c r="Q876" s="65"/>
      <c r="R876" s="65"/>
      <c r="S876" s="65"/>
      <c r="T876" s="65"/>
    </row>
    <row r="877" spans="3:20">
      <c r="C877" s="65"/>
      <c r="D877" s="65"/>
      <c r="E877" s="65"/>
      <c r="F877" s="65"/>
      <c r="G877" s="65"/>
      <c r="H877" s="65"/>
      <c r="I877" s="65"/>
      <c r="J877" s="65"/>
      <c r="K877" s="65"/>
      <c r="L877" s="65"/>
      <c r="M877" s="65"/>
      <c r="N877" s="65"/>
      <c r="O877" s="65"/>
      <c r="P877" s="65"/>
      <c r="Q877" s="65"/>
      <c r="R877" s="65"/>
      <c r="S877" s="65"/>
      <c r="T877" s="65"/>
    </row>
    <row r="878" spans="3:20">
      <c r="C878" s="65"/>
      <c r="D878" s="65"/>
      <c r="E878" s="65"/>
      <c r="F878" s="65"/>
      <c r="G878" s="65"/>
      <c r="H878" s="65"/>
      <c r="I878" s="65"/>
      <c r="J878" s="65"/>
      <c r="K878" s="65"/>
      <c r="L878" s="65"/>
      <c r="M878" s="65"/>
      <c r="N878" s="65"/>
      <c r="O878" s="65"/>
      <c r="P878" s="65"/>
      <c r="Q878" s="65"/>
      <c r="R878" s="65"/>
      <c r="S878" s="65"/>
      <c r="T878" s="65"/>
    </row>
    <row r="879" spans="3:20">
      <c r="C879" s="65"/>
      <c r="D879" s="65"/>
      <c r="E879" s="65"/>
      <c r="F879" s="65"/>
      <c r="G879" s="65"/>
      <c r="H879" s="65"/>
      <c r="I879" s="65"/>
      <c r="J879" s="65"/>
      <c r="K879" s="65"/>
      <c r="L879" s="65"/>
      <c r="M879" s="65"/>
      <c r="N879" s="65"/>
      <c r="O879" s="65"/>
      <c r="P879" s="65"/>
      <c r="Q879" s="65"/>
      <c r="R879" s="65"/>
      <c r="S879" s="65"/>
      <c r="T879" s="65"/>
    </row>
    <row r="880" spans="3:20">
      <c r="C880" s="65"/>
      <c r="D880" s="65"/>
      <c r="E880" s="65"/>
      <c r="F880" s="65"/>
      <c r="G880" s="65"/>
      <c r="H880" s="65"/>
      <c r="I880" s="65"/>
      <c r="J880" s="65"/>
      <c r="K880" s="65"/>
      <c r="L880" s="65"/>
      <c r="M880" s="65"/>
      <c r="N880" s="65"/>
      <c r="O880" s="65"/>
      <c r="P880" s="65"/>
      <c r="Q880" s="65"/>
      <c r="R880" s="65"/>
      <c r="S880" s="65"/>
      <c r="T880" s="65"/>
    </row>
    <row r="881" spans="3:20">
      <c r="C881" s="65"/>
      <c r="D881" s="65"/>
      <c r="E881" s="65"/>
      <c r="F881" s="65"/>
      <c r="G881" s="65"/>
      <c r="H881" s="65"/>
      <c r="I881" s="65"/>
      <c r="J881" s="65"/>
      <c r="K881" s="65"/>
      <c r="L881" s="65"/>
      <c r="M881" s="65"/>
      <c r="N881" s="65"/>
      <c r="O881" s="65"/>
      <c r="P881" s="65"/>
      <c r="Q881" s="65"/>
      <c r="R881" s="65"/>
      <c r="S881" s="65"/>
      <c r="T881" s="65"/>
    </row>
    <row r="882" spans="3:20">
      <c r="C882" s="65"/>
      <c r="D882" s="65"/>
      <c r="E882" s="65"/>
      <c r="F882" s="65"/>
      <c r="G882" s="65"/>
      <c r="H882" s="65"/>
      <c r="I882" s="65"/>
      <c r="J882" s="65"/>
      <c r="K882" s="65"/>
      <c r="L882" s="65"/>
      <c r="M882" s="65"/>
      <c r="N882" s="65"/>
      <c r="O882" s="65"/>
      <c r="P882" s="65"/>
      <c r="Q882" s="65"/>
      <c r="R882" s="65"/>
      <c r="S882" s="65"/>
      <c r="T882" s="65"/>
    </row>
    <row r="883" spans="3:20">
      <c r="C883" s="65"/>
      <c r="D883" s="65"/>
      <c r="E883" s="65"/>
      <c r="F883" s="65"/>
      <c r="G883" s="65"/>
      <c r="H883" s="65"/>
      <c r="I883" s="65"/>
      <c r="J883" s="65"/>
      <c r="K883" s="65"/>
      <c r="L883" s="65"/>
      <c r="M883" s="65"/>
      <c r="N883" s="65"/>
      <c r="O883" s="65"/>
      <c r="P883" s="65"/>
      <c r="Q883" s="65"/>
      <c r="R883" s="65"/>
      <c r="S883" s="65"/>
      <c r="T883" s="65"/>
    </row>
    <row r="884" spans="3:20">
      <c r="C884" s="65"/>
      <c r="D884" s="65"/>
      <c r="E884" s="65"/>
      <c r="F884" s="65"/>
      <c r="G884" s="65"/>
      <c r="H884" s="65"/>
      <c r="I884" s="65"/>
      <c r="J884" s="65"/>
      <c r="K884" s="65"/>
      <c r="L884" s="65"/>
      <c r="M884" s="65"/>
      <c r="N884" s="65"/>
      <c r="O884" s="65"/>
      <c r="P884" s="65"/>
      <c r="Q884" s="65"/>
      <c r="R884" s="65"/>
      <c r="S884" s="65"/>
      <c r="T884" s="65"/>
    </row>
    <row r="885" spans="3:20">
      <c r="C885" s="65"/>
      <c r="D885" s="65"/>
      <c r="E885" s="65"/>
      <c r="F885" s="65"/>
      <c r="G885" s="65"/>
      <c r="H885" s="65"/>
      <c r="I885" s="65"/>
      <c r="J885" s="65"/>
      <c r="K885" s="65"/>
      <c r="L885" s="65"/>
      <c r="M885" s="65"/>
      <c r="N885" s="65"/>
      <c r="O885" s="65"/>
      <c r="P885" s="65"/>
      <c r="Q885" s="65"/>
      <c r="R885" s="65"/>
      <c r="S885" s="65"/>
      <c r="T885" s="65"/>
    </row>
    <row r="886" spans="3:20">
      <c r="C886" s="65"/>
      <c r="D886" s="65"/>
      <c r="E886" s="65"/>
      <c r="F886" s="65"/>
      <c r="G886" s="65"/>
      <c r="H886" s="65"/>
      <c r="I886" s="65"/>
      <c r="J886" s="65"/>
      <c r="K886" s="65"/>
      <c r="L886" s="65"/>
      <c r="M886" s="65"/>
      <c r="N886" s="65"/>
      <c r="O886" s="65"/>
      <c r="P886" s="65"/>
      <c r="Q886" s="65"/>
      <c r="R886" s="65"/>
      <c r="S886" s="65"/>
      <c r="T886" s="65"/>
    </row>
    <row r="887" spans="3:20">
      <c r="C887" s="65"/>
      <c r="D887" s="65"/>
      <c r="E887" s="65"/>
      <c r="F887" s="65"/>
      <c r="G887" s="65"/>
      <c r="H887" s="65"/>
      <c r="I887" s="65"/>
      <c r="J887" s="65"/>
      <c r="K887" s="65"/>
      <c r="L887" s="65"/>
      <c r="M887" s="65"/>
      <c r="N887" s="65"/>
      <c r="O887" s="65"/>
      <c r="P887" s="65"/>
      <c r="Q887" s="65"/>
      <c r="R887" s="65"/>
      <c r="S887" s="65"/>
      <c r="T887" s="65"/>
    </row>
    <row r="888" spans="3:20">
      <c r="C888" s="65"/>
      <c r="D888" s="65"/>
      <c r="E888" s="65"/>
      <c r="F888" s="65"/>
      <c r="G888" s="65"/>
      <c r="H888" s="65"/>
      <c r="I888" s="65"/>
      <c r="J888" s="65"/>
      <c r="K888" s="65"/>
      <c r="L888" s="65"/>
      <c r="M888" s="65"/>
      <c r="N888" s="65"/>
      <c r="O888" s="65"/>
      <c r="P888" s="65"/>
      <c r="Q888" s="65"/>
      <c r="R888" s="65"/>
      <c r="S888" s="65"/>
      <c r="T888" s="65"/>
    </row>
    <row r="889" spans="3:20">
      <c r="C889" s="65"/>
      <c r="D889" s="65"/>
      <c r="E889" s="65"/>
      <c r="F889" s="65"/>
      <c r="G889" s="65"/>
      <c r="H889" s="65"/>
      <c r="I889" s="65"/>
      <c r="J889" s="65"/>
      <c r="K889" s="65"/>
      <c r="L889" s="65"/>
      <c r="M889" s="65"/>
      <c r="N889" s="65"/>
      <c r="O889" s="65"/>
      <c r="P889" s="65"/>
      <c r="Q889" s="65"/>
      <c r="R889" s="65"/>
      <c r="S889" s="65"/>
      <c r="T889" s="65"/>
    </row>
    <row r="890" spans="3:20">
      <c r="C890" s="65"/>
      <c r="D890" s="65"/>
      <c r="E890" s="65"/>
      <c r="F890" s="65"/>
      <c r="G890" s="65"/>
      <c r="H890" s="65"/>
      <c r="I890" s="65"/>
      <c r="J890" s="65"/>
      <c r="K890" s="65"/>
      <c r="L890" s="65"/>
      <c r="M890" s="65"/>
      <c r="N890" s="65"/>
      <c r="O890" s="65"/>
      <c r="P890" s="65"/>
      <c r="Q890" s="65"/>
      <c r="R890" s="65"/>
      <c r="S890" s="65"/>
      <c r="T890" s="65"/>
    </row>
    <row r="891" spans="3:20">
      <c r="C891" s="65"/>
      <c r="D891" s="65"/>
      <c r="E891" s="65"/>
      <c r="F891" s="65"/>
      <c r="G891" s="65"/>
      <c r="H891" s="65"/>
      <c r="I891" s="65"/>
      <c r="J891" s="65"/>
      <c r="K891" s="65"/>
      <c r="L891" s="65"/>
      <c r="M891" s="65"/>
      <c r="N891" s="65"/>
      <c r="O891" s="65"/>
      <c r="P891" s="65"/>
      <c r="Q891" s="65"/>
      <c r="R891" s="65"/>
      <c r="S891" s="65"/>
      <c r="T891" s="65"/>
    </row>
    <row r="892" spans="3:20">
      <c r="C892" s="65"/>
      <c r="D892" s="65"/>
      <c r="E892" s="65"/>
      <c r="F892" s="65"/>
      <c r="G892" s="65"/>
      <c r="H892" s="65"/>
      <c r="I892" s="65"/>
      <c r="J892" s="65"/>
      <c r="K892" s="65"/>
      <c r="L892" s="65"/>
      <c r="M892" s="65"/>
      <c r="N892" s="65"/>
      <c r="O892" s="65"/>
      <c r="P892" s="65"/>
      <c r="Q892" s="65"/>
      <c r="R892" s="65"/>
      <c r="S892" s="65"/>
      <c r="T892" s="65"/>
    </row>
    <row r="893" spans="3:20">
      <c r="C893" s="65"/>
      <c r="D893" s="65"/>
      <c r="E893" s="65"/>
      <c r="F893" s="65"/>
      <c r="G893" s="65"/>
      <c r="H893" s="65"/>
      <c r="I893" s="65"/>
      <c r="J893" s="65"/>
      <c r="K893" s="65"/>
      <c r="L893" s="65"/>
      <c r="M893" s="65"/>
      <c r="N893" s="65"/>
      <c r="O893" s="65"/>
      <c r="P893" s="65"/>
      <c r="Q893" s="65"/>
      <c r="R893" s="65"/>
      <c r="S893" s="65"/>
      <c r="T893" s="65"/>
    </row>
    <row r="894" spans="3:20">
      <c r="C894" s="65"/>
      <c r="D894" s="65"/>
      <c r="E894" s="65"/>
      <c r="F894" s="65"/>
      <c r="G894" s="65"/>
      <c r="H894" s="65"/>
      <c r="I894" s="65"/>
      <c r="J894" s="65"/>
      <c r="K894" s="65"/>
      <c r="L894" s="65"/>
      <c r="M894" s="65"/>
      <c r="N894" s="65"/>
      <c r="O894" s="65"/>
      <c r="P894" s="65"/>
      <c r="Q894" s="65"/>
      <c r="R894" s="65"/>
      <c r="S894" s="65"/>
      <c r="T894" s="65"/>
    </row>
    <row r="895" spans="3:20">
      <c r="C895" s="65"/>
      <c r="D895" s="65"/>
      <c r="E895" s="65"/>
      <c r="F895" s="65"/>
      <c r="G895" s="65"/>
      <c r="H895" s="65"/>
      <c r="I895" s="65"/>
      <c r="J895" s="65"/>
      <c r="K895" s="65"/>
      <c r="L895" s="65"/>
      <c r="M895" s="65"/>
      <c r="N895" s="65"/>
      <c r="O895" s="65"/>
      <c r="P895" s="65"/>
      <c r="Q895" s="65"/>
      <c r="R895" s="65"/>
      <c r="S895" s="65"/>
      <c r="T895" s="65"/>
    </row>
    <row r="896" spans="3:20">
      <c r="C896" s="65"/>
      <c r="D896" s="65"/>
      <c r="E896" s="65"/>
      <c r="F896" s="65"/>
      <c r="G896" s="65"/>
      <c r="H896" s="65"/>
      <c r="I896" s="65"/>
      <c r="J896" s="65"/>
      <c r="K896" s="65"/>
      <c r="L896" s="65"/>
      <c r="M896" s="65"/>
      <c r="N896" s="65"/>
      <c r="O896" s="65"/>
      <c r="P896" s="65"/>
      <c r="Q896" s="65"/>
      <c r="R896" s="65"/>
      <c r="S896" s="65"/>
      <c r="T896" s="65"/>
    </row>
    <row r="897" spans="3:20">
      <c r="C897" s="65"/>
      <c r="D897" s="65"/>
      <c r="E897" s="65"/>
      <c r="F897" s="65"/>
      <c r="G897" s="65"/>
      <c r="H897" s="65"/>
      <c r="I897" s="65"/>
      <c r="J897" s="65"/>
      <c r="K897" s="65"/>
      <c r="L897" s="65"/>
      <c r="M897" s="65"/>
      <c r="N897" s="65"/>
      <c r="O897" s="65"/>
      <c r="P897" s="65"/>
      <c r="Q897" s="65"/>
      <c r="R897" s="65"/>
      <c r="S897" s="65"/>
      <c r="T897" s="65"/>
    </row>
    <row r="898" spans="3:20">
      <c r="C898" s="65"/>
      <c r="D898" s="65"/>
      <c r="E898" s="65"/>
      <c r="F898" s="65"/>
      <c r="G898" s="65"/>
      <c r="H898" s="65"/>
      <c r="I898" s="65"/>
      <c r="J898" s="65"/>
      <c r="K898" s="65"/>
      <c r="L898" s="65"/>
      <c r="M898" s="65"/>
      <c r="N898" s="65"/>
      <c r="O898" s="65"/>
      <c r="P898" s="65"/>
      <c r="Q898" s="65"/>
      <c r="R898" s="65"/>
      <c r="S898" s="65"/>
      <c r="T898" s="65"/>
    </row>
    <row r="899" spans="3:20">
      <c r="C899" s="65"/>
      <c r="D899" s="65"/>
      <c r="E899" s="65"/>
      <c r="F899" s="65"/>
      <c r="G899" s="65"/>
      <c r="H899" s="65"/>
      <c r="I899" s="65"/>
      <c r="J899" s="65"/>
      <c r="K899" s="65"/>
      <c r="L899" s="65"/>
      <c r="M899" s="65"/>
      <c r="N899" s="65"/>
      <c r="O899" s="65"/>
      <c r="P899" s="65"/>
      <c r="Q899" s="65"/>
      <c r="R899" s="65"/>
      <c r="S899" s="65"/>
      <c r="T899" s="65"/>
    </row>
    <row r="900" spans="3:20">
      <c r="C900" s="65"/>
      <c r="D900" s="65"/>
      <c r="E900" s="65"/>
      <c r="F900" s="65"/>
      <c r="G900" s="65"/>
      <c r="H900" s="65"/>
      <c r="I900" s="65"/>
      <c r="J900" s="65"/>
      <c r="K900" s="65"/>
      <c r="L900" s="65"/>
      <c r="M900" s="65"/>
      <c r="N900" s="65"/>
      <c r="O900" s="65"/>
      <c r="P900" s="65"/>
      <c r="Q900" s="65"/>
      <c r="R900" s="65"/>
      <c r="S900" s="65"/>
      <c r="T900" s="65"/>
    </row>
    <row r="901" spans="3:20">
      <c r="C901" s="65"/>
      <c r="D901" s="65"/>
      <c r="E901" s="65"/>
      <c r="F901" s="65"/>
      <c r="G901" s="65"/>
      <c r="H901" s="65"/>
      <c r="I901" s="65"/>
      <c r="J901" s="65"/>
      <c r="K901" s="65"/>
      <c r="L901" s="65"/>
      <c r="M901" s="65"/>
      <c r="N901" s="65"/>
      <c r="O901" s="65"/>
      <c r="P901" s="65"/>
      <c r="Q901" s="65"/>
      <c r="R901" s="65"/>
      <c r="S901" s="65"/>
      <c r="T901" s="65"/>
    </row>
    <row r="902" spans="3:20">
      <c r="C902" s="65"/>
      <c r="D902" s="65"/>
      <c r="E902" s="65"/>
      <c r="F902" s="65"/>
      <c r="G902" s="65"/>
      <c r="H902" s="65"/>
      <c r="I902" s="65"/>
      <c r="J902" s="65"/>
      <c r="K902" s="65"/>
      <c r="L902" s="65"/>
      <c r="M902" s="65"/>
      <c r="N902" s="65"/>
      <c r="O902" s="65"/>
      <c r="P902" s="65"/>
      <c r="Q902" s="65"/>
      <c r="R902" s="65"/>
      <c r="S902" s="65"/>
      <c r="T902" s="65"/>
    </row>
    <row r="903" spans="3:20">
      <c r="C903" s="65"/>
      <c r="D903" s="65"/>
      <c r="E903" s="65"/>
      <c r="F903" s="65"/>
      <c r="G903" s="65"/>
      <c r="H903" s="65"/>
      <c r="I903" s="65"/>
      <c r="J903" s="65"/>
      <c r="K903" s="65"/>
      <c r="L903" s="65"/>
      <c r="M903" s="65"/>
      <c r="N903" s="65"/>
      <c r="O903" s="65"/>
      <c r="P903" s="65"/>
      <c r="Q903" s="65"/>
      <c r="R903" s="65"/>
      <c r="S903" s="65"/>
      <c r="T903" s="65"/>
    </row>
    <row r="904" spans="3:20">
      <c r="C904" s="65"/>
      <c r="D904" s="65"/>
      <c r="E904" s="65"/>
      <c r="F904" s="65"/>
      <c r="G904" s="65"/>
      <c r="H904" s="65"/>
      <c r="I904" s="65"/>
      <c r="J904" s="65"/>
      <c r="K904" s="65"/>
      <c r="L904" s="65"/>
      <c r="M904" s="65"/>
      <c r="N904" s="65"/>
      <c r="O904" s="65"/>
      <c r="P904" s="65"/>
      <c r="Q904" s="65"/>
      <c r="R904" s="65"/>
      <c r="S904" s="65"/>
      <c r="T904" s="65"/>
    </row>
    <row r="905" spans="3:20">
      <c r="C905" s="65"/>
      <c r="D905" s="65"/>
      <c r="E905" s="65"/>
      <c r="F905" s="65"/>
      <c r="G905" s="65"/>
      <c r="H905" s="65"/>
      <c r="I905" s="65"/>
      <c r="J905" s="65"/>
      <c r="K905" s="65"/>
      <c r="L905" s="65"/>
      <c r="M905" s="65"/>
      <c r="N905" s="65"/>
      <c r="O905" s="65"/>
      <c r="P905" s="65"/>
      <c r="Q905" s="65"/>
      <c r="R905" s="65"/>
      <c r="S905" s="65"/>
      <c r="T905" s="65"/>
    </row>
    <row r="906" spans="3:20">
      <c r="C906" s="65"/>
      <c r="D906" s="65"/>
      <c r="E906" s="65"/>
      <c r="F906" s="65"/>
      <c r="G906" s="65"/>
      <c r="H906" s="65"/>
      <c r="I906" s="65"/>
      <c r="J906" s="65"/>
      <c r="K906" s="65"/>
      <c r="L906" s="65"/>
      <c r="M906" s="65"/>
      <c r="N906" s="65"/>
      <c r="O906" s="65"/>
      <c r="P906" s="65"/>
      <c r="Q906" s="65"/>
      <c r="R906" s="65"/>
      <c r="S906" s="65"/>
      <c r="T906" s="65"/>
    </row>
    <row r="907" spans="3:20">
      <c r="C907" s="65"/>
      <c r="D907" s="65"/>
      <c r="E907" s="65"/>
      <c r="F907" s="65"/>
      <c r="G907" s="65"/>
      <c r="H907" s="65"/>
      <c r="I907" s="65"/>
      <c r="J907" s="65"/>
      <c r="K907" s="65"/>
      <c r="L907" s="65"/>
      <c r="M907" s="65"/>
      <c r="N907" s="65"/>
      <c r="O907" s="65"/>
      <c r="P907" s="65"/>
      <c r="Q907" s="65"/>
      <c r="R907" s="65"/>
      <c r="S907" s="65"/>
      <c r="T907" s="65"/>
    </row>
    <row r="908" spans="3:20">
      <c r="C908" s="65"/>
      <c r="D908" s="65"/>
      <c r="E908" s="65"/>
      <c r="F908" s="65"/>
      <c r="G908" s="65"/>
      <c r="H908" s="65"/>
      <c r="I908" s="65"/>
      <c r="J908" s="65"/>
      <c r="K908" s="65"/>
      <c r="L908" s="65"/>
      <c r="M908" s="65"/>
      <c r="N908" s="65"/>
      <c r="O908" s="65"/>
      <c r="P908" s="65"/>
      <c r="Q908" s="65"/>
      <c r="R908" s="65"/>
      <c r="S908" s="65"/>
      <c r="T908" s="65"/>
    </row>
    <row r="909" spans="3:20">
      <c r="C909" s="65"/>
      <c r="D909" s="65"/>
      <c r="E909" s="65"/>
      <c r="F909" s="65"/>
      <c r="G909" s="65"/>
      <c r="H909" s="65"/>
      <c r="I909" s="65"/>
      <c r="J909" s="65"/>
      <c r="K909" s="65"/>
      <c r="L909" s="65"/>
      <c r="M909" s="65"/>
      <c r="N909" s="65"/>
      <c r="O909" s="65"/>
      <c r="P909" s="65"/>
      <c r="Q909" s="65"/>
      <c r="R909" s="65"/>
      <c r="S909" s="65"/>
      <c r="T909" s="65"/>
    </row>
    <row r="910" spans="3:20">
      <c r="C910" s="65"/>
      <c r="D910" s="65"/>
      <c r="E910" s="65"/>
      <c r="F910" s="65"/>
      <c r="G910" s="65"/>
      <c r="H910" s="65"/>
      <c r="I910" s="65"/>
      <c r="J910" s="65"/>
      <c r="K910" s="65"/>
      <c r="L910" s="65"/>
      <c r="M910" s="65"/>
      <c r="N910" s="65"/>
      <c r="O910" s="65"/>
      <c r="P910" s="65"/>
      <c r="Q910" s="65"/>
      <c r="R910" s="65"/>
      <c r="S910" s="65"/>
      <c r="T910" s="65"/>
    </row>
    <row r="911" spans="3:20">
      <c r="C911" s="65"/>
      <c r="D911" s="65"/>
      <c r="E911" s="65"/>
      <c r="F911" s="65"/>
      <c r="G911" s="65"/>
      <c r="H911" s="65"/>
      <c r="I911" s="65"/>
      <c r="J911" s="65"/>
      <c r="K911" s="65"/>
      <c r="L911" s="65"/>
      <c r="M911" s="65"/>
      <c r="N911" s="65"/>
      <c r="O911" s="65"/>
      <c r="P911" s="65"/>
      <c r="Q911" s="65"/>
      <c r="R911" s="65"/>
      <c r="S911" s="65"/>
      <c r="T911" s="65"/>
    </row>
    <row r="912" spans="3:20">
      <c r="C912" s="65"/>
      <c r="D912" s="65"/>
      <c r="E912" s="65"/>
      <c r="F912" s="65"/>
      <c r="G912" s="65"/>
      <c r="H912" s="65"/>
      <c r="I912" s="65"/>
      <c r="J912" s="65"/>
      <c r="K912" s="65"/>
      <c r="L912" s="65"/>
      <c r="M912" s="65"/>
      <c r="N912" s="65"/>
      <c r="O912" s="65"/>
      <c r="P912" s="65"/>
      <c r="Q912" s="65"/>
      <c r="R912" s="65"/>
      <c r="S912" s="65"/>
      <c r="T912" s="65"/>
    </row>
    <row r="913" spans="3:20">
      <c r="C913" s="65"/>
      <c r="D913" s="65"/>
      <c r="E913" s="65"/>
      <c r="F913" s="65"/>
      <c r="G913" s="65"/>
      <c r="H913" s="65"/>
      <c r="I913" s="65"/>
      <c r="J913" s="65"/>
      <c r="K913" s="65"/>
      <c r="L913" s="65"/>
      <c r="M913" s="65"/>
      <c r="N913" s="65"/>
      <c r="O913" s="65"/>
      <c r="P913" s="65"/>
      <c r="Q913" s="65"/>
      <c r="R913" s="65"/>
      <c r="S913" s="65"/>
      <c r="T913" s="65"/>
    </row>
    <row r="914" spans="3:20">
      <c r="C914" s="65"/>
      <c r="D914" s="65"/>
      <c r="E914" s="65"/>
      <c r="F914" s="65"/>
      <c r="G914" s="65"/>
      <c r="H914" s="65"/>
      <c r="I914" s="65"/>
      <c r="J914" s="65"/>
      <c r="K914" s="65"/>
      <c r="L914" s="65"/>
      <c r="M914" s="65"/>
      <c r="N914" s="65"/>
      <c r="O914" s="65"/>
      <c r="P914" s="65"/>
      <c r="Q914" s="65"/>
      <c r="R914" s="65"/>
      <c r="S914" s="65"/>
      <c r="T914" s="65"/>
    </row>
    <row r="915" spans="3:20">
      <c r="C915" s="65"/>
      <c r="D915" s="65"/>
      <c r="E915" s="65"/>
      <c r="F915" s="65"/>
      <c r="G915" s="65"/>
      <c r="H915" s="65"/>
      <c r="I915" s="65"/>
      <c r="J915" s="65"/>
      <c r="K915" s="65"/>
      <c r="L915" s="65"/>
      <c r="M915" s="65"/>
      <c r="N915" s="65"/>
      <c r="O915" s="65"/>
      <c r="P915" s="65"/>
      <c r="Q915" s="65"/>
      <c r="R915" s="65"/>
      <c r="S915" s="65"/>
      <c r="T915" s="65"/>
    </row>
    <row r="916" spans="3:20">
      <c r="C916" s="65"/>
      <c r="D916" s="65"/>
      <c r="E916" s="65"/>
      <c r="F916" s="65"/>
      <c r="G916" s="65"/>
      <c r="H916" s="65"/>
      <c r="I916" s="65"/>
      <c r="J916" s="65"/>
      <c r="K916" s="65"/>
      <c r="L916" s="65"/>
      <c r="M916" s="65"/>
      <c r="N916" s="65"/>
      <c r="O916" s="65"/>
      <c r="P916" s="65"/>
      <c r="Q916" s="65"/>
      <c r="R916" s="65"/>
      <c r="S916" s="65"/>
      <c r="T916" s="65"/>
    </row>
    <row r="917" spans="3:20">
      <c r="C917" s="65"/>
      <c r="D917" s="65"/>
      <c r="E917" s="65"/>
      <c r="F917" s="65"/>
      <c r="G917" s="65"/>
      <c r="H917" s="65"/>
      <c r="I917" s="65"/>
      <c r="J917" s="65"/>
      <c r="K917" s="65"/>
      <c r="L917" s="65"/>
      <c r="M917" s="65"/>
      <c r="N917" s="65"/>
      <c r="O917" s="65"/>
      <c r="P917" s="65"/>
      <c r="Q917" s="65"/>
      <c r="R917" s="65"/>
      <c r="S917" s="65"/>
      <c r="T917" s="65"/>
    </row>
    <row r="918" spans="3:20">
      <c r="C918" s="65"/>
      <c r="D918" s="65"/>
      <c r="E918" s="65"/>
      <c r="F918" s="65"/>
      <c r="G918" s="65"/>
      <c r="H918" s="65"/>
      <c r="I918" s="65"/>
      <c r="J918" s="65"/>
      <c r="K918" s="65"/>
      <c r="L918" s="65"/>
      <c r="M918" s="65"/>
      <c r="N918" s="65"/>
      <c r="O918" s="65"/>
      <c r="P918" s="65"/>
      <c r="Q918" s="65"/>
      <c r="R918" s="65"/>
      <c r="S918" s="65"/>
      <c r="T918" s="65"/>
    </row>
    <row r="919" spans="3:20">
      <c r="C919" s="65"/>
      <c r="D919" s="65"/>
      <c r="E919" s="65"/>
      <c r="F919" s="65"/>
      <c r="G919" s="65"/>
      <c r="H919" s="65"/>
      <c r="I919" s="65"/>
      <c r="J919" s="65"/>
      <c r="K919" s="65"/>
      <c r="L919" s="65"/>
      <c r="M919" s="65"/>
      <c r="N919" s="65"/>
      <c r="O919" s="65"/>
      <c r="P919" s="65"/>
      <c r="Q919" s="65"/>
      <c r="R919" s="65"/>
      <c r="S919" s="65"/>
      <c r="T919" s="65"/>
    </row>
    <row r="920" spans="3:20">
      <c r="C920" s="65"/>
      <c r="D920" s="65"/>
      <c r="E920" s="65"/>
      <c r="F920" s="65"/>
      <c r="G920" s="65"/>
      <c r="H920" s="65"/>
      <c r="I920" s="65"/>
      <c r="J920" s="65"/>
      <c r="K920" s="65"/>
      <c r="L920" s="65"/>
      <c r="M920" s="65"/>
      <c r="N920" s="65"/>
      <c r="O920" s="65"/>
      <c r="P920" s="65"/>
      <c r="Q920" s="65"/>
      <c r="R920" s="65"/>
      <c r="S920" s="65"/>
      <c r="T920" s="65"/>
    </row>
    <row r="921" spans="3:20">
      <c r="C921" s="65"/>
      <c r="D921" s="65"/>
      <c r="E921" s="65"/>
      <c r="F921" s="65"/>
      <c r="G921" s="65"/>
      <c r="H921" s="65"/>
      <c r="I921" s="65"/>
      <c r="J921" s="65"/>
      <c r="K921" s="65"/>
      <c r="L921" s="65"/>
      <c r="M921" s="65"/>
      <c r="N921" s="65"/>
      <c r="O921" s="65"/>
      <c r="P921" s="65"/>
      <c r="Q921" s="65"/>
      <c r="R921" s="65"/>
      <c r="S921" s="65"/>
      <c r="T921" s="65"/>
    </row>
    <row r="922" spans="3:20">
      <c r="C922" s="65"/>
      <c r="D922" s="65"/>
      <c r="E922" s="65"/>
      <c r="F922" s="65"/>
      <c r="G922" s="65"/>
      <c r="H922" s="65"/>
      <c r="I922" s="65"/>
      <c r="J922" s="65"/>
      <c r="K922" s="65"/>
      <c r="L922" s="65"/>
      <c r="M922" s="65"/>
      <c r="N922" s="65"/>
      <c r="O922" s="65"/>
      <c r="P922" s="65"/>
      <c r="Q922" s="65"/>
      <c r="R922" s="65"/>
      <c r="S922" s="65"/>
      <c r="T922" s="65"/>
    </row>
    <row r="923" spans="3:20">
      <c r="C923" s="65"/>
      <c r="D923" s="65"/>
      <c r="E923" s="65"/>
      <c r="F923" s="65"/>
      <c r="G923" s="65"/>
      <c r="H923" s="65"/>
      <c r="I923" s="65"/>
      <c r="J923" s="65"/>
      <c r="K923" s="65"/>
      <c r="L923" s="65"/>
      <c r="M923" s="65"/>
      <c r="N923" s="65"/>
      <c r="O923" s="65"/>
      <c r="P923" s="65"/>
      <c r="Q923" s="65"/>
      <c r="R923" s="65"/>
      <c r="S923" s="65"/>
      <c r="T923" s="65"/>
    </row>
    <row r="924" spans="3:20">
      <c r="C924" s="65"/>
      <c r="D924" s="65"/>
      <c r="E924" s="65"/>
      <c r="F924" s="65"/>
      <c r="G924" s="65"/>
      <c r="H924" s="65"/>
      <c r="I924" s="65"/>
      <c r="J924" s="65"/>
      <c r="K924" s="65"/>
      <c r="L924" s="65"/>
      <c r="M924" s="65"/>
      <c r="N924" s="65"/>
      <c r="O924" s="65"/>
      <c r="P924" s="65"/>
      <c r="Q924" s="65"/>
      <c r="R924" s="65"/>
      <c r="S924" s="65"/>
      <c r="T924" s="65"/>
    </row>
    <row r="925" spans="3:20">
      <c r="C925" s="65"/>
      <c r="D925" s="65"/>
      <c r="E925" s="65"/>
      <c r="F925" s="65"/>
      <c r="G925" s="65"/>
      <c r="H925" s="65"/>
      <c r="I925" s="65"/>
      <c r="J925" s="65"/>
      <c r="K925" s="65"/>
      <c r="L925" s="65"/>
      <c r="M925" s="65"/>
      <c r="N925" s="65"/>
      <c r="O925" s="65"/>
      <c r="P925" s="65"/>
      <c r="Q925" s="65"/>
      <c r="R925" s="65"/>
      <c r="S925" s="65"/>
      <c r="T925" s="65"/>
    </row>
    <row r="926" spans="3:20">
      <c r="C926" s="65"/>
      <c r="D926" s="65"/>
      <c r="E926" s="65"/>
      <c r="F926" s="65"/>
      <c r="G926" s="65"/>
      <c r="H926" s="65"/>
      <c r="I926" s="65"/>
      <c r="J926" s="65"/>
      <c r="K926" s="65"/>
      <c r="L926" s="65"/>
      <c r="M926" s="65"/>
      <c r="N926" s="65"/>
      <c r="O926" s="65"/>
      <c r="P926" s="65"/>
      <c r="Q926" s="65"/>
      <c r="R926" s="65"/>
      <c r="S926" s="65"/>
      <c r="T926" s="65"/>
    </row>
    <row r="927" spans="3:20">
      <c r="C927" s="65"/>
      <c r="D927" s="65"/>
      <c r="E927" s="65"/>
      <c r="F927" s="65"/>
      <c r="G927" s="65"/>
      <c r="H927" s="65"/>
      <c r="I927" s="65"/>
      <c r="J927" s="65"/>
      <c r="K927" s="65"/>
      <c r="L927" s="65"/>
      <c r="M927" s="65"/>
      <c r="N927" s="65"/>
      <c r="O927" s="65"/>
      <c r="P927" s="65"/>
      <c r="Q927" s="65"/>
      <c r="R927" s="65"/>
      <c r="S927" s="65"/>
      <c r="T927" s="65"/>
    </row>
    <row r="928" spans="3:20">
      <c r="C928" s="65"/>
      <c r="D928" s="65"/>
      <c r="E928" s="65"/>
      <c r="F928" s="65"/>
      <c r="G928" s="65"/>
      <c r="H928" s="65"/>
      <c r="I928" s="65"/>
      <c r="J928" s="65"/>
      <c r="K928" s="65"/>
      <c r="L928" s="65"/>
      <c r="M928" s="65"/>
      <c r="N928" s="65"/>
      <c r="O928" s="65"/>
      <c r="P928" s="65"/>
      <c r="Q928" s="65"/>
      <c r="R928" s="65"/>
      <c r="S928" s="65"/>
      <c r="T928" s="65"/>
    </row>
    <row r="929" spans="3:20">
      <c r="C929" s="65"/>
      <c r="D929" s="65"/>
      <c r="E929" s="65"/>
      <c r="F929" s="65"/>
      <c r="G929" s="65"/>
      <c r="H929" s="65"/>
      <c r="I929" s="65"/>
      <c r="J929" s="65"/>
      <c r="K929" s="65"/>
      <c r="L929" s="65"/>
      <c r="M929" s="65"/>
      <c r="N929" s="65"/>
      <c r="O929" s="65"/>
      <c r="P929" s="65"/>
      <c r="Q929" s="65"/>
      <c r="R929" s="65"/>
      <c r="S929" s="65"/>
      <c r="T929" s="65"/>
    </row>
    <row r="930" spans="3:20">
      <c r="C930" s="65"/>
      <c r="D930" s="65"/>
      <c r="E930" s="65"/>
      <c r="F930" s="65"/>
      <c r="G930" s="65"/>
      <c r="H930" s="65"/>
      <c r="I930" s="65"/>
      <c r="J930" s="65"/>
      <c r="K930" s="65"/>
      <c r="L930" s="65"/>
      <c r="M930" s="65"/>
      <c r="N930" s="65"/>
      <c r="O930" s="65"/>
      <c r="P930" s="65"/>
      <c r="Q930" s="65"/>
      <c r="R930" s="65"/>
      <c r="S930" s="65"/>
      <c r="T930" s="65"/>
    </row>
    <row r="931" spans="3:20">
      <c r="C931" s="65"/>
      <c r="D931" s="65"/>
      <c r="E931" s="65"/>
      <c r="F931" s="65"/>
      <c r="G931" s="65"/>
      <c r="H931" s="65"/>
      <c r="I931" s="65"/>
      <c r="J931" s="65"/>
      <c r="K931" s="65"/>
      <c r="L931" s="65"/>
      <c r="M931" s="65"/>
      <c r="N931" s="65"/>
      <c r="O931" s="65"/>
      <c r="P931" s="65"/>
      <c r="Q931" s="65"/>
      <c r="R931" s="65"/>
      <c r="S931" s="65"/>
      <c r="T931" s="65"/>
    </row>
    <row r="932" spans="3:20">
      <c r="C932" s="65"/>
      <c r="D932" s="65"/>
      <c r="E932" s="65"/>
      <c r="F932" s="65"/>
      <c r="G932" s="65"/>
      <c r="H932" s="65"/>
      <c r="I932" s="65"/>
      <c r="J932" s="65"/>
      <c r="K932" s="65"/>
      <c r="L932" s="65"/>
      <c r="M932" s="65"/>
      <c r="N932" s="65"/>
      <c r="O932" s="65"/>
      <c r="P932" s="65"/>
      <c r="Q932" s="65"/>
      <c r="R932" s="65"/>
      <c r="S932" s="65"/>
      <c r="T932" s="65"/>
    </row>
    <row r="933" spans="3:20">
      <c r="C933" s="65"/>
      <c r="D933" s="65"/>
      <c r="E933" s="65"/>
      <c r="F933" s="65"/>
      <c r="G933" s="65"/>
      <c r="H933" s="65"/>
      <c r="I933" s="65"/>
      <c r="J933" s="65"/>
      <c r="K933" s="65"/>
      <c r="L933" s="65"/>
      <c r="M933" s="65"/>
      <c r="N933" s="65"/>
      <c r="O933" s="65"/>
      <c r="P933" s="65"/>
      <c r="Q933" s="65"/>
      <c r="R933" s="65"/>
      <c r="S933" s="65"/>
      <c r="T933" s="65"/>
    </row>
    <row r="934" spans="3:20">
      <c r="C934" s="65"/>
      <c r="D934" s="65"/>
      <c r="E934" s="65"/>
      <c r="F934" s="65"/>
      <c r="G934" s="65"/>
      <c r="H934" s="65"/>
      <c r="I934" s="65"/>
      <c r="J934" s="65"/>
      <c r="K934" s="65"/>
      <c r="L934" s="65"/>
      <c r="M934" s="65"/>
      <c r="N934" s="65"/>
      <c r="O934" s="65"/>
      <c r="P934" s="65"/>
      <c r="Q934" s="65"/>
      <c r="R934" s="65"/>
      <c r="S934" s="65"/>
      <c r="T934" s="65"/>
    </row>
    <row r="935" spans="3:20">
      <c r="C935" s="65"/>
      <c r="D935" s="65"/>
      <c r="E935" s="65"/>
      <c r="F935" s="65"/>
      <c r="G935" s="65"/>
      <c r="H935" s="65"/>
      <c r="I935" s="65"/>
      <c r="J935" s="65"/>
      <c r="K935" s="65"/>
      <c r="L935" s="65"/>
      <c r="M935" s="65"/>
      <c r="N935" s="65"/>
      <c r="O935" s="65"/>
      <c r="P935" s="65"/>
      <c r="Q935" s="65"/>
      <c r="R935" s="65"/>
      <c r="S935" s="65"/>
      <c r="T935" s="65"/>
    </row>
    <row r="936" spans="3:20">
      <c r="C936" s="65"/>
      <c r="D936" s="65"/>
      <c r="E936" s="65"/>
      <c r="F936" s="65"/>
      <c r="G936" s="65"/>
      <c r="H936" s="65"/>
      <c r="I936" s="65"/>
      <c r="J936" s="65"/>
      <c r="K936" s="65"/>
      <c r="L936" s="65"/>
      <c r="M936" s="65"/>
      <c r="N936" s="65"/>
      <c r="O936" s="65"/>
      <c r="P936" s="65"/>
      <c r="Q936" s="65"/>
      <c r="R936" s="65"/>
      <c r="S936" s="65"/>
      <c r="T936" s="65"/>
    </row>
    <row r="937" spans="3:20">
      <c r="C937" s="65"/>
      <c r="D937" s="65"/>
      <c r="E937" s="65"/>
      <c r="F937" s="65"/>
      <c r="G937" s="65"/>
      <c r="H937" s="65"/>
      <c r="I937" s="65"/>
      <c r="J937" s="65"/>
      <c r="K937" s="65"/>
      <c r="L937" s="65"/>
      <c r="M937" s="65"/>
      <c r="N937" s="65"/>
      <c r="O937" s="65"/>
      <c r="P937" s="65"/>
      <c r="Q937" s="65"/>
      <c r="R937" s="65"/>
      <c r="S937" s="65"/>
      <c r="T937" s="65"/>
    </row>
    <row r="938" spans="3:20">
      <c r="C938" s="65"/>
      <c r="D938" s="65"/>
      <c r="E938" s="65"/>
      <c r="F938" s="65"/>
      <c r="G938" s="65"/>
      <c r="H938" s="65"/>
      <c r="I938" s="65"/>
      <c r="J938" s="65"/>
      <c r="K938" s="65"/>
      <c r="L938" s="65"/>
      <c r="M938" s="65"/>
      <c r="N938" s="65"/>
      <c r="O938" s="65"/>
      <c r="P938" s="65"/>
      <c r="Q938" s="65"/>
      <c r="R938" s="65"/>
      <c r="S938" s="65"/>
      <c r="T938" s="65"/>
    </row>
    <row r="939" spans="3:20">
      <c r="C939" s="65"/>
      <c r="D939" s="65"/>
      <c r="E939" s="65"/>
      <c r="F939" s="65"/>
      <c r="G939" s="65"/>
      <c r="H939" s="65"/>
      <c r="I939" s="65"/>
      <c r="J939" s="65"/>
      <c r="K939" s="65"/>
      <c r="L939" s="65"/>
      <c r="M939" s="65"/>
      <c r="N939" s="65"/>
      <c r="O939" s="65"/>
      <c r="P939" s="65"/>
      <c r="Q939" s="65"/>
      <c r="R939" s="65"/>
      <c r="S939" s="65"/>
      <c r="T939" s="65"/>
    </row>
    <row r="940" spans="3:20">
      <c r="C940" s="65"/>
      <c r="D940" s="65"/>
      <c r="E940" s="65"/>
      <c r="F940" s="65"/>
      <c r="G940" s="65"/>
      <c r="H940" s="65"/>
      <c r="I940" s="65"/>
      <c r="J940" s="65"/>
      <c r="K940" s="65"/>
      <c r="L940" s="65"/>
      <c r="M940" s="65"/>
      <c r="N940" s="65"/>
      <c r="O940" s="65"/>
      <c r="P940" s="65"/>
      <c r="Q940" s="65"/>
      <c r="R940" s="65"/>
      <c r="S940" s="65"/>
      <c r="T940" s="65"/>
    </row>
    <row r="941" spans="3:20">
      <c r="C941" s="65"/>
      <c r="D941" s="65"/>
      <c r="E941" s="65"/>
      <c r="F941" s="65"/>
      <c r="G941" s="65"/>
      <c r="H941" s="65"/>
      <c r="I941" s="65"/>
      <c r="J941" s="65"/>
      <c r="K941" s="65"/>
      <c r="L941" s="65"/>
      <c r="M941" s="65"/>
      <c r="N941" s="65"/>
      <c r="O941" s="65"/>
      <c r="P941" s="65"/>
      <c r="Q941" s="65"/>
      <c r="R941" s="65"/>
      <c r="S941" s="65"/>
      <c r="T941" s="65"/>
    </row>
    <row r="942" spans="3:20">
      <c r="C942" s="65"/>
      <c r="D942" s="65"/>
      <c r="E942" s="65"/>
      <c r="F942" s="65"/>
      <c r="G942" s="65"/>
      <c r="H942" s="65"/>
      <c r="I942" s="65"/>
      <c r="J942" s="65"/>
      <c r="K942" s="65"/>
      <c r="L942" s="65"/>
      <c r="M942" s="65"/>
      <c r="N942" s="65"/>
      <c r="O942" s="65"/>
      <c r="P942" s="65"/>
      <c r="Q942" s="65"/>
      <c r="R942" s="65"/>
      <c r="S942" s="65"/>
      <c r="T942" s="65"/>
    </row>
    <row r="943" spans="3:20">
      <c r="C943" s="65"/>
      <c r="D943" s="65"/>
      <c r="E943" s="65"/>
      <c r="F943" s="65"/>
      <c r="G943" s="65"/>
      <c r="H943" s="65"/>
      <c r="I943" s="65"/>
      <c r="J943" s="65"/>
      <c r="K943" s="65"/>
      <c r="L943" s="65"/>
      <c r="M943" s="65"/>
      <c r="N943" s="65"/>
      <c r="O943" s="65"/>
      <c r="P943" s="65"/>
      <c r="Q943" s="65"/>
      <c r="R943" s="65"/>
      <c r="S943" s="65"/>
      <c r="T943" s="65"/>
    </row>
    <row r="944" spans="3:20">
      <c r="C944" s="65"/>
      <c r="D944" s="65"/>
      <c r="E944" s="65"/>
      <c r="F944" s="65"/>
      <c r="G944" s="65"/>
      <c r="H944" s="65"/>
      <c r="I944" s="65"/>
      <c r="J944" s="65"/>
      <c r="K944" s="65"/>
      <c r="L944" s="65"/>
      <c r="M944" s="65"/>
      <c r="N944" s="65"/>
      <c r="O944" s="65"/>
      <c r="P944" s="65"/>
      <c r="Q944" s="65"/>
      <c r="R944" s="65"/>
      <c r="S944" s="65"/>
      <c r="T944" s="65"/>
    </row>
    <row r="945" spans="3:20">
      <c r="C945" s="65"/>
      <c r="D945" s="65"/>
      <c r="E945" s="65"/>
      <c r="F945" s="65"/>
      <c r="G945" s="65"/>
      <c r="H945" s="65"/>
      <c r="I945" s="65"/>
      <c r="J945" s="65"/>
      <c r="K945" s="65"/>
      <c r="L945" s="65"/>
      <c r="M945" s="65"/>
      <c r="N945" s="65"/>
      <c r="O945" s="65"/>
      <c r="P945" s="65"/>
      <c r="Q945" s="65"/>
      <c r="R945" s="65"/>
      <c r="S945" s="65"/>
      <c r="T945" s="65"/>
    </row>
    <row r="946" spans="3:20">
      <c r="C946" s="65"/>
      <c r="D946" s="65"/>
      <c r="E946" s="65"/>
      <c r="F946" s="65"/>
      <c r="G946" s="65"/>
      <c r="H946" s="65"/>
      <c r="I946" s="65"/>
      <c r="J946" s="65"/>
      <c r="K946" s="65"/>
      <c r="L946" s="65"/>
      <c r="M946" s="65"/>
      <c r="N946" s="65"/>
      <c r="O946" s="65"/>
      <c r="P946" s="65"/>
      <c r="Q946" s="65"/>
      <c r="R946" s="65"/>
      <c r="S946" s="65"/>
      <c r="T946" s="65"/>
    </row>
    <row r="947" spans="3:20">
      <c r="C947" s="65"/>
      <c r="D947" s="65"/>
      <c r="E947" s="65"/>
      <c r="F947" s="65"/>
      <c r="G947" s="65"/>
      <c r="H947" s="65"/>
      <c r="I947" s="65"/>
      <c r="J947" s="65"/>
      <c r="K947" s="65"/>
      <c r="L947" s="65"/>
      <c r="M947" s="65"/>
      <c r="N947" s="65"/>
      <c r="O947" s="65"/>
      <c r="P947" s="65"/>
      <c r="Q947" s="65"/>
      <c r="R947" s="65"/>
      <c r="S947" s="65"/>
      <c r="T947" s="65"/>
    </row>
    <row r="948" spans="3:20">
      <c r="C948" s="65"/>
      <c r="D948" s="65"/>
      <c r="E948" s="65"/>
      <c r="F948" s="65"/>
      <c r="G948" s="65"/>
      <c r="H948" s="65"/>
      <c r="I948" s="65"/>
      <c r="J948" s="65"/>
      <c r="K948" s="65"/>
      <c r="L948" s="65"/>
      <c r="M948" s="65"/>
      <c r="N948" s="65"/>
      <c r="O948" s="65"/>
      <c r="P948" s="65"/>
      <c r="Q948" s="65"/>
      <c r="R948" s="65"/>
      <c r="S948" s="65"/>
      <c r="T948" s="65"/>
    </row>
    <row r="949" spans="3:20">
      <c r="C949" s="65"/>
      <c r="D949" s="65"/>
      <c r="E949" s="65"/>
      <c r="F949" s="65"/>
      <c r="G949" s="65"/>
      <c r="H949" s="65"/>
      <c r="I949" s="65"/>
      <c r="J949" s="65"/>
      <c r="K949" s="65"/>
      <c r="L949" s="65"/>
      <c r="M949" s="65"/>
      <c r="N949" s="65"/>
      <c r="O949" s="65"/>
      <c r="P949" s="65"/>
      <c r="Q949" s="65"/>
      <c r="R949" s="65"/>
      <c r="S949" s="65"/>
      <c r="T949" s="65"/>
    </row>
    <row r="950" spans="3:20">
      <c r="C950" s="65"/>
      <c r="D950" s="65"/>
      <c r="E950" s="65"/>
      <c r="F950" s="65"/>
      <c r="G950" s="65"/>
      <c r="H950" s="65"/>
      <c r="I950" s="65"/>
      <c r="J950" s="65"/>
      <c r="K950" s="65"/>
      <c r="L950" s="65"/>
      <c r="M950" s="65"/>
      <c r="N950" s="65"/>
      <c r="O950" s="65"/>
      <c r="P950" s="65"/>
      <c r="Q950" s="65"/>
      <c r="R950" s="65"/>
      <c r="S950" s="65"/>
      <c r="T950" s="65"/>
    </row>
    <row r="951" spans="3:20">
      <c r="C951" s="65"/>
      <c r="D951" s="65"/>
      <c r="E951" s="65"/>
      <c r="F951" s="65"/>
      <c r="G951" s="65"/>
      <c r="H951" s="65"/>
      <c r="I951" s="65"/>
      <c r="J951" s="65"/>
      <c r="K951" s="65"/>
      <c r="L951" s="65"/>
      <c r="M951" s="65"/>
      <c r="N951" s="65"/>
      <c r="O951" s="65"/>
      <c r="P951" s="65"/>
      <c r="Q951" s="65"/>
      <c r="R951" s="65"/>
      <c r="S951" s="65"/>
      <c r="T951" s="65"/>
    </row>
    <row r="952" spans="3:20">
      <c r="C952" s="65"/>
      <c r="D952" s="65"/>
      <c r="E952" s="65"/>
      <c r="F952" s="65"/>
      <c r="G952" s="65"/>
      <c r="H952" s="65"/>
      <c r="I952" s="65"/>
      <c r="J952" s="65"/>
      <c r="K952" s="65"/>
      <c r="L952" s="65"/>
      <c r="M952" s="65"/>
      <c r="N952" s="65"/>
      <c r="O952" s="65"/>
      <c r="P952" s="65"/>
      <c r="Q952" s="65"/>
      <c r="R952" s="65"/>
      <c r="S952" s="65"/>
      <c r="T952" s="65"/>
    </row>
    <row r="953" spans="3:20">
      <c r="C953" s="65"/>
      <c r="D953" s="65"/>
      <c r="E953" s="65"/>
      <c r="F953" s="65"/>
      <c r="G953" s="65"/>
      <c r="H953" s="65"/>
      <c r="I953" s="65"/>
      <c r="J953" s="65"/>
      <c r="K953" s="65"/>
      <c r="L953" s="65"/>
      <c r="M953" s="65"/>
      <c r="N953" s="65"/>
      <c r="O953" s="65"/>
      <c r="P953" s="65"/>
      <c r="Q953" s="65"/>
      <c r="R953" s="65"/>
      <c r="S953" s="65"/>
      <c r="T953" s="65"/>
    </row>
    <row r="954" spans="3:20">
      <c r="C954" s="65"/>
      <c r="D954" s="65"/>
      <c r="E954" s="65"/>
      <c r="F954" s="65"/>
      <c r="G954" s="65"/>
      <c r="H954" s="65"/>
      <c r="I954" s="65"/>
      <c r="J954" s="65"/>
      <c r="K954" s="65"/>
      <c r="L954" s="65"/>
      <c r="M954" s="65"/>
      <c r="N954" s="65"/>
      <c r="O954" s="65"/>
      <c r="P954" s="65"/>
      <c r="Q954" s="65"/>
      <c r="R954" s="65"/>
      <c r="S954" s="65"/>
      <c r="T954" s="65"/>
    </row>
    <row r="955" spans="3:20">
      <c r="C955" s="65"/>
      <c r="D955" s="65"/>
      <c r="E955" s="65"/>
      <c r="F955" s="65"/>
      <c r="G955" s="65"/>
      <c r="H955" s="65"/>
      <c r="I955" s="65"/>
      <c r="J955" s="65"/>
      <c r="K955" s="65"/>
      <c r="L955" s="65"/>
      <c r="M955" s="65"/>
      <c r="N955" s="65"/>
      <c r="O955" s="65"/>
      <c r="P955" s="65"/>
      <c r="Q955" s="65"/>
      <c r="R955" s="65"/>
      <c r="S955" s="65"/>
      <c r="T955" s="65"/>
    </row>
    <row r="956" spans="3:20">
      <c r="C956" s="65"/>
      <c r="D956" s="65"/>
      <c r="E956" s="65"/>
      <c r="F956" s="65"/>
      <c r="G956" s="65"/>
      <c r="H956" s="65"/>
      <c r="I956" s="65"/>
      <c r="J956" s="65"/>
      <c r="K956" s="65"/>
      <c r="L956" s="65"/>
      <c r="M956" s="65"/>
      <c r="N956" s="65"/>
      <c r="O956" s="65"/>
      <c r="P956" s="65"/>
      <c r="Q956" s="65"/>
      <c r="R956" s="65"/>
      <c r="S956" s="65"/>
      <c r="T956" s="65"/>
    </row>
    <row r="957" spans="3:20">
      <c r="C957" s="65"/>
      <c r="D957" s="65"/>
      <c r="E957" s="65"/>
      <c r="F957" s="65"/>
      <c r="G957" s="65"/>
      <c r="H957" s="65"/>
      <c r="I957" s="65"/>
      <c r="J957" s="65"/>
      <c r="K957" s="65"/>
      <c r="L957" s="65"/>
      <c r="M957" s="65"/>
      <c r="N957" s="65"/>
      <c r="O957" s="65"/>
      <c r="P957" s="65"/>
      <c r="Q957" s="65"/>
      <c r="R957" s="65"/>
      <c r="S957" s="65"/>
      <c r="T957" s="65"/>
    </row>
    <row r="958" spans="3:20">
      <c r="C958" s="65"/>
      <c r="D958" s="65"/>
      <c r="E958" s="65"/>
      <c r="F958" s="65"/>
      <c r="G958" s="65"/>
      <c r="H958" s="65"/>
      <c r="I958" s="65"/>
      <c r="J958" s="65"/>
      <c r="K958" s="65"/>
      <c r="L958" s="65"/>
      <c r="M958" s="65"/>
      <c r="N958" s="65"/>
      <c r="O958" s="65"/>
      <c r="P958" s="65"/>
      <c r="Q958" s="65"/>
      <c r="R958" s="65"/>
      <c r="S958" s="65"/>
      <c r="T958" s="65"/>
    </row>
    <row r="959" spans="3:20">
      <c r="C959" s="65"/>
      <c r="D959" s="65"/>
      <c r="E959" s="65"/>
      <c r="F959" s="65"/>
      <c r="G959" s="65"/>
      <c r="H959" s="65"/>
      <c r="I959" s="65"/>
      <c r="J959" s="65"/>
      <c r="K959" s="65"/>
      <c r="L959" s="65"/>
      <c r="M959" s="65"/>
      <c r="N959" s="65"/>
      <c r="O959" s="65"/>
      <c r="P959" s="65"/>
      <c r="Q959" s="65"/>
      <c r="R959" s="65"/>
      <c r="S959" s="65"/>
      <c r="T959" s="65"/>
    </row>
    <row r="960" spans="3:20">
      <c r="C960" s="65"/>
      <c r="D960" s="65"/>
      <c r="E960" s="65"/>
      <c r="F960" s="65"/>
      <c r="G960" s="65"/>
      <c r="H960" s="65"/>
      <c r="I960" s="65"/>
      <c r="J960" s="65"/>
      <c r="K960" s="65"/>
      <c r="L960" s="65"/>
      <c r="M960" s="65"/>
      <c r="N960" s="65"/>
      <c r="O960" s="65"/>
      <c r="P960" s="65"/>
      <c r="Q960" s="65"/>
      <c r="R960" s="65"/>
      <c r="S960" s="65"/>
      <c r="T960" s="65"/>
    </row>
    <row r="961" spans="3:20">
      <c r="C961" s="65"/>
      <c r="D961" s="65"/>
      <c r="E961" s="65"/>
      <c r="F961" s="65"/>
      <c r="G961" s="65"/>
      <c r="H961" s="65"/>
      <c r="I961" s="65"/>
      <c r="J961" s="65"/>
      <c r="K961" s="65"/>
      <c r="L961" s="65"/>
      <c r="M961" s="65"/>
      <c r="N961" s="65"/>
      <c r="O961" s="65"/>
      <c r="P961" s="65"/>
      <c r="Q961" s="65"/>
      <c r="R961" s="65"/>
      <c r="S961" s="65"/>
      <c r="T961" s="65"/>
    </row>
    <row r="962" spans="3:20">
      <c r="C962" s="65"/>
      <c r="D962" s="65"/>
      <c r="E962" s="65"/>
      <c r="F962" s="65"/>
      <c r="G962" s="65"/>
      <c r="H962" s="65"/>
      <c r="I962" s="65"/>
      <c r="J962" s="65"/>
      <c r="K962" s="65"/>
      <c r="L962" s="65"/>
      <c r="M962" s="65"/>
      <c r="N962" s="65"/>
      <c r="O962" s="65"/>
      <c r="P962" s="65"/>
      <c r="Q962" s="65"/>
      <c r="R962" s="65"/>
      <c r="S962" s="65"/>
      <c r="T962" s="65"/>
    </row>
    <row r="963" spans="3:20">
      <c r="C963" s="65"/>
      <c r="D963" s="65"/>
      <c r="E963" s="65"/>
      <c r="F963" s="65"/>
      <c r="G963" s="65"/>
      <c r="H963" s="65"/>
      <c r="I963" s="65"/>
      <c r="J963" s="65"/>
      <c r="K963" s="65"/>
      <c r="L963" s="65"/>
      <c r="M963" s="65"/>
      <c r="N963" s="65"/>
      <c r="O963" s="65"/>
      <c r="P963" s="65"/>
      <c r="Q963" s="65"/>
      <c r="R963" s="65"/>
      <c r="S963" s="65"/>
      <c r="T963" s="65"/>
    </row>
    <row r="964" spans="3:20">
      <c r="C964" s="65"/>
      <c r="D964" s="65"/>
      <c r="E964" s="65"/>
      <c r="F964" s="65"/>
      <c r="G964" s="65"/>
      <c r="H964" s="65"/>
      <c r="I964" s="65"/>
      <c r="J964" s="65"/>
      <c r="K964" s="65"/>
      <c r="L964" s="65"/>
      <c r="M964" s="65"/>
      <c r="N964" s="65"/>
      <c r="O964" s="65"/>
      <c r="P964" s="65"/>
      <c r="Q964" s="65"/>
      <c r="R964" s="65"/>
      <c r="S964" s="65"/>
      <c r="T964" s="65"/>
    </row>
    <row r="965" spans="3:20">
      <c r="C965" s="65"/>
      <c r="D965" s="65"/>
      <c r="E965" s="65"/>
      <c r="F965" s="65"/>
      <c r="G965" s="65"/>
      <c r="H965" s="65"/>
      <c r="I965" s="65"/>
      <c r="J965" s="65"/>
      <c r="K965" s="65"/>
      <c r="L965" s="65"/>
      <c r="M965" s="65"/>
      <c r="N965" s="65"/>
      <c r="O965" s="65"/>
      <c r="P965" s="65"/>
      <c r="Q965" s="65"/>
      <c r="R965" s="65"/>
      <c r="S965" s="65"/>
      <c r="T965" s="65"/>
    </row>
    <row r="966" spans="3:20">
      <c r="C966" s="65"/>
      <c r="D966" s="65"/>
      <c r="E966" s="65"/>
      <c r="F966" s="65"/>
      <c r="G966" s="65"/>
      <c r="H966" s="65"/>
      <c r="I966" s="65"/>
      <c r="J966" s="65"/>
      <c r="K966" s="65"/>
      <c r="L966" s="65"/>
      <c r="M966" s="65"/>
      <c r="N966" s="65"/>
      <c r="O966" s="65"/>
      <c r="P966" s="65"/>
      <c r="Q966" s="65"/>
      <c r="R966" s="65"/>
      <c r="S966" s="65"/>
      <c r="T966" s="65"/>
    </row>
    <row r="967" spans="3:20">
      <c r="C967" s="65"/>
      <c r="D967" s="65"/>
      <c r="E967" s="65"/>
      <c r="F967" s="65"/>
      <c r="G967" s="65"/>
      <c r="H967" s="65"/>
      <c r="I967" s="65"/>
      <c r="J967" s="65"/>
      <c r="K967" s="65"/>
      <c r="L967" s="65"/>
      <c r="M967" s="65"/>
      <c r="N967" s="65"/>
      <c r="O967" s="65"/>
      <c r="P967" s="65"/>
      <c r="Q967" s="65"/>
      <c r="R967" s="65"/>
      <c r="S967" s="65"/>
      <c r="T967" s="65"/>
    </row>
    <row r="968" spans="3:20">
      <c r="C968" s="65"/>
      <c r="D968" s="65"/>
      <c r="E968" s="65"/>
      <c r="F968" s="65"/>
      <c r="G968" s="65"/>
      <c r="H968" s="65"/>
      <c r="I968" s="65"/>
      <c r="J968" s="65"/>
      <c r="K968" s="65"/>
      <c r="L968" s="65"/>
      <c r="M968" s="65"/>
      <c r="N968" s="65"/>
      <c r="O968" s="65"/>
      <c r="P968" s="65"/>
      <c r="Q968" s="65"/>
      <c r="R968" s="65"/>
      <c r="S968" s="65"/>
      <c r="T968" s="65"/>
    </row>
    <row r="969" spans="3:20">
      <c r="C969" s="65"/>
      <c r="D969" s="65"/>
      <c r="E969" s="65"/>
      <c r="F969" s="65"/>
      <c r="G969" s="65"/>
      <c r="H969" s="65"/>
      <c r="I969" s="65"/>
      <c r="J969" s="65"/>
      <c r="K969" s="65"/>
      <c r="L969" s="65"/>
      <c r="M969" s="65"/>
      <c r="N969" s="65"/>
      <c r="O969" s="65"/>
      <c r="P969" s="65"/>
      <c r="Q969" s="65"/>
      <c r="R969" s="65"/>
      <c r="S969" s="65"/>
      <c r="T969" s="65"/>
    </row>
    <row r="970" spans="3:20">
      <c r="C970" s="65"/>
      <c r="D970" s="65"/>
      <c r="E970" s="65"/>
      <c r="F970" s="65"/>
      <c r="G970" s="65"/>
      <c r="H970" s="65"/>
      <c r="I970" s="65"/>
      <c r="J970" s="65"/>
      <c r="K970" s="65"/>
      <c r="L970" s="65"/>
      <c r="M970" s="65"/>
      <c r="N970" s="65"/>
      <c r="O970" s="65"/>
      <c r="P970" s="65"/>
      <c r="Q970" s="65"/>
      <c r="R970" s="65"/>
      <c r="S970" s="65"/>
      <c r="T970" s="65"/>
    </row>
    <row r="971" spans="3:20">
      <c r="C971" s="65"/>
      <c r="D971" s="65"/>
      <c r="E971" s="65"/>
      <c r="F971" s="65"/>
      <c r="G971" s="65"/>
      <c r="H971" s="65"/>
      <c r="I971" s="65"/>
      <c r="J971" s="65"/>
      <c r="K971" s="65"/>
      <c r="L971" s="65"/>
      <c r="M971" s="65"/>
      <c r="N971" s="65"/>
      <c r="O971" s="65"/>
      <c r="P971" s="65"/>
      <c r="Q971" s="65"/>
      <c r="R971" s="65"/>
      <c r="S971" s="65"/>
      <c r="T971" s="65"/>
    </row>
    <row r="972" spans="3:20">
      <c r="C972" s="65"/>
      <c r="D972" s="65"/>
      <c r="E972" s="65"/>
      <c r="F972" s="65"/>
      <c r="G972" s="65"/>
      <c r="H972" s="65"/>
      <c r="I972" s="65"/>
      <c r="J972" s="65"/>
      <c r="K972" s="65"/>
      <c r="L972" s="65"/>
      <c r="M972" s="65"/>
      <c r="N972" s="65"/>
      <c r="O972" s="65"/>
      <c r="P972" s="65"/>
      <c r="Q972" s="65"/>
      <c r="R972" s="65"/>
      <c r="S972" s="65"/>
      <c r="T972" s="65"/>
    </row>
    <row r="973" spans="3:20">
      <c r="C973" s="65"/>
      <c r="D973" s="65"/>
      <c r="E973" s="65"/>
      <c r="F973" s="65"/>
      <c r="G973" s="65"/>
      <c r="H973" s="65"/>
      <c r="I973" s="65"/>
      <c r="J973" s="65"/>
      <c r="K973" s="65"/>
      <c r="L973" s="65"/>
      <c r="M973" s="65"/>
      <c r="N973" s="65"/>
      <c r="O973" s="65"/>
      <c r="P973" s="65"/>
      <c r="Q973" s="65"/>
      <c r="R973" s="65"/>
      <c r="S973" s="65"/>
      <c r="T973" s="65"/>
    </row>
    <row r="974" spans="3:20">
      <c r="C974" s="65"/>
      <c r="D974" s="65"/>
      <c r="E974" s="65"/>
      <c r="F974" s="65"/>
      <c r="G974" s="65"/>
      <c r="H974" s="65"/>
      <c r="I974" s="65"/>
      <c r="J974" s="65"/>
      <c r="K974" s="65"/>
      <c r="L974" s="65"/>
      <c r="M974" s="65"/>
      <c r="N974" s="65"/>
      <c r="O974" s="65"/>
      <c r="P974" s="65"/>
      <c r="Q974" s="65"/>
      <c r="R974" s="65"/>
      <c r="S974" s="65"/>
      <c r="T974" s="65"/>
    </row>
    <row r="975" spans="3:20">
      <c r="C975" s="65"/>
      <c r="D975" s="65"/>
      <c r="E975" s="65"/>
      <c r="F975" s="65"/>
      <c r="G975" s="65"/>
      <c r="H975" s="65"/>
      <c r="I975" s="65"/>
      <c r="J975" s="65"/>
      <c r="K975" s="65"/>
      <c r="L975" s="65"/>
      <c r="M975" s="65"/>
      <c r="N975" s="65"/>
      <c r="O975" s="65"/>
      <c r="P975" s="65"/>
      <c r="Q975" s="65"/>
      <c r="R975" s="65"/>
      <c r="S975" s="65"/>
      <c r="T975" s="65"/>
    </row>
    <row r="976" spans="3:20">
      <c r="C976" s="65"/>
      <c r="D976" s="65"/>
      <c r="E976" s="65"/>
      <c r="F976" s="65"/>
      <c r="G976" s="65"/>
      <c r="H976" s="65"/>
      <c r="I976" s="65"/>
      <c r="J976" s="65"/>
      <c r="K976" s="65"/>
      <c r="L976" s="65"/>
      <c r="M976" s="65"/>
      <c r="N976" s="65"/>
      <c r="O976" s="65"/>
      <c r="P976" s="65"/>
      <c r="Q976" s="65"/>
      <c r="R976" s="65"/>
      <c r="S976" s="65"/>
      <c r="T976" s="65"/>
    </row>
    <row r="977" spans="3:20">
      <c r="C977" s="65"/>
      <c r="D977" s="65"/>
      <c r="E977" s="65"/>
      <c r="F977" s="65"/>
      <c r="G977" s="65"/>
      <c r="H977" s="65"/>
      <c r="I977" s="65"/>
      <c r="J977" s="65"/>
      <c r="K977" s="65"/>
      <c r="L977" s="65"/>
      <c r="M977" s="65"/>
      <c r="N977" s="65"/>
      <c r="O977" s="65"/>
      <c r="P977" s="65"/>
      <c r="Q977" s="65"/>
      <c r="R977" s="65"/>
      <c r="S977" s="65"/>
      <c r="T977" s="65"/>
    </row>
    <row r="978" spans="3:20">
      <c r="C978" s="65"/>
      <c r="D978" s="65"/>
      <c r="E978" s="65"/>
      <c r="F978" s="65"/>
      <c r="G978" s="65"/>
      <c r="H978" s="65"/>
      <c r="I978" s="65"/>
      <c r="J978" s="65"/>
      <c r="K978" s="65"/>
      <c r="L978" s="65"/>
      <c r="M978" s="65"/>
      <c r="N978" s="65"/>
      <c r="O978" s="65"/>
      <c r="P978" s="65"/>
      <c r="Q978" s="65"/>
      <c r="R978" s="65"/>
      <c r="S978" s="65"/>
      <c r="T978" s="65"/>
    </row>
    <row r="979" spans="3:20">
      <c r="C979" s="65"/>
      <c r="D979" s="65"/>
      <c r="E979" s="65"/>
      <c r="F979" s="65"/>
      <c r="G979" s="65"/>
      <c r="H979" s="65"/>
      <c r="I979" s="65"/>
      <c r="J979" s="65"/>
      <c r="K979" s="65"/>
      <c r="L979" s="65"/>
      <c r="M979" s="65"/>
      <c r="N979" s="65"/>
      <c r="O979" s="65"/>
      <c r="P979" s="65"/>
      <c r="Q979" s="65"/>
      <c r="R979" s="65"/>
      <c r="S979" s="65"/>
      <c r="T979" s="65"/>
    </row>
    <row r="980" spans="3:20">
      <c r="C980" s="65"/>
      <c r="D980" s="65"/>
      <c r="E980" s="65"/>
      <c r="F980" s="65"/>
      <c r="G980" s="65"/>
      <c r="H980" s="65"/>
      <c r="I980" s="65"/>
      <c r="J980" s="65"/>
      <c r="K980" s="65"/>
      <c r="L980" s="65"/>
      <c r="M980" s="65"/>
      <c r="N980" s="65"/>
      <c r="O980" s="65"/>
      <c r="P980" s="65"/>
      <c r="Q980" s="65"/>
      <c r="R980" s="65"/>
      <c r="S980" s="65"/>
      <c r="T980" s="65"/>
    </row>
    <row r="981" spans="3:20">
      <c r="C981" s="65"/>
      <c r="D981" s="65"/>
      <c r="E981" s="65"/>
      <c r="F981" s="65"/>
      <c r="G981" s="65"/>
      <c r="H981" s="65"/>
      <c r="I981" s="65"/>
      <c r="J981" s="65"/>
      <c r="K981" s="65"/>
      <c r="L981" s="65"/>
      <c r="M981" s="65"/>
      <c r="N981" s="65"/>
      <c r="O981" s="65"/>
      <c r="P981" s="65"/>
      <c r="Q981" s="65"/>
      <c r="R981" s="65"/>
      <c r="S981" s="65"/>
      <c r="T981" s="65"/>
    </row>
    <row r="982" spans="3:20">
      <c r="C982" s="65"/>
      <c r="D982" s="65"/>
      <c r="E982" s="65"/>
      <c r="F982" s="65"/>
      <c r="G982" s="65"/>
      <c r="H982" s="65"/>
      <c r="I982" s="65"/>
      <c r="J982" s="65"/>
      <c r="K982" s="65"/>
      <c r="L982" s="65"/>
      <c r="M982" s="65"/>
      <c r="N982" s="65"/>
      <c r="O982" s="65"/>
      <c r="P982" s="65"/>
      <c r="Q982" s="65"/>
      <c r="R982" s="65"/>
      <c r="S982" s="65"/>
      <c r="T982" s="65"/>
    </row>
    <row r="983" spans="3:20">
      <c r="C983" s="65"/>
      <c r="D983" s="65"/>
      <c r="E983" s="65"/>
      <c r="F983" s="65"/>
      <c r="G983" s="65"/>
      <c r="H983" s="65"/>
      <c r="I983" s="65"/>
      <c r="J983" s="65"/>
      <c r="K983" s="65"/>
      <c r="L983" s="65"/>
      <c r="M983" s="65"/>
      <c r="N983" s="65"/>
      <c r="O983" s="65"/>
      <c r="P983" s="65"/>
      <c r="Q983" s="65"/>
      <c r="R983" s="65"/>
      <c r="S983" s="65"/>
      <c r="T983" s="65"/>
    </row>
    <row r="984" spans="3:20">
      <c r="C984" s="65"/>
      <c r="D984" s="65"/>
      <c r="E984" s="65"/>
      <c r="F984" s="65"/>
      <c r="G984" s="65"/>
      <c r="H984" s="65"/>
      <c r="I984" s="65"/>
      <c r="J984" s="65"/>
      <c r="K984" s="65"/>
      <c r="L984" s="65"/>
      <c r="M984" s="65"/>
      <c r="N984" s="65"/>
      <c r="O984" s="65"/>
      <c r="P984" s="65"/>
      <c r="Q984" s="65"/>
      <c r="R984" s="65"/>
      <c r="S984" s="65"/>
      <c r="T984" s="65"/>
    </row>
    <row r="985" spans="3:20">
      <c r="C985" s="65"/>
      <c r="D985" s="65"/>
      <c r="E985" s="65"/>
      <c r="F985" s="65"/>
      <c r="G985" s="65"/>
      <c r="H985" s="65"/>
      <c r="I985" s="65"/>
      <c r="J985" s="65"/>
      <c r="K985" s="65"/>
      <c r="L985" s="65"/>
      <c r="M985" s="65"/>
      <c r="N985" s="65"/>
      <c r="O985" s="65"/>
      <c r="P985" s="65"/>
      <c r="Q985" s="65"/>
      <c r="R985" s="65"/>
      <c r="S985" s="65"/>
      <c r="T985" s="65"/>
    </row>
    <row r="986" spans="3:20">
      <c r="C986" s="65"/>
      <c r="D986" s="65"/>
      <c r="E986" s="65"/>
      <c r="F986" s="65"/>
      <c r="G986" s="65"/>
      <c r="H986" s="65"/>
      <c r="I986" s="65"/>
      <c r="J986" s="65"/>
      <c r="K986" s="65"/>
      <c r="L986" s="65"/>
      <c r="M986" s="65"/>
      <c r="N986" s="65"/>
      <c r="O986" s="65"/>
      <c r="P986" s="65"/>
      <c r="Q986" s="65"/>
      <c r="R986" s="65"/>
      <c r="S986" s="65"/>
      <c r="T986" s="65"/>
    </row>
    <row r="987" spans="3:20">
      <c r="C987" s="65"/>
      <c r="D987" s="65"/>
      <c r="E987" s="65"/>
      <c r="F987" s="65"/>
      <c r="G987" s="65"/>
      <c r="H987" s="65"/>
      <c r="I987" s="65"/>
      <c r="J987" s="65"/>
      <c r="K987" s="65"/>
      <c r="L987" s="65"/>
      <c r="M987" s="65"/>
      <c r="N987" s="65"/>
      <c r="O987" s="65"/>
      <c r="P987" s="65"/>
      <c r="Q987" s="65"/>
      <c r="R987" s="65"/>
      <c r="S987" s="65"/>
      <c r="T987" s="65"/>
    </row>
    <row r="988" spans="3:20">
      <c r="C988" s="65"/>
      <c r="D988" s="65"/>
      <c r="E988" s="65"/>
      <c r="F988" s="65"/>
      <c r="G988" s="65"/>
      <c r="H988" s="65"/>
      <c r="I988" s="65"/>
      <c r="J988" s="65"/>
      <c r="K988" s="65"/>
      <c r="L988" s="65"/>
      <c r="M988" s="65"/>
      <c r="N988" s="65"/>
      <c r="O988" s="65"/>
      <c r="P988" s="65"/>
      <c r="Q988" s="65"/>
      <c r="R988" s="65"/>
      <c r="S988" s="65"/>
      <c r="T988" s="65"/>
    </row>
    <row r="989" spans="3:20">
      <c r="C989" s="65"/>
      <c r="D989" s="65"/>
      <c r="E989" s="65"/>
      <c r="F989" s="65"/>
      <c r="G989" s="65"/>
      <c r="H989" s="65"/>
      <c r="I989" s="65"/>
      <c r="J989" s="65"/>
      <c r="K989" s="65"/>
      <c r="L989" s="65"/>
      <c r="M989" s="65"/>
      <c r="N989" s="65"/>
      <c r="O989" s="65"/>
      <c r="P989" s="65"/>
      <c r="Q989" s="65"/>
      <c r="R989" s="65"/>
      <c r="S989" s="65"/>
      <c r="T989" s="65"/>
    </row>
    <row r="990" spans="3:20">
      <c r="C990" s="65"/>
      <c r="D990" s="65"/>
      <c r="E990" s="65"/>
      <c r="F990" s="65"/>
      <c r="G990" s="65"/>
      <c r="H990" s="65"/>
      <c r="I990" s="65"/>
      <c r="J990" s="65"/>
      <c r="K990" s="65"/>
      <c r="L990" s="65"/>
      <c r="M990" s="65"/>
      <c r="N990" s="65"/>
      <c r="O990" s="65"/>
      <c r="P990" s="65"/>
      <c r="Q990" s="65"/>
      <c r="R990" s="65"/>
      <c r="S990" s="65"/>
      <c r="T990" s="65"/>
    </row>
    <row r="991" spans="3:20">
      <c r="C991" s="65"/>
      <c r="D991" s="65"/>
      <c r="E991" s="65"/>
      <c r="F991" s="65"/>
      <c r="G991" s="65"/>
      <c r="H991" s="65"/>
      <c r="I991" s="65"/>
      <c r="J991" s="65"/>
      <c r="K991" s="65"/>
      <c r="L991" s="65"/>
      <c r="M991" s="65"/>
      <c r="N991" s="65"/>
      <c r="O991" s="65"/>
      <c r="P991" s="65"/>
      <c r="Q991" s="65"/>
      <c r="R991" s="65"/>
      <c r="S991" s="65"/>
      <c r="T991" s="65"/>
    </row>
    <row r="992" spans="3:20">
      <c r="C992" s="65"/>
      <c r="D992" s="65"/>
      <c r="E992" s="65"/>
      <c r="F992" s="65"/>
      <c r="G992" s="65"/>
      <c r="H992" s="65"/>
      <c r="I992" s="65"/>
      <c r="J992" s="65"/>
      <c r="K992" s="65"/>
      <c r="L992" s="65"/>
      <c r="M992" s="65"/>
      <c r="N992" s="65"/>
      <c r="O992" s="65"/>
      <c r="P992" s="65"/>
      <c r="Q992" s="65"/>
      <c r="R992" s="65"/>
      <c r="S992" s="65"/>
      <c r="T992" s="65"/>
    </row>
    <row r="993" spans="3:20">
      <c r="C993" s="65"/>
      <c r="D993" s="65"/>
      <c r="E993" s="65"/>
      <c r="F993" s="65"/>
      <c r="G993" s="65"/>
      <c r="H993" s="65"/>
      <c r="I993" s="65"/>
      <c r="J993" s="65"/>
      <c r="K993" s="65"/>
      <c r="L993" s="65"/>
      <c r="M993" s="65"/>
      <c r="N993" s="65"/>
      <c r="O993" s="65"/>
      <c r="P993" s="65"/>
      <c r="Q993" s="65"/>
      <c r="R993" s="65"/>
      <c r="S993" s="65"/>
      <c r="T993" s="65"/>
    </row>
    <row r="994" spans="3:20">
      <c r="C994" s="65"/>
      <c r="D994" s="65"/>
      <c r="E994" s="65"/>
      <c r="F994" s="65"/>
      <c r="G994" s="65"/>
      <c r="H994" s="65"/>
      <c r="I994" s="65"/>
      <c r="J994" s="65"/>
      <c r="K994" s="65"/>
      <c r="L994" s="65"/>
      <c r="M994" s="65"/>
      <c r="N994" s="65"/>
      <c r="O994" s="65"/>
      <c r="P994" s="65"/>
      <c r="Q994" s="65"/>
      <c r="R994" s="65"/>
      <c r="S994" s="65"/>
      <c r="T994" s="65"/>
    </row>
    <row r="995" spans="3:20">
      <c r="C995" s="65"/>
      <c r="D995" s="65"/>
      <c r="E995" s="65"/>
      <c r="F995" s="65"/>
      <c r="G995" s="65"/>
      <c r="H995" s="65"/>
      <c r="I995" s="65"/>
      <c r="J995" s="65"/>
      <c r="K995" s="65"/>
      <c r="L995" s="65"/>
      <c r="M995" s="65"/>
      <c r="N995" s="65"/>
      <c r="O995" s="65"/>
      <c r="P995" s="65"/>
      <c r="Q995" s="65"/>
      <c r="R995" s="65"/>
      <c r="S995" s="65"/>
      <c r="T995" s="65"/>
    </row>
    <row r="996" spans="3:20">
      <c r="C996" s="65"/>
      <c r="D996" s="65"/>
      <c r="E996" s="65"/>
      <c r="F996" s="65"/>
      <c r="G996" s="65"/>
      <c r="H996" s="65"/>
      <c r="I996" s="65"/>
      <c r="J996" s="65"/>
      <c r="K996" s="65"/>
      <c r="L996" s="65"/>
      <c r="M996" s="65"/>
      <c r="N996" s="65"/>
      <c r="O996" s="65"/>
      <c r="P996" s="65"/>
      <c r="Q996" s="65"/>
      <c r="R996" s="65"/>
      <c r="S996" s="65"/>
      <c r="T996" s="65"/>
    </row>
    <row r="997" spans="3:20">
      <c r="C997" s="65"/>
      <c r="D997" s="65"/>
      <c r="E997" s="65"/>
      <c r="F997" s="65"/>
      <c r="G997" s="65"/>
      <c r="H997" s="65"/>
      <c r="I997" s="65"/>
      <c r="J997" s="65"/>
      <c r="K997" s="65"/>
      <c r="L997" s="65"/>
      <c r="M997" s="65"/>
      <c r="N997" s="65"/>
      <c r="O997" s="65"/>
      <c r="P997" s="65"/>
      <c r="Q997" s="65"/>
      <c r="R997" s="65"/>
      <c r="S997" s="65"/>
      <c r="T997" s="65"/>
    </row>
    <row r="998" spans="3:20">
      <c r="C998" s="65"/>
      <c r="D998" s="65"/>
      <c r="E998" s="65"/>
      <c r="F998" s="65"/>
      <c r="G998" s="65"/>
      <c r="H998" s="65"/>
      <c r="I998" s="65"/>
      <c r="J998" s="65"/>
      <c r="K998" s="65"/>
      <c r="L998" s="65"/>
      <c r="M998" s="65"/>
      <c r="N998" s="65"/>
      <c r="O998" s="65"/>
      <c r="P998" s="65"/>
      <c r="Q998" s="65"/>
      <c r="R998" s="65"/>
      <c r="S998" s="65"/>
      <c r="T998" s="65"/>
    </row>
    <row r="999" spans="3:20">
      <c r="C999" s="65"/>
      <c r="D999" s="65"/>
      <c r="E999" s="65"/>
      <c r="F999" s="65"/>
      <c r="G999" s="65"/>
      <c r="H999" s="65"/>
      <c r="I999" s="65"/>
      <c r="J999" s="65"/>
      <c r="K999" s="65"/>
      <c r="L999" s="65"/>
      <c r="M999" s="65"/>
      <c r="N999" s="65"/>
      <c r="O999" s="65"/>
      <c r="P999" s="65"/>
      <c r="Q999" s="65"/>
      <c r="R999" s="65"/>
      <c r="S999" s="65"/>
      <c r="T999" s="65"/>
    </row>
    <row r="1000" spans="3:20">
      <c r="C1000" s="65"/>
      <c r="D1000" s="65"/>
      <c r="E1000" s="65"/>
      <c r="F1000" s="65"/>
      <c r="G1000" s="65"/>
      <c r="H1000" s="65"/>
      <c r="I1000" s="65"/>
      <c r="J1000" s="65"/>
      <c r="K1000" s="65"/>
      <c r="L1000" s="65"/>
      <c r="M1000" s="65"/>
      <c r="N1000" s="65"/>
      <c r="O1000" s="65"/>
      <c r="P1000" s="65"/>
      <c r="Q1000" s="65"/>
      <c r="R1000" s="65"/>
      <c r="S1000" s="65"/>
      <c r="T1000" s="65"/>
    </row>
    <row r="1001" spans="3:20">
      <c r="C1001" s="65"/>
      <c r="D1001" s="65"/>
      <c r="E1001" s="65"/>
      <c r="F1001" s="65"/>
      <c r="G1001" s="65"/>
      <c r="H1001" s="65"/>
      <c r="I1001" s="65"/>
      <c r="J1001" s="65"/>
      <c r="K1001" s="65"/>
      <c r="L1001" s="65"/>
      <c r="M1001" s="65"/>
      <c r="N1001" s="65"/>
      <c r="O1001" s="65"/>
      <c r="P1001" s="65"/>
      <c r="Q1001" s="65"/>
      <c r="R1001" s="65"/>
      <c r="S1001" s="65"/>
      <c r="T1001" s="65"/>
    </row>
    <row r="1002" spans="3:20">
      <c r="C1002" s="65"/>
      <c r="D1002" s="65"/>
      <c r="E1002" s="65"/>
      <c r="F1002" s="65"/>
      <c r="G1002" s="65"/>
      <c r="H1002" s="65"/>
      <c r="I1002" s="65"/>
      <c r="J1002" s="65"/>
      <c r="K1002" s="65"/>
      <c r="L1002" s="65"/>
      <c r="M1002" s="65"/>
      <c r="N1002" s="65"/>
      <c r="O1002" s="65"/>
      <c r="P1002" s="65"/>
      <c r="Q1002" s="65"/>
      <c r="R1002" s="65"/>
      <c r="S1002" s="65"/>
      <c r="T1002" s="65"/>
    </row>
    <row r="1003" spans="3:20">
      <c r="C1003" s="65"/>
      <c r="D1003" s="65"/>
      <c r="E1003" s="65"/>
      <c r="F1003" s="65"/>
      <c r="G1003" s="65"/>
      <c r="H1003" s="65"/>
      <c r="I1003" s="65"/>
      <c r="J1003" s="65"/>
      <c r="K1003" s="65"/>
      <c r="L1003" s="65"/>
      <c r="M1003" s="65"/>
      <c r="N1003" s="65"/>
      <c r="O1003" s="65"/>
      <c r="P1003" s="65"/>
      <c r="Q1003" s="65"/>
      <c r="R1003" s="65"/>
      <c r="S1003" s="65"/>
      <c r="T1003" s="65"/>
    </row>
    <row r="1004" spans="3:20">
      <c r="C1004" s="65"/>
      <c r="D1004" s="65"/>
      <c r="E1004" s="65"/>
      <c r="F1004" s="65"/>
      <c r="G1004" s="65"/>
      <c r="H1004" s="65"/>
      <c r="I1004" s="65"/>
      <c r="J1004" s="65"/>
      <c r="K1004" s="65"/>
      <c r="L1004" s="65"/>
      <c r="M1004" s="65"/>
      <c r="N1004" s="65"/>
      <c r="O1004" s="65"/>
      <c r="P1004" s="65"/>
      <c r="Q1004" s="65"/>
      <c r="R1004" s="65"/>
      <c r="S1004" s="65"/>
      <c r="T1004" s="65"/>
    </row>
    <row r="1005" spans="3:20">
      <c r="C1005" s="65"/>
      <c r="D1005" s="65"/>
      <c r="E1005" s="65"/>
      <c r="F1005" s="65"/>
      <c r="G1005" s="65"/>
      <c r="H1005" s="65"/>
      <c r="I1005" s="65"/>
      <c r="J1005" s="65"/>
      <c r="K1005" s="65"/>
      <c r="L1005" s="65"/>
      <c r="M1005" s="65"/>
      <c r="N1005" s="65"/>
      <c r="O1005" s="65"/>
      <c r="P1005" s="65"/>
      <c r="Q1005" s="65"/>
      <c r="R1005" s="65"/>
      <c r="S1005" s="65"/>
      <c r="T1005" s="65"/>
    </row>
    <row r="1006" spans="3:20">
      <c r="C1006" s="65"/>
      <c r="D1006" s="65"/>
      <c r="E1006" s="65"/>
      <c r="F1006" s="65"/>
      <c r="G1006" s="65"/>
      <c r="H1006" s="65"/>
      <c r="I1006" s="65"/>
      <c r="J1006" s="65"/>
      <c r="K1006" s="65"/>
      <c r="L1006" s="65"/>
      <c r="M1006" s="65"/>
      <c r="N1006" s="65"/>
      <c r="O1006" s="65"/>
      <c r="P1006" s="65"/>
      <c r="Q1006" s="65"/>
      <c r="R1006" s="65"/>
      <c r="S1006" s="65"/>
      <c r="T1006" s="65"/>
    </row>
    <row r="1007" spans="3:20">
      <c r="C1007" s="65"/>
      <c r="D1007" s="65"/>
      <c r="E1007" s="65"/>
      <c r="F1007" s="65"/>
      <c r="G1007" s="65"/>
      <c r="H1007" s="65"/>
      <c r="I1007" s="65"/>
      <c r="J1007" s="65"/>
      <c r="K1007" s="65"/>
      <c r="L1007" s="65"/>
      <c r="M1007" s="65"/>
      <c r="N1007" s="65"/>
      <c r="O1007" s="65"/>
      <c r="P1007" s="65"/>
      <c r="Q1007" s="65"/>
      <c r="R1007" s="65"/>
      <c r="S1007" s="65"/>
      <c r="T1007" s="65"/>
    </row>
    <row r="1008" spans="3:20">
      <c r="C1008" s="65"/>
      <c r="D1008" s="65"/>
      <c r="E1008" s="65"/>
      <c r="F1008" s="65"/>
      <c r="G1008" s="65"/>
      <c r="H1008" s="65"/>
      <c r="I1008" s="65"/>
      <c r="J1008" s="65"/>
      <c r="K1008" s="65"/>
      <c r="L1008" s="65"/>
      <c r="M1008" s="65"/>
      <c r="N1008" s="65"/>
      <c r="O1008" s="65"/>
      <c r="P1008" s="65"/>
      <c r="Q1008" s="65"/>
      <c r="R1008" s="65"/>
      <c r="S1008" s="65"/>
      <c r="T1008" s="65"/>
    </row>
    <row r="1009" spans="3:20">
      <c r="C1009" s="65"/>
      <c r="D1009" s="65"/>
      <c r="E1009" s="65"/>
      <c r="F1009" s="65"/>
      <c r="G1009" s="65"/>
      <c r="H1009" s="65"/>
      <c r="I1009" s="65"/>
      <c r="J1009" s="65"/>
      <c r="K1009" s="65"/>
      <c r="L1009" s="65"/>
      <c r="M1009" s="65"/>
      <c r="N1009" s="65"/>
      <c r="O1009" s="65"/>
      <c r="P1009" s="65"/>
      <c r="Q1009" s="65"/>
      <c r="R1009" s="65"/>
      <c r="S1009" s="65"/>
      <c r="T1009" s="65"/>
    </row>
    <row r="1010" spans="3:20">
      <c r="C1010" s="65"/>
      <c r="D1010" s="65"/>
      <c r="E1010" s="65"/>
      <c r="F1010" s="65"/>
      <c r="G1010" s="65"/>
      <c r="H1010" s="65"/>
      <c r="I1010" s="65"/>
      <c r="J1010" s="65"/>
      <c r="K1010" s="65"/>
      <c r="L1010" s="65"/>
      <c r="M1010" s="65"/>
      <c r="N1010" s="65"/>
      <c r="O1010" s="65"/>
      <c r="P1010" s="65"/>
      <c r="Q1010" s="65"/>
      <c r="R1010" s="65"/>
      <c r="S1010" s="65"/>
      <c r="T1010" s="65"/>
    </row>
    <row r="1011" spans="3:20">
      <c r="C1011" s="65"/>
      <c r="D1011" s="65"/>
      <c r="E1011" s="65"/>
      <c r="F1011" s="65"/>
      <c r="G1011" s="65"/>
      <c r="H1011" s="65"/>
      <c r="I1011" s="65"/>
      <c r="J1011" s="65"/>
      <c r="K1011" s="65"/>
      <c r="L1011" s="65"/>
      <c r="M1011" s="65"/>
      <c r="N1011" s="65"/>
      <c r="O1011" s="65"/>
      <c r="P1011" s="65"/>
      <c r="Q1011" s="65"/>
      <c r="R1011" s="65"/>
      <c r="S1011" s="65"/>
      <c r="T1011" s="65"/>
    </row>
    <row r="1012" spans="3:20">
      <c r="C1012" s="65"/>
      <c r="D1012" s="65"/>
      <c r="E1012" s="65"/>
      <c r="F1012" s="65"/>
      <c r="G1012" s="65"/>
      <c r="H1012" s="65"/>
      <c r="I1012" s="65"/>
      <c r="J1012" s="65"/>
      <c r="K1012" s="65"/>
      <c r="L1012" s="65"/>
      <c r="M1012" s="65"/>
      <c r="N1012" s="65"/>
      <c r="O1012" s="65"/>
      <c r="P1012" s="65"/>
      <c r="Q1012" s="65"/>
      <c r="R1012" s="65"/>
      <c r="S1012" s="65"/>
      <c r="T1012" s="65"/>
    </row>
    <row r="1013" spans="3:20">
      <c r="C1013" s="65"/>
      <c r="D1013" s="65"/>
      <c r="E1013" s="65"/>
      <c r="F1013" s="65"/>
      <c r="G1013" s="65"/>
      <c r="H1013" s="65"/>
      <c r="I1013" s="65"/>
      <c r="J1013" s="65"/>
      <c r="K1013" s="65"/>
      <c r="L1013" s="65"/>
      <c r="M1013" s="65"/>
      <c r="N1013" s="65"/>
      <c r="O1013" s="65"/>
      <c r="P1013" s="65"/>
      <c r="Q1013" s="65"/>
      <c r="R1013" s="65"/>
      <c r="S1013" s="65"/>
      <c r="T1013" s="65"/>
    </row>
    <row r="1014" spans="3:20">
      <c r="C1014" s="65"/>
      <c r="D1014" s="65"/>
      <c r="E1014" s="65"/>
      <c r="F1014" s="65"/>
      <c r="G1014" s="65"/>
      <c r="H1014" s="65"/>
      <c r="I1014" s="65"/>
      <c r="J1014" s="65"/>
      <c r="K1014" s="65"/>
      <c r="L1014" s="65"/>
      <c r="M1014" s="65"/>
      <c r="N1014" s="65"/>
      <c r="O1014" s="65"/>
      <c r="P1014" s="65"/>
      <c r="Q1014" s="65"/>
      <c r="R1014" s="65"/>
      <c r="S1014" s="65"/>
      <c r="T1014" s="65"/>
    </row>
    <row r="1015" spans="3:20">
      <c r="C1015" s="65"/>
      <c r="D1015" s="65"/>
      <c r="E1015" s="65"/>
      <c r="F1015" s="65"/>
      <c r="G1015" s="65"/>
      <c r="H1015" s="65"/>
      <c r="I1015" s="65"/>
      <c r="J1015" s="65"/>
      <c r="K1015" s="65"/>
      <c r="L1015" s="65"/>
      <c r="M1015" s="65"/>
      <c r="N1015" s="65"/>
      <c r="O1015" s="65"/>
      <c r="P1015" s="65"/>
      <c r="Q1015" s="65"/>
      <c r="R1015" s="65"/>
      <c r="S1015" s="65"/>
      <c r="T1015" s="65"/>
    </row>
    <row r="1016" spans="3:20">
      <c r="C1016" s="65"/>
      <c r="D1016" s="65"/>
      <c r="E1016" s="65"/>
      <c r="F1016" s="65"/>
      <c r="G1016" s="65"/>
      <c r="H1016" s="65"/>
      <c r="I1016" s="65"/>
      <c r="J1016" s="65"/>
      <c r="K1016" s="65"/>
      <c r="L1016" s="65"/>
      <c r="M1016" s="65"/>
      <c r="N1016" s="65"/>
      <c r="O1016" s="65"/>
      <c r="P1016" s="65"/>
      <c r="Q1016" s="65"/>
      <c r="R1016" s="65"/>
      <c r="S1016" s="65"/>
      <c r="T1016" s="65"/>
    </row>
    <row r="1017" spans="3:20">
      <c r="C1017" s="65"/>
      <c r="D1017" s="65"/>
      <c r="E1017" s="65"/>
      <c r="F1017" s="65"/>
      <c r="G1017" s="65"/>
      <c r="H1017" s="65"/>
      <c r="I1017" s="65"/>
      <c r="J1017" s="65"/>
      <c r="K1017" s="65"/>
      <c r="L1017" s="65"/>
      <c r="M1017" s="65"/>
      <c r="N1017" s="65"/>
      <c r="O1017" s="65"/>
      <c r="P1017" s="65"/>
      <c r="Q1017" s="65"/>
      <c r="R1017" s="65"/>
      <c r="S1017" s="65"/>
      <c r="T1017" s="65"/>
    </row>
    <row r="1018" spans="3:20">
      <c r="C1018" s="65"/>
      <c r="D1018" s="65"/>
      <c r="E1018" s="65"/>
      <c r="F1018" s="65"/>
      <c r="G1018" s="65"/>
      <c r="H1018" s="65"/>
      <c r="I1018" s="65"/>
      <c r="J1018" s="65"/>
      <c r="K1018" s="65"/>
      <c r="L1018" s="65"/>
      <c r="M1018" s="65"/>
      <c r="N1018" s="65"/>
      <c r="O1018" s="65"/>
      <c r="P1018" s="65"/>
      <c r="Q1018" s="65"/>
      <c r="R1018" s="65"/>
      <c r="S1018" s="65"/>
      <c r="T1018" s="65"/>
    </row>
    <row r="1019" spans="3:20">
      <c r="C1019" s="65"/>
      <c r="D1019" s="65"/>
      <c r="E1019" s="65"/>
      <c r="F1019" s="65"/>
      <c r="G1019" s="65"/>
      <c r="H1019" s="65"/>
      <c r="I1019" s="65"/>
      <c r="J1019" s="65"/>
      <c r="K1019" s="65"/>
      <c r="L1019" s="65"/>
      <c r="M1019" s="65"/>
      <c r="N1019" s="65"/>
      <c r="O1019" s="65"/>
      <c r="P1019" s="65"/>
      <c r="Q1019" s="65"/>
      <c r="R1019" s="65"/>
      <c r="S1019" s="65"/>
      <c r="T1019" s="65"/>
    </row>
    <row r="1020" spans="3:20">
      <c r="C1020" s="65"/>
      <c r="D1020" s="65"/>
      <c r="E1020" s="65"/>
      <c r="F1020" s="65"/>
      <c r="G1020" s="65"/>
      <c r="H1020" s="65"/>
      <c r="I1020" s="65"/>
      <c r="J1020" s="65"/>
      <c r="K1020" s="65"/>
      <c r="L1020" s="65"/>
      <c r="M1020" s="65"/>
      <c r="N1020" s="65"/>
      <c r="O1020" s="65"/>
      <c r="P1020" s="65"/>
      <c r="Q1020" s="65"/>
      <c r="R1020" s="65"/>
      <c r="S1020" s="65"/>
      <c r="T1020" s="65"/>
    </row>
    <row r="1021" spans="3:20">
      <c r="C1021" s="65"/>
      <c r="D1021" s="65"/>
      <c r="E1021" s="65"/>
      <c r="F1021" s="65"/>
      <c r="G1021" s="65"/>
      <c r="H1021" s="65"/>
      <c r="I1021" s="65"/>
      <c r="J1021" s="65"/>
      <c r="K1021" s="65"/>
      <c r="L1021" s="65"/>
      <c r="M1021" s="65"/>
      <c r="N1021" s="65"/>
      <c r="O1021" s="65"/>
      <c r="P1021" s="65"/>
      <c r="Q1021" s="65"/>
      <c r="R1021" s="65"/>
      <c r="S1021" s="65"/>
      <c r="T1021" s="65"/>
    </row>
    <row r="1022" spans="3:20">
      <c r="C1022" s="65"/>
      <c r="D1022" s="65"/>
      <c r="E1022" s="65"/>
      <c r="F1022" s="65"/>
      <c r="G1022" s="65"/>
      <c r="H1022" s="65"/>
      <c r="I1022" s="65"/>
      <c r="J1022" s="65"/>
      <c r="K1022" s="65"/>
      <c r="L1022" s="65"/>
      <c r="M1022" s="65"/>
      <c r="N1022" s="65"/>
      <c r="O1022" s="65"/>
      <c r="P1022" s="65"/>
      <c r="Q1022" s="65"/>
      <c r="R1022" s="65"/>
      <c r="S1022" s="65"/>
      <c r="T1022" s="65"/>
    </row>
    <row r="1023" spans="3:20">
      <c r="C1023" s="65"/>
      <c r="D1023" s="65"/>
      <c r="E1023" s="65"/>
      <c r="F1023" s="65"/>
      <c r="G1023" s="65"/>
      <c r="H1023" s="65"/>
      <c r="I1023" s="65"/>
      <c r="J1023" s="65"/>
      <c r="K1023" s="65"/>
      <c r="L1023" s="65"/>
      <c r="M1023" s="65"/>
      <c r="N1023" s="65"/>
      <c r="O1023" s="65"/>
      <c r="P1023" s="65"/>
      <c r="Q1023" s="65"/>
      <c r="R1023" s="65"/>
      <c r="S1023" s="65"/>
      <c r="T1023" s="65"/>
    </row>
    <row r="1024" spans="3:20">
      <c r="C1024" s="65"/>
      <c r="D1024" s="65"/>
      <c r="E1024" s="65"/>
      <c r="F1024" s="65"/>
      <c r="G1024" s="65"/>
      <c r="H1024" s="65"/>
      <c r="I1024" s="65"/>
      <c r="J1024" s="65"/>
      <c r="K1024" s="65"/>
      <c r="L1024" s="65"/>
      <c r="M1024" s="65"/>
      <c r="N1024" s="65"/>
      <c r="O1024" s="65"/>
      <c r="P1024" s="65"/>
      <c r="Q1024" s="65"/>
      <c r="R1024" s="65"/>
      <c r="S1024" s="65"/>
      <c r="T1024" s="65"/>
    </row>
    <row r="1025" spans="3:20">
      <c r="C1025" s="65"/>
      <c r="D1025" s="65"/>
      <c r="E1025" s="65"/>
      <c r="F1025" s="65"/>
      <c r="G1025" s="65"/>
      <c r="H1025" s="65"/>
      <c r="I1025" s="65"/>
      <c r="J1025" s="65"/>
      <c r="K1025" s="65"/>
      <c r="L1025" s="65"/>
      <c r="M1025" s="65"/>
      <c r="N1025" s="65"/>
      <c r="O1025" s="65"/>
      <c r="P1025" s="65"/>
      <c r="Q1025" s="65"/>
      <c r="R1025" s="65"/>
      <c r="S1025" s="65"/>
      <c r="T1025" s="65"/>
    </row>
    <row r="1026" spans="3:20">
      <c r="C1026" s="65"/>
      <c r="D1026" s="65"/>
      <c r="E1026" s="65"/>
      <c r="F1026" s="65"/>
      <c r="G1026" s="65"/>
      <c r="H1026" s="65"/>
      <c r="I1026" s="65"/>
      <c r="J1026" s="65"/>
      <c r="K1026" s="65"/>
      <c r="L1026" s="65"/>
      <c r="M1026" s="65"/>
      <c r="N1026" s="65"/>
      <c r="O1026" s="65"/>
      <c r="P1026" s="65"/>
      <c r="Q1026" s="65"/>
      <c r="R1026" s="65"/>
      <c r="S1026" s="65"/>
      <c r="T1026" s="65"/>
    </row>
    <row r="1027" spans="3:20">
      <c r="C1027" s="65"/>
      <c r="D1027" s="65"/>
      <c r="E1027" s="65"/>
      <c r="F1027" s="65"/>
      <c r="G1027" s="65"/>
      <c r="H1027" s="65"/>
      <c r="I1027" s="65"/>
      <c r="J1027" s="65"/>
      <c r="K1027" s="65"/>
      <c r="L1027" s="65"/>
      <c r="M1027" s="65"/>
      <c r="N1027" s="65"/>
      <c r="O1027" s="65"/>
      <c r="P1027" s="65"/>
      <c r="Q1027" s="65"/>
      <c r="R1027" s="65"/>
      <c r="S1027" s="65"/>
      <c r="T1027" s="65"/>
    </row>
    <row r="1028" spans="3:20">
      <c r="C1028" s="65"/>
      <c r="D1028" s="65"/>
      <c r="E1028" s="65"/>
      <c r="F1028" s="65"/>
      <c r="G1028" s="65"/>
      <c r="H1028" s="65"/>
      <c r="I1028" s="65"/>
      <c r="J1028" s="65"/>
      <c r="K1028" s="65"/>
      <c r="L1028" s="65"/>
      <c r="M1028" s="65"/>
      <c r="N1028" s="65"/>
      <c r="O1028" s="65"/>
      <c r="P1028" s="65"/>
      <c r="Q1028" s="65"/>
      <c r="R1028" s="65"/>
      <c r="S1028" s="65"/>
      <c r="T1028" s="65"/>
    </row>
    <row r="1029" spans="3:20">
      <c r="C1029" s="65"/>
      <c r="D1029" s="65"/>
      <c r="E1029" s="65"/>
      <c r="F1029" s="65"/>
      <c r="G1029" s="65"/>
      <c r="H1029" s="65"/>
      <c r="I1029" s="65"/>
      <c r="J1029" s="65"/>
      <c r="K1029" s="65"/>
      <c r="L1029" s="65"/>
      <c r="M1029" s="65"/>
      <c r="N1029" s="65"/>
      <c r="O1029" s="65"/>
      <c r="P1029" s="65"/>
      <c r="Q1029" s="65"/>
      <c r="R1029" s="65"/>
      <c r="S1029" s="65"/>
      <c r="T1029" s="65"/>
    </row>
    <row r="1030" spans="3:20">
      <c r="C1030" s="65"/>
      <c r="D1030" s="65"/>
      <c r="E1030" s="65"/>
      <c r="F1030" s="65"/>
      <c r="G1030" s="65"/>
      <c r="H1030" s="65"/>
      <c r="I1030" s="65"/>
      <c r="J1030" s="65"/>
      <c r="K1030" s="65"/>
      <c r="L1030" s="65"/>
      <c r="M1030" s="65"/>
      <c r="N1030" s="65"/>
      <c r="O1030" s="65"/>
      <c r="P1030" s="65"/>
      <c r="Q1030" s="65"/>
      <c r="R1030" s="65"/>
      <c r="S1030" s="65"/>
      <c r="T1030" s="65"/>
    </row>
    <row r="1031" spans="3:20">
      <c r="C1031" s="65"/>
      <c r="D1031" s="65"/>
      <c r="E1031" s="65"/>
      <c r="F1031" s="65"/>
      <c r="G1031" s="65"/>
      <c r="H1031" s="65"/>
      <c r="I1031" s="65"/>
      <c r="J1031" s="65"/>
      <c r="K1031" s="65"/>
      <c r="L1031" s="65"/>
      <c r="M1031" s="65"/>
      <c r="N1031" s="65"/>
      <c r="O1031" s="65"/>
      <c r="P1031" s="65"/>
      <c r="Q1031" s="65"/>
      <c r="R1031" s="65"/>
      <c r="S1031" s="65"/>
      <c r="T1031" s="65"/>
    </row>
    <row r="1032" spans="3:20">
      <c r="C1032" s="65"/>
      <c r="D1032" s="65"/>
      <c r="E1032" s="65"/>
      <c r="F1032" s="65"/>
      <c r="G1032" s="65"/>
      <c r="H1032" s="65"/>
      <c r="I1032" s="65"/>
      <c r="J1032" s="65"/>
      <c r="K1032" s="65"/>
      <c r="L1032" s="65"/>
      <c r="M1032" s="65"/>
      <c r="N1032" s="65"/>
      <c r="O1032" s="65"/>
      <c r="P1032" s="65"/>
      <c r="Q1032" s="65"/>
      <c r="R1032" s="65"/>
      <c r="S1032" s="65"/>
      <c r="T1032" s="65"/>
    </row>
    <row r="1033" spans="3:20">
      <c r="C1033" s="65"/>
      <c r="D1033" s="65"/>
      <c r="E1033" s="65"/>
      <c r="F1033" s="65"/>
      <c r="G1033" s="65"/>
      <c r="H1033" s="65"/>
      <c r="I1033" s="65"/>
      <c r="J1033" s="65"/>
      <c r="K1033" s="65"/>
      <c r="L1033" s="65"/>
      <c r="M1033" s="65"/>
      <c r="N1033" s="65"/>
      <c r="O1033" s="65"/>
      <c r="P1033" s="65"/>
      <c r="Q1033" s="65"/>
      <c r="R1033" s="65"/>
      <c r="S1033" s="65"/>
      <c r="T1033" s="65"/>
    </row>
    <row r="1034" spans="3:20">
      <c r="C1034" s="65"/>
      <c r="D1034" s="65"/>
      <c r="E1034" s="65"/>
      <c r="F1034" s="65"/>
      <c r="G1034" s="65"/>
      <c r="H1034" s="65"/>
      <c r="I1034" s="65"/>
      <c r="J1034" s="65"/>
      <c r="K1034" s="65"/>
      <c r="L1034" s="65"/>
      <c r="M1034" s="65"/>
      <c r="N1034" s="65"/>
      <c r="O1034" s="65"/>
      <c r="P1034" s="65"/>
      <c r="Q1034" s="65"/>
      <c r="R1034" s="65"/>
      <c r="S1034" s="65"/>
      <c r="T1034" s="65"/>
    </row>
    <row r="1035" spans="3:20">
      <c r="C1035" s="65"/>
      <c r="D1035" s="65"/>
      <c r="E1035" s="65"/>
      <c r="F1035" s="65"/>
      <c r="G1035" s="65"/>
      <c r="H1035" s="65"/>
      <c r="I1035" s="65"/>
      <c r="J1035" s="65"/>
      <c r="K1035" s="65"/>
      <c r="L1035" s="65"/>
      <c r="M1035" s="65"/>
      <c r="N1035" s="65"/>
      <c r="O1035" s="65"/>
      <c r="P1035" s="65"/>
      <c r="Q1035" s="65"/>
      <c r="R1035" s="65"/>
      <c r="S1035" s="65"/>
      <c r="T1035" s="65"/>
    </row>
    <row r="1036" spans="3:20">
      <c r="C1036" s="65"/>
      <c r="D1036" s="65"/>
      <c r="E1036" s="65"/>
      <c r="F1036" s="65"/>
      <c r="G1036" s="65"/>
      <c r="H1036" s="65"/>
      <c r="I1036" s="65"/>
      <c r="J1036" s="65"/>
      <c r="K1036" s="65"/>
      <c r="L1036" s="65"/>
      <c r="M1036" s="65"/>
      <c r="N1036" s="65"/>
      <c r="O1036" s="65"/>
      <c r="P1036" s="65"/>
      <c r="Q1036" s="65"/>
      <c r="R1036" s="65"/>
      <c r="S1036" s="65"/>
      <c r="T1036" s="65"/>
    </row>
    <row r="1037" spans="3:20">
      <c r="C1037" s="65"/>
      <c r="D1037" s="65"/>
      <c r="E1037" s="65"/>
      <c r="F1037" s="65"/>
      <c r="G1037" s="65"/>
      <c r="H1037" s="65"/>
      <c r="I1037" s="65"/>
      <c r="J1037" s="65"/>
      <c r="K1037" s="65"/>
      <c r="L1037" s="65"/>
      <c r="M1037" s="65"/>
      <c r="N1037" s="65"/>
      <c r="O1037" s="65"/>
      <c r="P1037" s="65"/>
      <c r="Q1037" s="65"/>
      <c r="R1037" s="65"/>
      <c r="S1037" s="65"/>
      <c r="T1037" s="65"/>
    </row>
    <row r="1038" spans="3:20">
      <c r="C1038" s="65"/>
      <c r="D1038" s="65"/>
      <c r="E1038" s="65"/>
      <c r="F1038" s="65"/>
      <c r="G1038" s="65"/>
      <c r="H1038" s="65"/>
      <c r="I1038" s="65"/>
      <c r="J1038" s="65"/>
      <c r="K1038" s="65"/>
      <c r="L1038" s="65"/>
      <c r="M1038" s="65"/>
      <c r="N1038" s="65"/>
      <c r="O1038" s="65"/>
      <c r="P1038" s="65"/>
      <c r="Q1038" s="65"/>
      <c r="R1038" s="65"/>
      <c r="S1038" s="65"/>
      <c r="T1038" s="65"/>
    </row>
    <row r="1039" spans="3:20">
      <c r="C1039" s="65"/>
      <c r="D1039" s="65"/>
      <c r="E1039" s="65"/>
      <c r="F1039" s="65"/>
      <c r="G1039" s="65"/>
      <c r="H1039" s="65"/>
      <c r="I1039" s="65"/>
      <c r="J1039" s="65"/>
      <c r="K1039" s="65"/>
      <c r="L1039" s="65"/>
      <c r="M1039" s="65"/>
      <c r="N1039" s="65"/>
      <c r="O1039" s="65"/>
      <c r="P1039" s="65"/>
      <c r="Q1039" s="65"/>
      <c r="R1039" s="65"/>
      <c r="S1039" s="65"/>
      <c r="T1039" s="65"/>
    </row>
    <row r="1040" spans="3:20">
      <c r="C1040" s="65"/>
      <c r="D1040" s="65"/>
      <c r="E1040" s="65"/>
      <c r="F1040" s="65"/>
      <c r="G1040" s="65"/>
      <c r="H1040" s="65"/>
      <c r="I1040" s="65"/>
      <c r="J1040" s="65"/>
      <c r="K1040" s="65"/>
      <c r="L1040" s="65"/>
      <c r="M1040" s="65"/>
      <c r="N1040" s="65"/>
      <c r="O1040" s="65"/>
      <c r="P1040" s="65"/>
      <c r="Q1040" s="65"/>
      <c r="R1040" s="65"/>
      <c r="S1040" s="65"/>
      <c r="T1040" s="65"/>
    </row>
    <row r="1041" spans="3:20">
      <c r="C1041" s="65"/>
      <c r="D1041" s="65"/>
      <c r="E1041" s="65"/>
      <c r="F1041" s="65"/>
      <c r="G1041" s="65"/>
      <c r="H1041" s="65"/>
      <c r="I1041" s="65"/>
      <c r="J1041" s="65"/>
      <c r="K1041" s="65"/>
      <c r="L1041" s="65"/>
      <c r="M1041" s="65"/>
      <c r="N1041" s="65"/>
      <c r="O1041" s="65"/>
      <c r="P1041" s="65"/>
      <c r="Q1041" s="65"/>
      <c r="R1041" s="65"/>
      <c r="S1041" s="65"/>
      <c r="T1041" s="65"/>
    </row>
    <row r="1042" spans="3:20">
      <c r="C1042" s="65"/>
      <c r="D1042" s="65"/>
      <c r="E1042" s="65"/>
      <c r="F1042" s="65"/>
      <c r="G1042" s="65"/>
      <c r="H1042" s="65"/>
      <c r="I1042" s="65"/>
      <c r="J1042" s="65"/>
      <c r="K1042" s="65"/>
      <c r="L1042" s="65"/>
      <c r="M1042" s="65"/>
      <c r="N1042" s="65"/>
      <c r="O1042" s="65"/>
      <c r="P1042" s="65"/>
      <c r="Q1042" s="65"/>
      <c r="R1042" s="65"/>
      <c r="S1042" s="65"/>
      <c r="T1042" s="65"/>
    </row>
    <row r="1043" spans="3:20">
      <c r="C1043" s="65"/>
      <c r="D1043" s="65"/>
      <c r="E1043" s="65"/>
      <c r="F1043" s="65"/>
      <c r="G1043" s="65"/>
      <c r="H1043" s="65"/>
      <c r="I1043" s="65"/>
      <c r="J1043" s="65"/>
      <c r="K1043" s="65"/>
      <c r="L1043" s="65"/>
      <c r="M1043" s="65"/>
      <c r="N1043" s="65"/>
      <c r="O1043" s="65"/>
      <c r="P1043" s="65"/>
      <c r="Q1043" s="65"/>
      <c r="R1043" s="65"/>
      <c r="S1043" s="65"/>
      <c r="T1043" s="65"/>
    </row>
    <row r="1044" spans="3:20">
      <c r="C1044" s="65"/>
      <c r="D1044" s="65"/>
      <c r="E1044" s="65"/>
      <c r="F1044" s="65"/>
      <c r="G1044" s="65"/>
      <c r="H1044" s="65"/>
      <c r="I1044" s="65"/>
      <c r="J1044" s="65"/>
      <c r="K1044" s="65"/>
      <c r="L1044" s="65"/>
      <c r="M1044" s="65"/>
      <c r="N1044" s="65"/>
      <c r="O1044" s="65"/>
      <c r="P1044" s="65"/>
      <c r="Q1044" s="65"/>
      <c r="R1044" s="65"/>
      <c r="S1044" s="65"/>
      <c r="T1044" s="65"/>
    </row>
    <row r="1045" spans="3:20">
      <c r="C1045" s="65"/>
      <c r="D1045" s="65"/>
      <c r="E1045" s="65"/>
      <c r="F1045" s="65"/>
      <c r="G1045" s="65"/>
      <c r="H1045" s="65"/>
      <c r="I1045" s="65"/>
      <c r="J1045" s="65"/>
      <c r="K1045" s="65"/>
      <c r="L1045" s="65"/>
      <c r="M1045" s="65"/>
      <c r="N1045" s="65"/>
      <c r="O1045" s="65"/>
      <c r="P1045" s="65"/>
      <c r="Q1045" s="65"/>
      <c r="R1045" s="65"/>
      <c r="S1045" s="65"/>
      <c r="T1045" s="65"/>
    </row>
    <row r="1046" spans="3:20">
      <c r="C1046" s="65"/>
      <c r="D1046" s="65"/>
      <c r="E1046" s="65"/>
      <c r="F1046" s="65"/>
      <c r="G1046" s="65"/>
      <c r="H1046" s="65"/>
      <c r="I1046" s="65"/>
      <c r="J1046" s="65"/>
      <c r="K1046" s="65"/>
      <c r="L1046" s="65"/>
      <c r="M1046" s="65"/>
      <c r="N1046" s="65"/>
      <c r="O1046" s="65"/>
      <c r="P1046" s="65"/>
      <c r="Q1046" s="65"/>
      <c r="R1046" s="65"/>
      <c r="S1046" s="65"/>
      <c r="T1046" s="65"/>
    </row>
    <row r="1047" spans="3:20">
      <c r="C1047" s="65"/>
      <c r="D1047" s="65"/>
      <c r="E1047" s="65"/>
      <c r="F1047" s="65"/>
      <c r="G1047" s="65"/>
      <c r="H1047" s="65"/>
      <c r="I1047" s="65"/>
      <c r="J1047" s="65"/>
      <c r="K1047" s="65"/>
      <c r="L1047" s="65"/>
      <c r="M1047" s="65"/>
      <c r="N1047" s="65"/>
      <c r="O1047" s="65"/>
      <c r="P1047" s="65"/>
      <c r="Q1047" s="65"/>
      <c r="R1047" s="65"/>
      <c r="S1047" s="65"/>
      <c r="T1047" s="65"/>
    </row>
    <row r="1048" spans="3:20">
      <c r="C1048" s="65"/>
      <c r="D1048" s="65"/>
      <c r="E1048" s="65"/>
      <c r="F1048" s="65"/>
      <c r="G1048" s="65"/>
      <c r="H1048" s="65"/>
      <c r="I1048" s="65"/>
      <c r="J1048" s="65"/>
      <c r="K1048" s="65"/>
      <c r="L1048" s="65"/>
      <c r="M1048" s="65"/>
      <c r="N1048" s="65"/>
      <c r="O1048" s="65"/>
      <c r="P1048" s="65"/>
      <c r="Q1048" s="65"/>
      <c r="R1048" s="65"/>
      <c r="S1048" s="65"/>
      <c r="T1048" s="65"/>
    </row>
    <row r="1049" spans="3:20">
      <c r="C1049" s="65"/>
      <c r="D1049" s="65"/>
      <c r="E1049" s="65"/>
      <c r="F1049" s="65"/>
      <c r="G1049" s="65"/>
      <c r="H1049" s="65"/>
      <c r="I1049" s="65"/>
      <c r="J1049" s="65"/>
      <c r="K1049" s="65"/>
      <c r="L1049" s="65"/>
      <c r="M1049" s="65"/>
      <c r="N1049" s="65"/>
      <c r="O1049" s="65"/>
      <c r="P1049" s="65"/>
      <c r="Q1049" s="65"/>
      <c r="R1049" s="65"/>
      <c r="S1049" s="65"/>
      <c r="T1049" s="65"/>
    </row>
    <row r="1050" spans="3:20">
      <c r="C1050" s="65"/>
      <c r="D1050" s="65"/>
      <c r="E1050" s="65"/>
      <c r="F1050" s="65"/>
      <c r="G1050" s="65"/>
      <c r="H1050" s="65"/>
      <c r="I1050" s="65"/>
      <c r="J1050" s="65"/>
      <c r="K1050" s="65"/>
      <c r="L1050" s="65"/>
      <c r="M1050" s="65"/>
      <c r="N1050" s="65"/>
      <c r="O1050" s="65"/>
      <c r="P1050" s="65"/>
      <c r="Q1050" s="65"/>
      <c r="R1050" s="65"/>
      <c r="S1050" s="65"/>
      <c r="T1050" s="65"/>
    </row>
    <row r="1051" spans="3:20">
      <c r="C1051" s="65"/>
      <c r="D1051" s="65"/>
      <c r="E1051" s="65"/>
      <c r="F1051" s="65"/>
      <c r="G1051" s="65"/>
      <c r="H1051" s="65"/>
      <c r="I1051" s="65"/>
      <c r="J1051" s="65"/>
      <c r="K1051" s="65"/>
      <c r="L1051" s="65"/>
      <c r="M1051" s="65"/>
      <c r="N1051" s="65"/>
      <c r="O1051" s="65"/>
      <c r="P1051" s="65"/>
      <c r="Q1051" s="65"/>
      <c r="R1051" s="65"/>
      <c r="S1051" s="65"/>
      <c r="T1051" s="65"/>
    </row>
    <row r="1052" spans="3:20">
      <c r="C1052" s="65"/>
      <c r="D1052" s="65"/>
      <c r="E1052" s="65"/>
      <c r="F1052" s="65"/>
      <c r="G1052" s="65"/>
      <c r="H1052" s="65"/>
      <c r="I1052" s="65"/>
      <c r="J1052" s="65"/>
      <c r="K1052" s="65"/>
      <c r="L1052" s="65"/>
      <c r="M1052" s="65"/>
      <c r="N1052" s="65"/>
      <c r="O1052" s="65"/>
      <c r="P1052" s="65"/>
      <c r="Q1052" s="65"/>
      <c r="R1052" s="65"/>
      <c r="S1052" s="65"/>
      <c r="T1052" s="65"/>
    </row>
    <row r="1053" spans="3:20">
      <c r="C1053" s="65"/>
      <c r="D1053" s="65"/>
      <c r="E1053" s="65"/>
      <c r="F1053" s="65"/>
      <c r="G1053" s="65"/>
      <c r="H1053" s="65"/>
      <c r="I1053" s="65"/>
      <c r="J1053" s="65"/>
      <c r="K1053" s="65"/>
      <c r="L1053" s="65"/>
      <c r="M1053" s="65"/>
      <c r="N1053" s="65"/>
      <c r="O1053" s="65"/>
      <c r="P1053" s="65"/>
      <c r="Q1053" s="65"/>
      <c r="R1053" s="65"/>
      <c r="S1053" s="65"/>
      <c r="T1053" s="65"/>
    </row>
    <row r="1054" spans="3:20">
      <c r="C1054" s="65"/>
      <c r="D1054" s="65"/>
      <c r="E1054" s="65"/>
      <c r="F1054" s="65"/>
      <c r="G1054" s="65"/>
      <c r="H1054" s="65"/>
      <c r="I1054" s="65"/>
      <c r="J1054" s="65"/>
      <c r="K1054" s="65"/>
      <c r="L1054" s="65"/>
      <c r="M1054" s="65"/>
      <c r="N1054" s="65"/>
      <c r="O1054" s="65"/>
      <c r="P1054" s="65"/>
      <c r="Q1054" s="65"/>
      <c r="R1054" s="65"/>
      <c r="S1054" s="65"/>
      <c r="T1054" s="65"/>
    </row>
    <row r="1055" spans="3:20">
      <c r="C1055" s="65"/>
      <c r="D1055" s="65"/>
      <c r="E1055" s="65"/>
      <c r="F1055" s="65"/>
      <c r="G1055" s="65"/>
      <c r="H1055" s="65"/>
      <c r="I1055" s="65"/>
      <c r="J1055" s="65"/>
      <c r="K1055" s="65"/>
      <c r="L1055" s="65"/>
      <c r="M1055" s="65"/>
      <c r="N1055" s="65"/>
      <c r="O1055" s="65"/>
      <c r="P1055" s="65"/>
      <c r="Q1055" s="65"/>
      <c r="R1055" s="65"/>
      <c r="S1055" s="65"/>
      <c r="T1055" s="65"/>
    </row>
    <row r="1056" spans="3:20">
      <c r="C1056" s="65"/>
      <c r="D1056" s="65"/>
      <c r="E1056" s="65"/>
      <c r="F1056" s="65"/>
      <c r="G1056" s="65"/>
      <c r="H1056" s="65"/>
      <c r="I1056" s="65"/>
      <c r="J1056" s="65"/>
      <c r="K1056" s="65"/>
      <c r="L1056" s="65"/>
      <c r="M1056" s="65"/>
      <c r="N1056" s="65"/>
      <c r="O1056" s="65"/>
      <c r="P1056" s="65"/>
      <c r="Q1056" s="65"/>
      <c r="R1056" s="65"/>
      <c r="S1056" s="65"/>
      <c r="T1056" s="65"/>
    </row>
    <row r="1057" spans="3:20">
      <c r="C1057" s="65"/>
      <c r="D1057" s="65"/>
      <c r="E1057" s="65"/>
      <c r="F1057" s="65"/>
      <c r="G1057" s="65"/>
      <c r="H1057" s="65"/>
      <c r="I1057" s="65"/>
      <c r="J1057" s="65"/>
      <c r="K1057" s="65"/>
      <c r="L1057" s="65"/>
      <c r="M1057" s="65"/>
      <c r="N1057" s="65"/>
      <c r="O1057" s="65"/>
      <c r="P1057" s="65"/>
      <c r="Q1057" s="65"/>
      <c r="R1057" s="65"/>
      <c r="S1057" s="65"/>
      <c r="T1057" s="65"/>
    </row>
    <row r="1058" spans="3:20">
      <c r="C1058" s="65"/>
      <c r="D1058" s="65"/>
      <c r="E1058" s="65"/>
      <c r="F1058" s="65"/>
      <c r="G1058" s="65"/>
      <c r="H1058" s="65"/>
      <c r="I1058" s="65"/>
      <c r="J1058" s="65"/>
      <c r="K1058" s="65"/>
      <c r="L1058" s="65"/>
      <c r="M1058" s="65"/>
      <c r="N1058" s="65"/>
      <c r="O1058" s="65"/>
      <c r="P1058" s="65"/>
      <c r="Q1058" s="65"/>
      <c r="R1058" s="65"/>
      <c r="S1058" s="65"/>
      <c r="T1058" s="65"/>
    </row>
    <row r="1059" spans="3:20">
      <c r="C1059" s="65"/>
      <c r="D1059" s="65"/>
      <c r="E1059" s="65"/>
      <c r="F1059" s="65"/>
      <c r="G1059" s="65"/>
      <c r="H1059" s="65"/>
      <c r="I1059" s="65"/>
      <c r="J1059" s="65"/>
      <c r="K1059" s="65"/>
      <c r="L1059" s="65"/>
      <c r="M1059" s="65"/>
      <c r="N1059" s="65"/>
      <c r="O1059" s="65"/>
      <c r="P1059" s="65"/>
      <c r="Q1059" s="65"/>
      <c r="R1059" s="65"/>
      <c r="S1059" s="65"/>
      <c r="T1059" s="65"/>
    </row>
    <row r="1060" spans="3:20">
      <c r="C1060" s="65"/>
      <c r="D1060" s="65"/>
      <c r="E1060" s="65"/>
      <c r="F1060" s="65"/>
      <c r="G1060" s="65"/>
      <c r="H1060" s="65"/>
      <c r="I1060" s="65"/>
      <c r="J1060" s="65"/>
      <c r="K1060" s="65"/>
      <c r="L1060" s="65"/>
      <c r="M1060" s="65"/>
      <c r="N1060" s="65"/>
      <c r="O1060" s="65"/>
      <c r="P1060" s="65"/>
      <c r="Q1060" s="65"/>
      <c r="R1060" s="65"/>
      <c r="S1060" s="65"/>
      <c r="T1060" s="65"/>
    </row>
    <row r="1061" spans="3:20">
      <c r="C1061" s="65"/>
      <c r="D1061" s="65"/>
      <c r="E1061" s="65"/>
      <c r="F1061" s="65"/>
      <c r="G1061" s="65"/>
      <c r="H1061" s="65"/>
      <c r="I1061" s="65"/>
      <c r="J1061" s="65"/>
      <c r="K1061" s="65"/>
      <c r="L1061" s="65"/>
      <c r="M1061" s="65"/>
      <c r="N1061" s="65"/>
      <c r="O1061" s="65"/>
      <c r="P1061" s="65"/>
      <c r="Q1061" s="65"/>
      <c r="R1061" s="65"/>
      <c r="S1061" s="65"/>
      <c r="T1061" s="65"/>
    </row>
    <row r="1062" spans="3:20">
      <c r="C1062" s="65"/>
      <c r="D1062" s="65"/>
      <c r="E1062" s="65"/>
      <c r="F1062" s="65"/>
      <c r="G1062" s="65"/>
      <c r="H1062" s="65"/>
      <c r="I1062" s="65"/>
      <c r="J1062" s="65"/>
      <c r="K1062" s="65"/>
      <c r="L1062" s="65"/>
      <c r="M1062" s="65"/>
      <c r="N1062" s="65"/>
      <c r="O1062" s="65"/>
      <c r="P1062" s="65"/>
      <c r="Q1062" s="65"/>
      <c r="R1062" s="65"/>
      <c r="S1062" s="65"/>
      <c r="T1062" s="65"/>
    </row>
    <row r="1063" spans="3:20">
      <c r="C1063" s="65"/>
      <c r="D1063" s="65"/>
      <c r="E1063" s="65"/>
      <c r="F1063" s="65"/>
      <c r="G1063" s="65"/>
      <c r="H1063" s="65"/>
      <c r="I1063" s="65"/>
      <c r="J1063" s="65"/>
      <c r="K1063" s="65"/>
      <c r="L1063" s="65"/>
      <c r="M1063" s="65"/>
      <c r="N1063" s="65"/>
      <c r="O1063" s="65"/>
      <c r="P1063" s="65"/>
      <c r="Q1063" s="65"/>
      <c r="R1063" s="65"/>
      <c r="S1063" s="65"/>
      <c r="T1063" s="65"/>
    </row>
    <row r="1064" spans="3:20">
      <c r="C1064" s="65"/>
      <c r="D1064" s="65"/>
      <c r="E1064" s="65"/>
      <c r="F1064" s="65"/>
      <c r="G1064" s="65"/>
      <c r="H1064" s="65"/>
      <c r="I1064" s="65"/>
      <c r="J1064" s="65"/>
      <c r="K1064" s="65"/>
      <c r="L1064" s="65"/>
      <c r="M1064" s="65"/>
      <c r="N1064" s="65"/>
      <c r="O1064" s="65"/>
      <c r="P1064" s="65"/>
      <c r="Q1064" s="65"/>
      <c r="R1064" s="65"/>
      <c r="S1064" s="65"/>
      <c r="T1064" s="65"/>
    </row>
    <row r="1065" spans="3:20">
      <c r="C1065" s="65"/>
      <c r="D1065" s="65"/>
      <c r="E1065" s="65"/>
      <c r="F1065" s="65"/>
      <c r="G1065" s="65"/>
      <c r="H1065" s="65"/>
      <c r="I1065" s="65"/>
      <c r="J1065" s="65"/>
      <c r="K1065" s="65"/>
      <c r="L1065" s="65"/>
      <c r="M1065" s="65"/>
      <c r="N1065" s="65"/>
      <c r="O1065" s="65"/>
      <c r="P1065" s="65"/>
      <c r="Q1065" s="65"/>
      <c r="R1065" s="65"/>
      <c r="S1065" s="65"/>
      <c r="T1065" s="65"/>
    </row>
    <row r="1066" spans="3:20">
      <c r="C1066" s="65"/>
      <c r="D1066" s="65"/>
      <c r="E1066" s="65"/>
      <c r="F1066" s="65"/>
      <c r="G1066" s="65"/>
      <c r="H1066" s="65"/>
      <c r="I1066" s="65"/>
      <c r="J1066" s="65"/>
      <c r="K1066" s="65"/>
      <c r="L1066" s="65"/>
      <c r="M1066" s="65"/>
      <c r="N1066" s="65"/>
      <c r="O1066" s="65"/>
      <c r="P1066" s="65"/>
      <c r="Q1066" s="65"/>
      <c r="R1066" s="65"/>
      <c r="S1066" s="65"/>
      <c r="T1066" s="65"/>
    </row>
    <row r="1067" spans="3:20">
      <c r="C1067" s="65"/>
      <c r="D1067" s="65"/>
      <c r="E1067" s="65"/>
      <c r="F1067" s="65"/>
      <c r="G1067" s="65"/>
      <c r="H1067" s="65"/>
      <c r="I1067" s="65"/>
      <c r="J1067" s="65"/>
      <c r="K1067" s="65"/>
      <c r="L1067" s="65"/>
      <c r="M1067" s="65"/>
      <c r="N1067" s="65"/>
      <c r="O1067" s="65"/>
      <c r="P1067" s="65"/>
      <c r="Q1067" s="65"/>
      <c r="R1067" s="65"/>
      <c r="S1067" s="65"/>
      <c r="T1067" s="65"/>
    </row>
    <row r="1068" spans="3:20">
      <c r="C1068" s="65"/>
      <c r="D1068" s="65"/>
      <c r="E1068" s="65"/>
      <c r="F1068" s="65"/>
      <c r="G1068" s="65"/>
      <c r="H1068" s="65"/>
      <c r="I1068" s="65"/>
      <c r="J1068" s="65"/>
      <c r="K1068" s="65"/>
      <c r="L1068" s="65"/>
      <c r="M1068" s="65"/>
      <c r="N1068" s="65"/>
      <c r="O1068" s="65"/>
      <c r="P1068" s="65"/>
      <c r="Q1068" s="65"/>
      <c r="R1068" s="65"/>
      <c r="S1068" s="65"/>
      <c r="T1068" s="65"/>
    </row>
    <row r="1069" spans="3:20">
      <c r="C1069" s="65"/>
      <c r="D1069" s="65"/>
      <c r="E1069" s="65"/>
      <c r="F1069" s="65"/>
      <c r="G1069" s="65"/>
      <c r="H1069" s="65"/>
      <c r="I1069" s="65"/>
      <c r="J1069" s="65"/>
      <c r="K1069" s="65"/>
      <c r="L1069" s="65"/>
      <c r="M1069" s="65"/>
      <c r="N1069" s="65"/>
      <c r="O1069" s="65"/>
      <c r="P1069" s="65"/>
      <c r="Q1069" s="65"/>
      <c r="R1069" s="65"/>
      <c r="S1069" s="65"/>
      <c r="T1069" s="65"/>
    </row>
    <row r="1070" spans="3:20">
      <c r="C1070" s="65"/>
      <c r="D1070" s="65"/>
      <c r="E1070" s="65"/>
      <c r="F1070" s="65"/>
      <c r="G1070" s="65"/>
      <c r="H1070" s="65"/>
      <c r="I1070" s="65"/>
      <c r="J1070" s="65"/>
      <c r="K1070" s="65"/>
      <c r="L1070" s="65"/>
      <c r="M1070" s="65"/>
      <c r="N1070" s="65"/>
      <c r="O1070" s="65"/>
      <c r="P1070" s="65"/>
      <c r="Q1070" s="65"/>
      <c r="R1070" s="65"/>
      <c r="S1070" s="65"/>
      <c r="T1070" s="65"/>
    </row>
    <row r="1071" spans="3:20">
      <c r="C1071" s="65"/>
      <c r="D1071" s="65"/>
      <c r="E1071" s="65"/>
      <c r="F1071" s="65"/>
      <c r="G1071" s="65"/>
      <c r="H1071" s="65"/>
      <c r="I1071" s="65"/>
      <c r="J1071" s="65"/>
      <c r="K1071" s="65"/>
      <c r="L1071" s="65"/>
      <c r="M1071" s="65"/>
      <c r="N1071" s="65"/>
      <c r="O1071" s="65"/>
      <c r="P1071" s="65"/>
      <c r="Q1071" s="65"/>
      <c r="R1071" s="65"/>
      <c r="S1071" s="65"/>
      <c r="T1071" s="65"/>
    </row>
    <row r="1072" spans="3:20">
      <c r="C1072" s="65"/>
      <c r="D1072" s="65"/>
      <c r="E1072" s="65"/>
      <c r="F1072" s="65"/>
      <c r="G1072" s="65"/>
      <c r="H1072" s="65"/>
      <c r="I1072" s="65"/>
      <c r="J1072" s="65"/>
      <c r="K1072" s="65"/>
      <c r="L1072" s="65"/>
      <c r="M1072" s="65"/>
      <c r="N1072" s="65"/>
      <c r="O1072" s="65"/>
      <c r="P1072" s="65"/>
      <c r="Q1072" s="65"/>
      <c r="R1072" s="65"/>
      <c r="S1072" s="65"/>
      <c r="T1072" s="65"/>
    </row>
    <row r="1073" spans="3:20">
      <c r="C1073" s="65"/>
      <c r="D1073" s="65"/>
      <c r="E1073" s="65"/>
      <c r="F1073" s="65"/>
      <c r="G1073" s="65"/>
      <c r="H1073" s="65"/>
      <c r="I1073" s="65"/>
      <c r="J1073" s="65"/>
      <c r="K1073" s="65"/>
      <c r="L1073" s="65"/>
      <c r="M1073" s="65"/>
      <c r="N1073" s="65"/>
      <c r="O1073" s="65"/>
      <c r="P1073" s="65"/>
      <c r="Q1073" s="65"/>
      <c r="R1073" s="65"/>
      <c r="S1073" s="65"/>
      <c r="T1073" s="65"/>
    </row>
    <row r="1074" spans="3:20">
      <c r="C1074" s="65"/>
      <c r="D1074" s="65"/>
      <c r="E1074" s="65"/>
      <c r="F1074" s="65"/>
      <c r="G1074" s="65"/>
      <c r="H1074" s="65"/>
      <c r="I1074" s="65"/>
      <c r="J1074" s="65"/>
      <c r="K1074" s="65"/>
      <c r="L1074" s="65"/>
      <c r="M1074" s="65"/>
      <c r="N1074" s="65"/>
      <c r="O1074" s="65"/>
      <c r="P1074" s="65"/>
      <c r="Q1074" s="65"/>
      <c r="R1074" s="65"/>
      <c r="S1074" s="65"/>
      <c r="T1074" s="65"/>
    </row>
    <row r="1075" spans="3:20">
      <c r="C1075" s="65"/>
      <c r="D1075" s="65"/>
      <c r="E1075" s="65"/>
      <c r="F1075" s="65"/>
      <c r="G1075" s="65"/>
      <c r="H1075" s="65"/>
      <c r="I1075" s="65"/>
      <c r="J1075" s="65"/>
      <c r="K1075" s="65"/>
      <c r="L1075" s="65"/>
      <c r="M1075" s="65"/>
      <c r="N1075" s="65"/>
      <c r="O1075" s="65"/>
      <c r="P1075" s="65"/>
      <c r="Q1075" s="65"/>
      <c r="R1075" s="65"/>
      <c r="S1075" s="65"/>
      <c r="T1075" s="65"/>
    </row>
    <row r="1076" spans="3:20">
      <c r="C1076" s="65"/>
      <c r="D1076" s="65"/>
      <c r="E1076" s="65"/>
      <c r="F1076" s="65"/>
      <c r="G1076" s="65"/>
      <c r="H1076" s="65"/>
      <c r="I1076" s="65"/>
      <c r="J1076" s="65"/>
      <c r="K1076" s="65"/>
      <c r="L1076" s="65"/>
      <c r="M1076" s="65"/>
      <c r="N1076" s="65"/>
      <c r="O1076" s="65"/>
      <c r="P1076" s="65"/>
      <c r="Q1076" s="65"/>
      <c r="R1076" s="65"/>
      <c r="S1076" s="65"/>
      <c r="T1076" s="65"/>
    </row>
    <row r="1077" spans="3:20">
      <c r="C1077" s="65"/>
      <c r="D1077" s="65"/>
      <c r="E1077" s="65"/>
      <c r="F1077" s="65"/>
      <c r="G1077" s="65"/>
      <c r="H1077" s="65"/>
      <c r="I1077" s="65"/>
      <c r="J1077" s="65"/>
      <c r="K1077" s="65"/>
      <c r="L1077" s="65"/>
      <c r="M1077" s="65"/>
      <c r="N1077" s="65"/>
      <c r="O1077" s="65"/>
      <c r="P1077" s="65"/>
      <c r="Q1077" s="65"/>
      <c r="R1077" s="65"/>
      <c r="S1077" s="65"/>
      <c r="T1077" s="65"/>
    </row>
    <row r="1078" spans="3:20">
      <c r="C1078" s="65"/>
      <c r="D1078" s="65"/>
      <c r="E1078" s="65"/>
      <c r="F1078" s="65"/>
      <c r="G1078" s="65"/>
      <c r="H1078" s="65"/>
      <c r="I1078" s="65"/>
      <c r="J1078" s="65"/>
      <c r="K1078" s="65"/>
      <c r="L1078" s="65"/>
      <c r="M1078" s="65"/>
      <c r="N1078" s="65"/>
      <c r="O1078" s="65"/>
      <c r="P1078" s="65"/>
      <c r="Q1078" s="65"/>
      <c r="R1078" s="65"/>
      <c r="S1078" s="65"/>
      <c r="T1078" s="65"/>
    </row>
    <row r="1079" spans="3:20">
      <c r="C1079" s="65"/>
      <c r="D1079" s="65"/>
      <c r="E1079" s="65"/>
      <c r="F1079" s="65"/>
      <c r="G1079" s="65"/>
      <c r="H1079" s="65"/>
      <c r="I1079" s="65"/>
      <c r="J1079" s="65"/>
      <c r="K1079" s="65"/>
      <c r="L1079" s="65"/>
      <c r="M1079" s="65"/>
      <c r="N1079" s="65"/>
      <c r="O1079" s="65"/>
      <c r="P1079" s="65"/>
      <c r="Q1079" s="65"/>
      <c r="R1079" s="65"/>
      <c r="S1079" s="65"/>
      <c r="T1079" s="65"/>
    </row>
    <row r="1080" spans="3:20">
      <c r="C1080" s="65"/>
      <c r="D1080" s="65"/>
      <c r="E1080" s="65"/>
      <c r="F1080" s="65"/>
      <c r="G1080" s="65"/>
      <c r="H1080" s="65"/>
      <c r="I1080" s="65"/>
      <c r="J1080" s="65"/>
      <c r="K1080" s="65"/>
      <c r="L1080" s="65"/>
      <c r="M1080" s="65"/>
      <c r="N1080" s="65"/>
      <c r="O1080" s="65"/>
      <c r="P1080" s="65"/>
      <c r="Q1080" s="65"/>
      <c r="R1080" s="65"/>
      <c r="S1080" s="65"/>
      <c r="T1080" s="65"/>
    </row>
    <row r="1081" spans="3:20">
      <c r="C1081" s="65"/>
      <c r="D1081" s="65"/>
      <c r="E1081" s="65"/>
      <c r="F1081" s="65"/>
      <c r="G1081" s="65"/>
      <c r="H1081" s="65"/>
      <c r="I1081" s="65"/>
      <c r="J1081" s="65"/>
      <c r="K1081" s="65"/>
      <c r="L1081" s="65"/>
      <c r="M1081" s="65"/>
      <c r="N1081" s="65"/>
      <c r="O1081" s="65"/>
      <c r="P1081" s="65"/>
      <c r="Q1081" s="65"/>
      <c r="R1081" s="65"/>
      <c r="S1081" s="65"/>
      <c r="T1081" s="65"/>
    </row>
    <row r="1082" spans="3:20">
      <c r="C1082" s="65"/>
      <c r="D1082" s="65"/>
      <c r="E1082" s="65"/>
      <c r="F1082" s="65"/>
      <c r="G1082" s="65"/>
      <c r="H1082" s="65"/>
      <c r="I1082" s="65"/>
      <c r="J1082" s="65"/>
      <c r="K1082" s="65"/>
      <c r="L1082" s="65"/>
      <c r="M1082" s="65"/>
      <c r="N1082" s="65"/>
      <c r="O1082" s="65"/>
      <c r="P1082" s="65"/>
      <c r="Q1082" s="65"/>
      <c r="R1082" s="65"/>
      <c r="S1082" s="65"/>
      <c r="T1082" s="65"/>
    </row>
    <row r="1083" spans="3:20">
      <c r="C1083" s="65"/>
      <c r="D1083" s="65"/>
      <c r="E1083" s="65"/>
      <c r="F1083" s="65"/>
      <c r="G1083" s="65"/>
      <c r="H1083" s="65"/>
      <c r="I1083" s="65"/>
      <c r="J1083" s="65"/>
      <c r="K1083" s="65"/>
      <c r="L1083" s="65"/>
      <c r="M1083" s="65"/>
      <c r="N1083" s="65"/>
      <c r="O1083" s="65"/>
      <c r="P1083" s="65"/>
      <c r="Q1083" s="65"/>
      <c r="R1083" s="65"/>
      <c r="S1083" s="65"/>
      <c r="T1083" s="65"/>
    </row>
    <row r="1084" spans="3:20">
      <c r="C1084" s="65"/>
      <c r="D1084" s="65"/>
      <c r="E1084" s="65"/>
      <c r="F1084" s="65"/>
      <c r="G1084" s="65"/>
      <c r="H1084" s="65"/>
      <c r="I1084" s="65"/>
      <c r="J1084" s="65"/>
      <c r="K1084" s="65"/>
      <c r="L1084" s="65"/>
      <c r="M1084" s="65"/>
      <c r="N1084" s="65"/>
      <c r="O1084" s="65"/>
      <c r="P1084" s="65"/>
      <c r="Q1084" s="65"/>
      <c r="R1084" s="65"/>
      <c r="S1084" s="65"/>
      <c r="T1084" s="65"/>
    </row>
    <row r="1085" spans="3:20">
      <c r="C1085" s="65"/>
      <c r="D1085" s="65"/>
      <c r="E1085" s="65"/>
      <c r="F1085" s="65"/>
      <c r="G1085" s="65"/>
      <c r="H1085" s="65"/>
      <c r="I1085" s="65"/>
      <c r="J1085" s="65"/>
      <c r="K1085" s="65"/>
      <c r="L1085" s="65"/>
      <c r="M1085" s="65"/>
      <c r="N1085" s="65"/>
      <c r="O1085" s="65"/>
      <c r="P1085" s="65"/>
      <c r="Q1085" s="65"/>
      <c r="R1085" s="65"/>
      <c r="S1085" s="65"/>
      <c r="T1085" s="65"/>
    </row>
    <row r="1086" spans="3:20">
      <c r="C1086" s="65"/>
      <c r="D1086" s="65"/>
      <c r="E1086" s="65"/>
      <c r="F1086" s="65"/>
      <c r="G1086" s="65"/>
      <c r="H1086" s="65"/>
      <c r="I1086" s="65"/>
      <c r="J1086" s="65"/>
      <c r="K1086" s="65"/>
      <c r="L1086" s="65"/>
      <c r="M1086" s="65"/>
      <c r="N1086" s="65"/>
      <c r="O1086" s="65"/>
      <c r="P1086" s="65"/>
      <c r="Q1086" s="65"/>
      <c r="R1086" s="65"/>
      <c r="S1086" s="65"/>
      <c r="T1086" s="65"/>
    </row>
    <row r="1087" spans="3:20">
      <c r="C1087" s="65"/>
      <c r="D1087" s="65"/>
      <c r="E1087" s="65"/>
      <c r="F1087" s="65"/>
      <c r="G1087" s="65"/>
      <c r="H1087" s="65"/>
      <c r="I1087" s="65"/>
      <c r="J1087" s="65"/>
      <c r="K1087" s="65"/>
      <c r="L1087" s="65"/>
      <c r="M1087" s="65"/>
      <c r="N1087" s="65"/>
      <c r="O1087" s="65"/>
      <c r="P1087" s="65"/>
      <c r="Q1087" s="65"/>
      <c r="R1087" s="65"/>
      <c r="S1087" s="65"/>
      <c r="T1087" s="65"/>
    </row>
    <row r="1088" spans="3:20">
      <c r="C1088" s="65"/>
      <c r="D1088" s="65"/>
      <c r="E1088" s="65"/>
      <c r="F1088" s="65"/>
      <c r="G1088" s="65"/>
      <c r="H1088" s="65"/>
      <c r="I1088" s="65"/>
      <c r="J1088" s="65"/>
      <c r="K1088" s="65"/>
      <c r="L1088" s="65"/>
      <c r="M1088" s="65"/>
      <c r="N1088" s="65"/>
      <c r="O1088" s="65"/>
      <c r="P1088" s="65"/>
      <c r="Q1088" s="65"/>
      <c r="R1088" s="65"/>
      <c r="S1088" s="65"/>
      <c r="T1088" s="65"/>
    </row>
    <row r="1089" spans="3:20">
      <c r="C1089" s="65"/>
      <c r="D1089" s="65"/>
      <c r="E1089" s="65"/>
      <c r="F1089" s="65"/>
      <c r="G1089" s="65"/>
      <c r="H1089" s="65"/>
      <c r="I1089" s="65"/>
      <c r="J1089" s="65"/>
      <c r="K1089" s="65"/>
      <c r="L1089" s="65"/>
      <c r="M1089" s="65"/>
      <c r="N1089" s="65"/>
      <c r="O1089" s="65"/>
      <c r="P1089" s="65"/>
      <c r="Q1089" s="65"/>
      <c r="R1089" s="65"/>
      <c r="S1089" s="65"/>
      <c r="T1089" s="65"/>
    </row>
    <row r="1090" spans="3:20">
      <c r="C1090" s="65"/>
      <c r="D1090" s="65"/>
      <c r="E1090" s="65"/>
      <c r="F1090" s="65"/>
      <c r="G1090" s="65"/>
      <c r="H1090" s="65"/>
      <c r="I1090" s="65"/>
      <c r="J1090" s="65"/>
      <c r="K1090" s="65"/>
      <c r="L1090" s="65"/>
      <c r="M1090" s="65"/>
      <c r="N1090" s="65"/>
      <c r="O1090" s="65"/>
      <c r="P1090" s="65"/>
      <c r="Q1090" s="65"/>
      <c r="R1090" s="65"/>
      <c r="S1090" s="65"/>
      <c r="T1090" s="65"/>
    </row>
    <row r="1091" spans="3:20">
      <c r="C1091" s="65"/>
      <c r="D1091" s="65"/>
      <c r="E1091" s="65"/>
      <c r="F1091" s="65"/>
      <c r="G1091" s="65"/>
      <c r="H1091" s="65"/>
      <c r="I1091" s="65"/>
      <c r="J1091" s="65"/>
      <c r="K1091" s="65"/>
      <c r="L1091" s="65"/>
      <c r="M1091" s="65"/>
      <c r="N1091" s="65"/>
      <c r="O1091" s="65"/>
      <c r="P1091" s="65"/>
      <c r="Q1091" s="65"/>
      <c r="R1091" s="65"/>
      <c r="S1091" s="65"/>
      <c r="T1091" s="65"/>
    </row>
    <row r="1092" spans="3:20">
      <c r="C1092" s="65"/>
      <c r="D1092" s="65"/>
      <c r="E1092" s="65"/>
      <c r="F1092" s="65"/>
      <c r="G1092" s="65"/>
      <c r="H1092" s="65"/>
      <c r="I1092" s="65"/>
      <c r="J1092" s="65"/>
      <c r="K1092" s="65"/>
      <c r="L1092" s="65"/>
      <c r="M1092" s="65"/>
      <c r="N1092" s="65"/>
      <c r="O1092" s="65"/>
      <c r="P1092" s="65"/>
      <c r="Q1092" s="65"/>
      <c r="R1092" s="65"/>
      <c r="S1092" s="65"/>
      <c r="T1092" s="65"/>
    </row>
    <row r="1093" spans="3:20">
      <c r="C1093" s="65"/>
      <c r="D1093" s="65"/>
      <c r="E1093" s="65"/>
      <c r="F1093" s="65"/>
      <c r="G1093" s="65"/>
      <c r="H1093" s="65"/>
      <c r="I1093" s="65"/>
      <c r="J1093" s="65"/>
      <c r="K1093" s="65"/>
      <c r="L1093" s="65"/>
      <c r="M1093" s="65"/>
      <c r="N1093" s="65"/>
      <c r="O1093" s="65"/>
      <c r="P1093" s="65"/>
      <c r="Q1093" s="65"/>
      <c r="R1093" s="65"/>
      <c r="S1093" s="65"/>
      <c r="T1093" s="65"/>
    </row>
    <row r="1094" spans="3:20">
      <c r="C1094" s="65"/>
      <c r="D1094" s="65"/>
      <c r="E1094" s="65"/>
      <c r="F1094" s="65"/>
      <c r="G1094" s="65"/>
      <c r="H1094" s="65"/>
      <c r="I1094" s="65"/>
      <c r="J1094" s="65"/>
      <c r="K1094" s="65"/>
      <c r="L1094" s="65"/>
      <c r="M1094" s="65"/>
      <c r="N1094" s="65"/>
      <c r="O1094" s="65"/>
      <c r="P1094" s="65"/>
      <c r="Q1094" s="65"/>
      <c r="R1094" s="65"/>
      <c r="S1094" s="65"/>
      <c r="T1094" s="65"/>
    </row>
    <row r="1095" spans="3:20">
      <c r="C1095" s="65"/>
      <c r="D1095" s="65"/>
      <c r="E1095" s="65"/>
      <c r="F1095" s="65"/>
      <c r="G1095" s="65"/>
      <c r="H1095" s="65"/>
      <c r="I1095" s="65"/>
      <c r="J1095" s="65"/>
      <c r="K1095" s="65"/>
      <c r="L1095" s="65"/>
      <c r="M1095" s="65"/>
      <c r="N1095" s="65"/>
      <c r="O1095" s="65"/>
      <c r="P1095" s="65"/>
      <c r="Q1095" s="65"/>
      <c r="R1095" s="65"/>
      <c r="S1095" s="65"/>
      <c r="T1095" s="65"/>
    </row>
    <row r="1096" spans="3:20">
      <c r="C1096" s="65"/>
      <c r="D1096" s="65"/>
      <c r="E1096" s="65"/>
      <c r="F1096" s="65"/>
      <c r="G1096" s="65"/>
      <c r="H1096" s="65"/>
      <c r="I1096" s="65"/>
      <c r="J1096" s="65"/>
      <c r="K1096" s="65"/>
      <c r="L1096" s="65"/>
      <c r="M1096" s="65"/>
      <c r="N1096" s="65"/>
      <c r="O1096" s="65"/>
      <c r="P1096" s="65"/>
      <c r="Q1096" s="65"/>
      <c r="R1096" s="65"/>
      <c r="S1096" s="65"/>
      <c r="T1096" s="65"/>
    </row>
    <row r="1097" spans="3:20">
      <c r="C1097" s="65"/>
      <c r="D1097" s="65"/>
      <c r="E1097" s="65"/>
      <c r="F1097" s="65"/>
      <c r="G1097" s="65"/>
      <c r="H1097" s="65"/>
      <c r="I1097" s="65"/>
      <c r="J1097" s="65"/>
      <c r="K1097" s="65"/>
      <c r="L1097" s="65"/>
      <c r="M1097" s="65"/>
      <c r="N1097" s="65"/>
      <c r="O1097" s="65"/>
      <c r="P1097" s="65"/>
      <c r="Q1097" s="65"/>
      <c r="R1097" s="65"/>
      <c r="S1097" s="65"/>
      <c r="T1097" s="65"/>
    </row>
    <row r="1098" spans="3:20">
      <c r="C1098" s="65"/>
      <c r="D1098" s="65"/>
      <c r="E1098" s="65"/>
      <c r="F1098" s="65"/>
      <c r="G1098" s="65"/>
      <c r="H1098" s="65"/>
      <c r="I1098" s="65"/>
      <c r="J1098" s="65"/>
      <c r="K1098" s="65"/>
      <c r="L1098" s="65"/>
      <c r="M1098" s="65"/>
      <c r="N1098" s="65"/>
      <c r="O1098" s="65"/>
      <c r="P1098" s="65"/>
      <c r="Q1098" s="65"/>
      <c r="R1098" s="65"/>
      <c r="S1098" s="65"/>
      <c r="T1098" s="65"/>
    </row>
    <row r="1099" spans="3:20">
      <c r="C1099" s="65"/>
      <c r="D1099" s="65"/>
      <c r="E1099" s="65"/>
      <c r="F1099" s="65"/>
      <c r="G1099" s="65"/>
      <c r="H1099" s="65"/>
      <c r="I1099" s="65"/>
      <c r="J1099" s="65"/>
      <c r="K1099" s="65"/>
      <c r="L1099" s="65"/>
      <c r="M1099" s="65"/>
      <c r="N1099" s="65"/>
      <c r="O1099" s="65"/>
      <c r="P1099" s="65"/>
      <c r="Q1099" s="65"/>
      <c r="R1099" s="65"/>
      <c r="S1099" s="65"/>
      <c r="T1099" s="65"/>
    </row>
    <row r="1100" spans="3:20">
      <c r="C1100" s="65"/>
      <c r="D1100" s="65"/>
      <c r="E1100" s="65"/>
      <c r="F1100" s="65"/>
      <c r="G1100" s="65"/>
      <c r="H1100" s="65"/>
      <c r="I1100" s="65"/>
      <c r="J1100" s="65"/>
      <c r="K1100" s="65"/>
      <c r="L1100" s="65"/>
      <c r="M1100" s="65"/>
      <c r="N1100" s="65"/>
      <c r="O1100" s="65"/>
      <c r="P1100" s="65"/>
      <c r="Q1100" s="65"/>
      <c r="R1100" s="65"/>
      <c r="S1100" s="65"/>
      <c r="T1100" s="65"/>
    </row>
    <row r="1101" spans="3:20">
      <c r="C1101" s="65"/>
      <c r="D1101" s="65"/>
      <c r="E1101" s="65"/>
      <c r="F1101" s="65"/>
      <c r="G1101" s="65"/>
      <c r="H1101" s="65"/>
      <c r="I1101" s="65"/>
      <c r="J1101" s="65"/>
      <c r="K1101" s="65"/>
      <c r="L1101" s="65"/>
      <c r="M1101" s="65"/>
      <c r="N1101" s="65"/>
      <c r="O1101" s="65"/>
      <c r="P1101" s="65"/>
      <c r="Q1101" s="65"/>
      <c r="R1101" s="65"/>
      <c r="S1101" s="65"/>
      <c r="T1101" s="65"/>
    </row>
    <row r="1102" spans="3:20">
      <c r="C1102" s="65"/>
      <c r="D1102" s="65"/>
      <c r="E1102" s="65"/>
      <c r="F1102" s="65"/>
      <c r="G1102" s="65"/>
      <c r="H1102" s="65"/>
      <c r="I1102" s="65"/>
      <c r="J1102" s="65"/>
      <c r="K1102" s="65"/>
      <c r="L1102" s="65"/>
      <c r="M1102" s="65"/>
      <c r="N1102" s="65"/>
      <c r="O1102" s="65"/>
      <c r="P1102" s="65"/>
      <c r="Q1102" s="65"/>
      <c r="R1102" s="65"/>
      <c r="S1102" s="65"/>
      <c r="T1102" s="65"/>
    </row>
    <row r="1103" spans="3:20">
      <c r="C1103" s="65"/>
      <c r="D1103" s="65"/>
      <c r="E1103" s="65"/>
      <c r="F1103" s="65"/>
      <c r="G1103" s="65"/>
      <c r="H1103" s="65"/>
      <c r="I1103" s="65"/>
      <c r="J1103" s="65"/>
      <c r="K1103" s="65"/>
      <c r="L1103" s="65"/>
      <c r="M1103" s="65"/>
      <c r="N1103" s="65"/>
      <c r="O1103" s="65"/>
      <c r="P1103" s="65"/>
      <c r="Q1103" s="65"/>
      <c r="R1103" s="65"/>
      <c r="S1103" s="65"/>
      <c r="T1103" s="65"/>
    </row>
    <row r="1104" spans="3:20">
      <c r="C1104" s="65"/>
      <c r="D1104" s="65"/>
      <c r="E1104" s="65"/>
      <c r="F1104" s="65"/>
      <c r="G1104" s="65"/>
      <c r="H1104" s="65"/>
      <c r="I1104" s="65"/>
      <c r="J1104" s="65"/>
      <c r="K1104" s="65"/>
      <c r="L1104" s="65"/>
      <c r="M1104" s="65"/>
      <c r="N1104" s="65"/>
      <c r="O1104" s="65"/>
      <c r="P1104" s="65"/>
      <c r="Q1104" s="65"/>
      <c r="R1104" s="65"/>
      <c r="S1104" s="65"/>
      <c r="T1104" s="65"/>
    </row>
    <row r="1105" spans="3:20">
      <c r="C1105" s="65"/>
      <c r="D1105" s="65"/>
      <c r="E1105" s="65"/>
      <c r="F1105" s="65"/>
      <c r="G1105" s="65"/>
      <c r="H1105" s="65"/>
      <c r="I1105" s="65"/>
      <c r="J1105" s="65"/>
      <c r="K1105" s="65"/>
      <c r="L1105" s="65"/>
      <c r="M1105" s="65"/>
      <c r="N1105" s="65"/>
      <c r="O1105" s="65"/>
      <c r="P1105" s="65"/>
      <c r="Q1105" s="65"/>
      <c r="R1105" s="65"/>
      <c r="S1105" s="65"/>
      <c r="T1105" s="65"/>
    </row>
    <row r="1106" spans="3:20">
      <c r="C1106" s="65"/>
      <c r="D1106" s="65"/>
      <c r="E1106" s="65"/>
      <c r="F1106" s="65"/>
      <c r="G1106" s="65"/>
      <c r="H1106" s="65"/>
      <c r="I1106" s="65"/>
      <c r="J1106" s="65"/>
      <c r="K1106" s="65"/>
      <c r="L1106" s="65"/>
      <c r="M1106" s="65"/>
      <c r="N1106" s="65"/>
      <c r="O1106" s="65"/>
      <c r="P1106" s="65"/>
      <c r="Q1106" s="65"/>
      <c r="R1106" s="65"/>
      <c r="S1106" s="65"/>
      <c r="T1106" s="65"/>
    </row>
    <row r="1107" spans="3:20">
      <c r="C1107" s="65"/>
      <c r="D1107" s="65"/>
      <c r="E1107" s="65"/>
      <c r="F1107" s="65"/>
      <c r="G1107" s="65"/>
      <c r="H1107" s="65"/>
      <c r="I1107" s="65"/>
      <c r="J1107" s="65"/>
      <c r="K1107" s="65"/>
      <c r="L1107" s="65"/>
      <c r="M1107" s="65"/>
      <c r="N1107" s="65"/>
      <c r="O1107" s="65"/>
      <c r="P1107" s="65"/>
      <c r="Q1107" s="65"/>
      <c r="R1107" s="65"/>
      <c r="S1107" s="65"/>
      <c r="T1107" s="65"/>
    </row>
    <row r="1108" spans="3:20">
      <c r="C1108" s="65"/>
      <c r="D1108" s="65"/>
      <c r="E1108" s="65"/>
      <c r="F1108" s="65"/>
      <c r="G1108" s="65"/>
      <c r="H1108" s="65"/>
      <c r="I1108" s="65"/>
      <c r="J1108" s="65"/>
      <c r="K1108" s="65"/>
      <c r="L1108" s="65"/>
      <c r="M1108" s="65"/>
      <c r="N1108" s="65"/>
      <c r="O1108" s="65"/>
      <c r="P1108" s="65"/>
      <c r="Q1108" s="65"/>
      <c r="R1108" s="65"/>
      <c r="S1108" s="65"/>
      <c r="T1108" s="65"/>
    </row>
    <row r="1109" spans="3:20">
      <c r="C1109" s="65"/>
      <c r="D1109" s="65"/>
      <c r="E1109" s="65"/>
      <c r="F1109" s="65"/>
      <c r="G1109" s="65"/>
      <c r="H1109" s="65"/>
      <c r="I1109" s="65"/>
      <c r="J1109" s="65"/>
      <c r="K1109" s="65"/>
      <c r="L1109" s="65"/>
      <c r="M1109" s="65"/>
      <c r="N1109" s="65"/>
      <c r="O1109" s="65"/>
      <c r="P1109" s="65"/>
      <c r="Q1109" s="65"/>
      <c r="R1109" s="65"/>
      <c r="S1109" s="65"/>
      <c r="T1109" s="65"/>
    </row>
    <row r="1110" spans="3:20">
      <c r="C1110" s="65"/>
      <c r="D1110" s="65"/>
      <c r="E1110" s="65"/>
      <c r="F1110" s="65"/>
      <c r="G1110" s="65"/>
      <c r="H1110" s="65"/>
      <c r="I1110" s="65"/>
      <c r="J1110" s="65"/>
      <c r="K1110" s="65"/>
      <c r="L1110" s="65"/>
      <c r="M1110" s="65"/>
      <c r="N1110" s="65"/>
      <c r="O1110" s="65"/>
      <c r="P1110" s="65"/>
      <c r="Q1110" s="65"/>
      <c r="R1110" s="65"/>
      <c r="S1110" s="65"/>
      <c r="T1110" s="65"/>
    </row>
    <row r="1111" spans="3:20">
      <c r="C1111" s="65"/>
      <c r="D1111" s="65"/>
      <c r="E1111" s="65"/>
      <c r="F1111" s="65"/>
      <c r="G1111" s="65"/>
      <c r="H1111" s="65"/>
      <c r="I1111" s="65"/>
      <c r="J1111" s="65"/>
      <c r="K1111" s="65"/>
      <c r="L1111" s="65"/>
      <c r="M1111" s="65"/>
      <c r="N1111" s="65"/>
      <c r="O1111" s="65"/>
      <c r="P1111" s="65"/>
      <c r="Q1111" s="65"/>
      <c r="R1111" s="65"/>
      <c r="S1111" s="65"/>
      <c r="T1111" s="65"/>
    </row>
    <row r="1112" spans="3:20">
      <c r="C1112" s="65"/>
      <c r="D1112" s="65"/>
      <c r="E1112" s="65"/>
      <c r="F1112" s="65"/>
      <c r="G1112" s="65"/>
      <c r="H1112" s="65"/>
      <c r="I1112" s="65"/>
      <c r="J1112" s="65"/>
      <c r="K1112" s="65"/>
      <c r="L1112" s="65"/>
      <c r="M1112" s="65"/>
      <c r="N1112" s="65"/>
      <c r="O1112" s="65"/>
      <c r="P1112" s="65"/>
      <c r="Q1112" s="65"/>
      <c r="R1112" s="65"/>
      <c r="S1112" s="65"/>
      <c r="T1112" s="65"/>
    </row>
    <row r="1113" spans="3:20">
      <c r="C1113" s="65"/>
      <c r="D1113" s="65"/>
      <c r="E1113" s="65"/>
      <c r="F1113" s="65"/>
      <c r="G1113" s="65"/>
      <c r="H1113" s="65"/>
      <c r="I1113" s="65"/>
      <c r="J1113" s="65"/>
      <c r="K1113" s="65"/>
      <c r="L1113" s="65"/>
      <c r="M1113" s="65"/>
      <c r="N1113" s="65"/>
      <c r="O1113" s="65"/>
      <c r="P1113" s="65"/>
      <c r="Q1113" s="65"/>
      <c r="R1113" s="65"/>
      <c r="S1113" s="65"/>
      <c r="T1113" s="65"/>
    </row>
    <row r="1114" spans="3:20">
      <c r="C1114" s="65"/>
      <c r="D1114" s="65"/>
      <c r="E1114" s="65"/>
      <c r="F1114" s="65"/>
      <c r="G1114" s="65"/>
      <c r="H1114" s="65"/>
      <c r="I1114" s="65"/>
      <c r="J1114" s="65"/>
      <c r="K1114" s="65"/>
      <c r="L1114" s="65"/>
      <c r="M1114" s="65"/>
      <c r="N1114" s="65"/>
      <c r="O1114" s="65"/>
      <c r="P1114" s="65"/>
      <c r="Q1114" s="65"/>
      <c r="R1114" s="65"/>
      <c r="S1114" s="65"/>
      <c r="T1114" s="65"/>
    </row>
    <row r="1115" spans="3:20">
      <c r="C1115" s="65"/>
      <c r="D1115" s="65"/>
      <c r="E1115" s="65"/>
      <c r="F1115" s="65"/>
      <c r="G1115" s="65"/>
      <c r="H1115" s="65"/>
      <c r="I1115" s="65"/>
      <c r="J1115" s="65"/>
      <c r="K1115" s="65"/>
      <c r="L1115" s="65"/>
      <c r="M1115" s="65"/>
      <c r="N1115" s="65"/>
      <c r="O1115" s="65"/>
      <c r="P1115" s="65"/>
      <c r="Q1115" s="65"/>
      <c r="R1115" s="65"/>
      <c r="S1115" s="65"/>
      <c r="T1115" s="65"/>
    </row>
    <row r="1116" spans="3:20">
      <c r="C1116" s="65"/>
      <c r="D1116" s="65"/>
      <c r="E1116" s="65"/>
      <c r="F1116" s="65"/>
      <c r="G1116" s="65"/>
      <c r="H1116" s="65"/>
      <c r="I1116" s="65"/>
      <c r="J1116" s="65"/>
      <c r="K1116" s="65"/>
      <c r="L1116" s="65"/>
      <c r="M1116" s="65"/>
      <c r="N1116" s="65"/>
      <c r="O1116" s="65"/>
      <c r="P1116" s="65"/>
      <c r="Q1116" s="65"/>
      <c r="R1116" s="65"/>
      <c r="S1116" s="65"/>
      <c r="T1116" s="65"/>
    </row>
    <row r="1117" spans="3:20">
      <c r="C1117" s="65"/>
      <c r="D1117" s="65"/>
      <c r="E1117" s="65"/>
      <c r="F1117" s="65"/>
      <c r="G1117" s="65"/>
      <c r="H1117" s="65"/>
      <c r="I1117" s="65"/>
      <c r="J1117" s="65"/>
      <c r="K1117" s="65"/>
      <c r="L1117" s="65"/>
      <c r="M1117" s="65"/>
      <c r="N1117" s="65"/>
      <c r="O1117" s="65"/>
      <c r="P1117" s="65"/>
      <c r="Q1117" s="65"/>
      <c r="R1117" s="65"/>
      <c r="S1117" s="65"/>
      <c r="T1117" s="65"/>
    </row>
    <row r="1118" spans="3:20">
      <c r="C1118" s="65"/>
      <c r="D1118" s="65"/>
      <c r="E1118" s="65"/>
      <c r="F1118" s="65"/>
      <c r="G1118" s="65"/>
      <c r="H1118" s="65"/>
      <c r="I1118" s="65"/>
      <c r="J1118" s="65"/>
      <c r="K1118" s="65"/>
      <c r="L1118" s="65"/>
      <c r="M1118" s="65"/>
      <c r="N1118" s="65"/>
      <c r="O1118" s="65"/>
      <c r="P1118" s="65"/>
      <c r="Q1118" s="65"/>
      <c r="R1118" s="65"/>
      <c r="S1118" s="65"/>
      <c r="T1118" s="65"/>
    </row>
    <row r="1119" spans="3:20">
      <c r="C1119" s="65"/>
      <c r="D1119" s="65"/>
      <c r="E1119" s="65"/>
      <c r="F1119" s="65"/>
      <c r="G1119" s="65"/>
      <c r="H1119" s="65"/>
      <c r="I1119" s="65"/>
      <c r="J1119" s="65"/>
      <c r="K1119" s="65"/>
      <c r="L1119" s="65"/>
      <c r="M1119" s="65"/>
      <c r="N1119" s="65"/>
      <c r="O1119" s="65"/>
      <c r="P1119" s="65"/>
      <c r="Q1119" s="65"/>
      <c r="R1119" s="65"/>
      <c r="S1119" s="65"/>
      <c r="T1119" s="65"/>
    </row>
    <row r="1120" spans="3:20">
      <c r="C1120" s="65"/>
      <c r="D1120" s="65"/>
      <c r="E1120" s="65"/>
      <c r="F1120" s="65"/>
      <c r="G1120" s="65"/>
      <c r="H1120" s="65"/>
      <c r="I1120" s="65"/>
      <c r="J1120" s="65"/>
      <c r="K1120" s="65"/>
      <c r="L1120" s="65"/>
      <c r="M1120" s="65"/>
      <c r="N1120" s="65"/>
      <c r="O1120" s="65"/>
      <c r="P1120" s="65"/>
      <c r="Q1120" s="65"/>
      <c r="R1120" s="65"/>
      <c r="S1120" s="65"/>
      <c r="T1120" s="65"/>
    </row>
    <row r="1121" spans="3:20">
      <c r="C1121" s="65"/>
      <c r="D1121" s="65"/>
      <c r="E1121" s="65"/>
      <c r="F1121" s="65"/>
      <c r="G1121" s="65"/>
      <c r="H1121" s="65"/>
      <c r="I1121" s="65"/>
      <c r="J1121" s="65"/>
      <c r="K1121" s="65"/>
      <c r="L1121" s="65"/>
      <c r="M1121" s="65"/>
      <c r="N1121" s="65"/>
      <c r="O1121" s="65"/>
      <c r="P1121" s="65"/>
      <c r="Q1121" s="65"/>
      <c r="R1121" s="65"/>
      <c r="S1121" s="65"/>
      <c r="T1121" s="65"/>
    </row>
    <row r="1122" spans="3:20">
      <c r="C1122" s="65"/>
      <c r="D1122" s="65"/>
      <c r="E1122" s="65"/>
      <c r="F1122" s="65"/>
      <c r="G1122" s="65"/>
      <c r="H1122" s="65"/>
      <c r="I1122" s="65"/>
      <c r="J1122" s="65"/>
      <c r="K1122" s="65"/>
      <c r="L1122" s="65"/>
      <c r="M1122" s="65"/>
      <c r="N1122" s="65"/>
      <c r="O1122" s="65"/>
      <c r="P1122" s="65"/>
      <c r="Q1122" s="65"/>
      <c r="R1122" s="65"/>
      <c r="S1122" s="65"/>
      <c r="T1122" s="65"/>
    </row>
    <row r="1123" spans="3:20">
      <c r="C1123" s="65"/>
      <c r="D1123" s="65"/>
      <c r="E1123" s="65"/>
      <c r="F1123" s="65"/>
      <c r="G1123" s="65"/>
      <c r="H1123" s="65"/>
      <c r="I1123" s="65"/>
      <c r="J1123" s="65"/>
      <c r="K1123" s="65"/>
      <c r="L1123" s="65"/>
      <c r="M1123" s="65"/>
      <c r="N1123" s="65"/>
      <c r="O1123" s="65"/>
      <c r="P1123" s="65"/>
      <c r="Q1123" s="65"/>
      <c r="R1123" s="65"/>
      <c r="S1123" s="65"/>
      <c r="T1123" s="65"/>
    </row>
    <row r="1124" spans="3:20">
      <c r="C1124" s="65"/>
      <c r="D1124" s="65"/>
      <c r="E1124" s="65"/>
      <c r="F1124" s="65"/>
      <c r="G1124" s="65"/>
      <c r="H1124" s="65"/>
      <c r="I1124" s="65"/>
      <c r="J1124" s="65"/>
      <c r="K1124" s="65"/>
      <c r="L1124" s="65"/>
      <c r="M1124" s="65"/>
      <c r="N1124" s="65"/>
      <c r="O1124" s="65"/>
      <c r="P1124" s="65"/>
      <c r="Q1124" s="65"/>
      <c r="R1124" s="65"/>
      <c r="S1124" s="65"/>
      <c r="T1124" s="65"/>
    </row>
    <row r="1125" spans="3:20">
      <c r="C1125" s="65"/>
      <c r="D1125" s="65"/>
      <c r="E1125" s="65"/>
      <c r="F1125" s="65"/>
      <c r="G1125" s="65"/>
      <c r="H1125" s="65"/>
      <c r="I1125" s="65"/>
      <c r="J1125" s="65"/>
      <c r="K1125" s="65"/>
      <c r="L1125" s="65"/>
      <c r="M1125" s="65"/>
      <c r="N1125" s="65"/>
      <c r="O1125" s="65"/>
      <c r="P1125" s="65"/>
      <c r="Q1125" s="65"/>
      <c r="R1125" s="65"/>
      <c r="S1125" s="65"/>
      <c r="T1125" s="65"/>
    </row>
    <row r="1126" spans="3:20">
      <c r="C1126" s="65"/>
      <c r="D1126" s="65"/>
      <c r="E1126" s="65"/>
      <c r="F1126" s="65"/>
      <c r="G1126" s="65"/>
      <c r="H1126" s="65"/>
      <c r="I1126" s="65"/>
      <c r="J1126" s="65"/>
      <c r="K1126" s="65"/>
      <c r="L1126" s="65"/>
      <c r="M1126" s="65"/>
      <c r="N1126" s="65"/>
      <c r="O1126" s="65"/>
      <c r="P1126" s="65"/>
      <c r="Q1126" s="65"/>
      <c r="R1126" s="65"/>
      <c r="S1126" s="65"/>
      <c r="T1126" s="65"/>
    </row>
    <row r="1127" spans="3:20">
      <c r="C1127" s="65"/>
      <c r="D1127" s="65"/>
      <c r="E1127" s="65"/>
      <c r="F1127" s="65"/>
      <c r="G1127" s="65"/>
      <c r="H1127" s="65"/>
      <c r="I1127" s="65"/>
      <c r="J1127" s="65"/>
      <c r="K1127" s="65"/>
      <c r="L1127" s="65"/>
      <c r="M1127" s="65"/>
      <c r="N1127" s="65"/>
      <c r="O1127" s="65"/>
      <c r="P1127" s="65"/>
      <c r="Q1127" s="65"/>
      <c r="R1127" s="65"/>
      <c r="S1127" s="65"/>
      <c r="T1127" s="65"/>
    </row>
    <row r="1128" spans="3:20">
      <c r="C1128" s="65"/>
      <c r="D1128" s="65"/>
      <c r="E1128" s="65"/>
      <c r="F1128" s="65"/>
      <c r="G1128" s="65"/>
      <c r="H1128" s="65"/>
      <c r="I1128" s="65"/>
      <c r="J1128" s="65"/>
      <c r="K1128" s="65"/>
      <c r="L1128" s="65"/>
      <c r="M1128" s="65"/>
      <c r="N1128" s="65"/>
      <c r="O1128" s="65"/>
      <c r="P1128" s="65"/>
      <c r="Q1128" s="65"/>
      <c r="R1128" s="65"/>
      <c r="S1128" s="65"/>
      <c r="T1128" s="65"/>
    </row>
    <row r="1129" spans="3:20">
      <c r="C1129" s="65"/>
      <c r="D1129" s="65"/>
      <c r="E1129" s="65"/>
      <c r="F1129" s="65"/>
      <c r="G1129" s="65"/>
      <c r="H1129" s="65"/>
      <c r="I1129" s="65"/>
      <c r="J1129" s="65"/>
      <c r="K1129" s="65"/>
      <c r="L1129" s="65"/>
      <c r="M1129" s="65"/>
      <c r="N1129" s="65"/>
      <c r="O1129" s="65"/>
      <c r="P1129" s="65"/>
      <c r="Q1129" s="65"/>
      <c r="R1129" s="65"/>
      <c r="S1129" s="65"/>
      <c r="T1129" s="65"/>
    </row>
    <row r="1130" spans="3:20">
      <c r="C1130" s="65"/>
      <c r="D1130" s="65"/>
      <c r="E1130" s="65"/>
      <c r="F1130" s="65"/>
      <c r="G1130" s="65"/>
      <c r="H1130" s="65"/>
      <c r="I1130" s="65"/>
      <c r="J1130" s="65"/>
      <c r="K1130" s="65"/>
      <c r="L1130" s="65"/>
      <c r="M1130" s="65"/>
      <c r="N1130" s="65"/>
      <c r="O1130" s="65"/>
      <c r="P1130" s="65"/>
      <c r="Q1130" s="65"/>
      <c r="R1130" s="65"/>
      <c r="S1130" s="65"/>
      <c r="T1130" s="65"/>
    </row>
    <row r="1131" spans="3:20">
      <c r="C1131" s="65"/>
      <c r="D1131" s="65"/>
      <c r="E1131" s="65"/>
      <c r="F1131" s="65"/>
      <c r="G1131" s="65"/>
      <c r="H1131" s="65"/>
      <c r="I1131" s="65"/>
      <c r="J1131" s="65"/>
      <c r="K1131" s="65"/>
      <c r="L1131" s="65"/>
      <c r="M1131" s="65"/>
      <c r="N1131" s="65"/>
      <c r="O1131" s="65"/>
      <c r="P1131" s="65"/>
      <c r="Q1131" s="65"/>
      <c r="R1131" s="65"/>
      <c r="S1131" s="65"/>
      <c r="T1131" s="65"/>
    </row>
    <row r="1132" spans="3:20">
      <c r="C1132" s="65"/>
      <c r="D1132" s="65"/>
      <c r="E1132" s="65"/>
      <c r="F1132" s="65"/>
      <c r="G1132" s="65"/>
      <c r="H1132" s="65"/>
      <c r="I1132" s="65"/>
      <c r="J1132" s="65"/>
      <c r="K1132" s="65"/>
      <c r="L1132" s="65"/>
      <c r="M1132" s="65"/>
      <c r="N1132" s="65"/>
      <c r="O1132" s="65"/>
      <c r="P1132" s="65"/>
      <c r="Q1132" s="65"/>
      <c r="R1132" s="65"/>
      <c r="S1132" s="65"/>
      <c r="T1132" s="65"/>
    </row>
    <row r="1133" spans="3:20">
      <c r="C1133" s="65"/>
      <c r="D1133" s="65"/>
      <c r="E1133" s="65"/>
      <c r="F1133" s="65"/>
      <c r="G1133" s="65"/>
      <c r="H1133" s="65"/>
      <c r="I1133" s="65"/>
      <c r="J1133" s="65"/>
      <c r="K1133" s="65"/>
      <c r="L1133" s="65"/>
      <c r="M1133" s="65"/>
      <c r="N1133" s="65"/>
      <c r="O1133" s="65"/>
      <c r="P1133" s="65"/>
      <c r="Q1133" s="65"/>
      <c r="R1133" s="65"/>
      <c r="S1133" s="65"/>
      <c r="T1133" s="65"/>
    </row>
    <row r="1134" spans="3:20">
      <c r="C1134" s="65"/>
      <c r="D1134" s="65"/>
      <c r="E1134" s="65"/>
      <c r="F1134" s="65"/>
      <c r="G1134" s="65"/>
      <c r="H1134" s="65"/>
      <c r="I1134" s="65"/>
      <c r="J1134" s="65"/>
      <c r="K1134" s="65"/>
      <c r="L1134" s="65"/>
      <c r="M1134" s="65"/>
      <c r="N1134" s="65"/>
      <c r="O1134" s="65"/>
      <c r="P1134" s="65"/>
      <c r="Q1134" s="65"/>
      <c r="R1134" s="65"/>
      <c r="S1134" s="65"/>
      <c r="T1134" s="65"/>
    </row>
    <row r="1135" spans="3:20">
      <c r="C1135" s="65"/>
      <c r="D1135" s="65"/>
      <c r="E1135" s="65"/>
      <c r="F1135" s="65"/>
      <c r="G1135" s="65"/>
      <c r="H1135" s="65"/>
      <c r="I1135" s="65"/>
      <c r="J1135" s="65"/>
      <c r="K1135" s="65"/>
      <c r="L1135" s="65"/>
      <c r="M1135" s="65"/>
      <c r="N1135" s="65"/>
      <c r="O1135" s="65"/>
      <c r="P1135" s="65"/>
      <c r="Q1135" s="65"/>
      <c r="R1135" s="65"/>
      <c r="S1135" s="65"/>
      <c r="T1135" s="65"/>
    </row>
    <row r="1136" spans="3:20">
      <c r="C1136" s="65"/>
      <c r="D1136" s="65"/>
      <c r="E1136" s="65"/>
      <c r="F1136" s="65"/>
      <c r="G1136" s="65"/>
      <c r="H1136" s="65"/>
      <c r="I1136" s="65"/>
      <c r="J1136" s="65"/>
      <c r="K1136" s="65"/>
      <c r="L1136" s="65"/>
      <c r="M1136" s="65"/>
      <c r="N1136" s="65"/>
      <c r="O1136" s="65"/>
      <c r="P1136" s="65"/>
      <c r="Q1136" s="65"/>
      <c r="R1136" s="65"/>
      <c r="S1136" s="65"/>
      <c r="T1136" s="65"/>
    </row>
    <row r="1137" spans="3:20">
      <c r="C1137" s="65"/>
      <c r="D1137" s="65"/>
      <c r="E1137" s="65"/>
      <c r="F1137" s="65"/>
      <c r="G1137" s="65"/>
      <c r="H1137" s="65"/>
      <c r="I1137" s="65"/>
      <c r="J1137" s="65"/>
      <c r="K1137" s="65"/>
      <c r="L1137" s="65"/>
      <c r="M1137" s="65"/>
      <c r="N1137" s="65"/>
      <c r="O1137" s="65"/>
      <c r="P1137" s="65"/>
      <c r="Q1137" s="65"/>
      <c r="R1137" s="65"/>
      <c r="S1137" s="65"/>
      <c r="T1137" s="65"/>
    </row>
    <row r="1138" spans="3:20">
      <c r="C1138" s="65"/>
      <c r="D1138" s="65"/>
      <c r="E1138" s="65"/>
      <c r="F1138" s="65"/>
      <c r="G1138" s="65"/>
      <c r="H1138" s="65"/>
      <c r="I1138" s="65"/>
      <c r="J1138" s="65"/>
      <c r="K1138" s="65"/>
      <c r="L1138" s="65"/>
      <c r="M1138" s="65"/>
      <c r="N1138" s="65"/>
      <c r="O1138" s="65"/>
      <c r="P1138" s="65"/>
      <c r="Q1138" s="65"/>
      <c r="R1138" s="65"/>
      <c r="S1138" s="65"/>
      <c r="T1138" s="65"/>
    </row>
    <row r="1139" spans="3:20">
      <c r="C1139" s="65"/>
      <c r="D1139" s="65"/>
      <c r="E1139" s="65"/>
      <c r="F1139" s="65"/>
      <c r="G1139" s="65"/>
      <c r="H1139" s="65"/>
      <c r="I1139" s="65"/>
      <c r="J1139" s="65"/>
      <c r="K1139" s="65"/>
      <c r="L1139" s="65"/>
      <c r="M1139" s="65"/>
      <c r="N1139" s="65"/>
      <c r="O1139" s="65"/>
      <c r="P1139" s="65"/>
      <c r="Q1139" s="65"/>
      <c r="R1139" s="65"/>
      <c r="S1139" s="65"/>
      <c r="T1139" s="65"/>
    </row>
    <row r="1140" spans="3:20">
      <c r="C1140" s="65"/>
      <c r="D1140" s="65"/>
      <c r="E1140" s="65"/>
      <c r="F1140" s="65"/>
      <c r="G1140" s="65"/>
      <c r="H1140" s="65"/>
      <c r="I1140" s="65"/>
      <c r="J1140" s="65"/>
      <c r="K1140" s="65"/>
      <c r="L1140" s="65"/>
      <c r="M1140" s="65"/>
      <c r="N1140" s="65"/>
      <c r="O1140" s="65"/>
      <c r="P1140" s="65"/>
      <c r="Q1140" s="65"/>
      <c r="R1140" s="65"/>
      <c r="S1140" s="65"/>
      <c r="T1140" s="65"/>
    </row>
    <row r="1141" spans="3:20">
      <c r="C1141" s="65"/>
      <c r="D1141" s="65"/>
      <c r="E1141" s="65"/>
      <c r="F1141" s="65"/>
      <c r="G1141" s="65"/>
      <c r="H1141" s="65"/>
      <c r="I1141" s="65"/>
      <c r="J1141" s="65"/>
      <c r="K1141" s="65"/>
      <c r="L1141" s="65"/>
      <c r="M1141" s="65"/>
      <c r="N1141" s="65"/>
      <c r="O1141" s="65"/>
      <c r="P1141" s="65"/>
      <c r="Q1141" s="65"/>
      <c r="R1141" s="65"/>
      <c r="S1141" s="65"/>
      <c r="T1141" s="65"/>
    </row>
    <row r="1142" spans="3:20">
      <c r="C1142" s="65"/>
      <c r="D1142" s="65"/>
      <c r="E1142" s="65"/>
      <c r="F1142" s="65"/>
      <c r="G1142" s="65"/>
      <c r="H1142" s="65"/>
      <c r="I1142" s="65"/>
      <c r="J1142" s="65"/>
      <c r="K1142" s="65"/>
      <c r="L1142" s="65"/>
      <c r="M1142" s="65"/>
      <c r="N1142" s="65"/>
      <c r="O1142" s="65"/>
      <c r="P1142" s="65"/>
      <c r="Q1142" s="65"/>
      <c r="R1142" s="65"/>
      <c r="S1142" s="65"/>
      <c r="T1142" s="65"/>
    </row>
    <row r="1143" spans="3:20">
      <c r="C1143" s="65"/>
      <c r="D1143" s="65"/>
      <c r="E1143" s="65"/>
      <c r="F1143" s="65"/>
      <c r="G1143" s="65"/>
      <c r="H1143" s="65"/>
      <c r="I1143" s="65"/>
      <c r="J1143" s="65"/>
      <c r="K1143" s="65"/>
      <c r="L1143" s="65"/>
      <c r="M1143" s="65"/>
      <c r="N1143" s="65"/>
      <c r="O1143" s="65"/>
      <c r="P1143" s="65"/>
      <c r="Q1143" s="65"/>
      <c r="R1143" s="65"/>
      <c r="S1143" s="65"/>
      <c r="T1143" s="65"/>
    </row>
    <row r="1144" spans="3:20">
      <c r="C1144" s="65"/>
      <c r="D1144" s="65"/>
      <c r="E1144" s="65"/>
      <c r="F1144" s="65"/>
      <c r="G1144" s="65"/>
      <c r="H1144" s="65"/>
      <c r="I1144" s="65"/>
      <c r="J1144" s="65"/>
      <c r="K1144" s="65"/>
      <c r="L1144" s="65"/>
      <c r="M1144" s="65"/>
      <c r="N1144" s="65"/>
      <c r="O1144" s="65"/>
      <c r="P1144" s="65"/>
      <c r="Q1144" s="65"/>
      <c r="R1144" s="65"/>
      <c r="S1144" s="65"/>
      <c r="T1144" s="65"/>
    </row>
    <row r="1145" spans="3:20">
      <c r="C1145" s="65"/>
      <c r="D1145" s="65"/>
      <c r="E1145" s="65"/>
      <c r="F1145" s="65"/>
      <c r="G1145" s="65"/>
      <c r="H1145" s="65"/>
      <c r="I1145" s="65"/>
      <c r="J1145" s="65"/>
      <c r="K1145" s="65"/>
      <c r="L1145" s="65"/>
      <c r="M1145" s="65"/>
      <c r="N1145" s="65"/>
      <c r="O1145" s="65"/>
      <c r="P1145" s="65"/>
      <c r="Q1145" s="65"/>
      <c r="R1145" s="65"/>
      <c r="S1145" s="65"/>
      <c r="T1145" s="65"/>
    </row>
    <row r="1146" spans="3:20">
      <c r="C1146" s="65"/>
      <c r="D1146" s="65"/>
      <c r="E1146" s="65"/>
      <c r="F1146" s="65"/>
      <c r="G1146" s="65"/>
      <c r="H1146" s="65"/>
      <c r="I1146" s="65"/>
      <c r="J1146" s="65"/>
      <c r="K1146" s="65"/>
      <c r="L1146" s="65"/>
      <c r="M1146" s="65"/>
      <c r="N1146" s="65"/>
      <c r="O1146" s="65"/>
      <c r="P1146" s="65"/>
      <c r="Q1146" s="65"/>
      <c r="R1146" s="65"/>
      <c r="S1146" s="65"/>
      <c r="T1146" s="65"/>
    </row>
    <row r="1147" spans="3:20">
      <c r="C1147" s="65"/>
      <c r="D1147" s="65"/>
      <c r="E1147" s="65"/>
      <c r="F1147" s="65"/>
      <c r="G1147" s="65"/>
      <c r="H1147" s="65"/>
      <c r="I1147" s="65"/>
      <c r="J1147" s="65"/>
      <c r="K1147" s="65"/>
      <c r="L1147" s="65"/>
      <c r="M1147" s="65"/>
      <c r="N1147" s="65"/>
      <c r="O1147" s="65"/>
      <c r="P1147" s="65"/>
      <c r="Q1147" s="65"/>
      <c r="R1147" s="65"/>
      <c r="S1147" s="65"/>
      <c r="T1147" s="65"/>
    </row>
    <row r="1148" spans="3:20">
      <c r="C1148" s="65"/>
      <c r="D1148" s="65"/>
      <c r="E1148" s="65"/>
      <c r="F1148" s="65"/>
      <c r="G1148" s="65"/>
      <c r="H1148" s="65"/>
      <c r="I1148" s="65"/>
      <c r="J1148" s="65"/>
      <c r="K1148" s="65"/>
      <c r="L1148" s="65"/>
      <c r="M1148" s="65"/>
      <c r="N1148" s="65"/>
      <c r="O1148" s="65"/>
      <c r="P1148" s="65"/>
      <c r="Q1148" s="65"/>
      <c r="R1148" s="65"/>
      <c r="S1148" s="65"/>
      <c r="T1148" s="65"/>
    </row>
    <row r="1149" spans="3:20">
      <c r="C1149" s="65"/>
      <c r="D1149" s="65"/>
      <c r="E1149" s="65"/>
      <c r="F1149" s="65"/>
      <c r="G1149" s="65"/>
      <c r="H1149" s="65"/>
      <c r="I1149" s="65"/>
      <c r="J1149" s="65"/>
      <c r="K1149" s="65"/>
      <c r="L1149" s="65"/>
      <c r="M1149" s="65"/>
      <c r="N1149" s="65"/>
      <c r="O1149" s="65"/>
      <c r="P1149" s="65"/>
      <c r="Q1149" s="65"/>
      <c r="R1149" s="65"/>
      <c r="S1149" s="65"/>
      <c r="T1149" s="65"/>
    </row>
    <row r="1150" spans="3:20">
      <c r="C1150" s="65"/>
      <c r="D1150" s="65"/>
      <c r="E1150" s="65"/>
      <c r="F1150" s="65"/>
      <c r="G1150" s="65"/>
      <c r="H1150" s="65"/>
      <c r="I1150" s="65"/>
      <c r="J1150" s="65"/>
      <c r="K1150" s="65"/>
      <c r="L1150" s="65"/>
      <c r="M1150" s="65"/>
      <c r="N1150" s="65"/>
      <c r="O1150" s="65"/>
      <c r="P1150" s="65"/>
      <c r="Q1150" s="65"/>
      <c r="R1150" s="65"/>
      <c r="S1150" s="65"/>
      <c r="T1150" s="65"/>
    </row>
    <row r="1151" spans="3:20">
      <c r="C1151" s="65"/>
      <c r="D1151" s="65"/>
      <c r="E1151" s="65"/>
      <c r="F1151" s="65"/>
      <c r="G1151" s="65"/>
      <c r="H1151" s="65"/>
      <c r="I1151" s="65"/>
      <c r="J1151" s="65"/>
      <c r="K1151" s="65"/>
      <c r="L1151" s="65"/>
      <c r="M1151" s="65"/>
      <c r="N1151" s="65"/>
      <c r="O1151" s="65"/>
      <c r="P1151" s="65"/>
      <c r="Q1151" s="65"/>
      <c r="R1151" s="65"/>
      <c r="S1151" s="65"/>
      <c r="T1151" s="65"/>
    </row>
    <row r="1152" spans="3:20">
      <c r="C1152" s="65"/>
      <c r="D1152" s="65"/>
      <c r="E1152" s="65"/>
      <c r="F1152" s="65"/>
      <c r="G1152" s="65"/>
      <c r="H1152" s="65"/>
      <c r="I1152" s="65"/>
      <c r="J1152" s="65"/>
      <c r="K1152" s="65"/>
      <c r="L1152" s="65"/>
      <c r="M1152" s="65"/>
      <c r="N1152" s="65"/>
      <c r="O1152" s="65"/>
      <c r="P1152" s="65"/>
      <c r="Q1152" s="65"/>
      <c r="R1152" s="65"/>
      <c r="S1152" s="65"/>
      <c r="T1152" s="65"/>
    </row>
    <row r="1153" spans="3:20">
      <c r="C1153" s="65"/>
      <c r="D1153" s="65"/>
      <c r="E1153" s="65"/>
      <c r="F1153" s="65"/>
      <c r="G1153" s="65"/>
      <c r="H1153" s="65"/>
      <c r="I1153" s="65"/>
      <c r="J1153" s="65"/>
      <c r="K1153" s="65"/>
      <c r="L1153" s="65"/>
      <c r="M1153" s="65"/>
      <c r="N1153" s="65"/>
      <c r="O1153" s="65"/>
      <c r="P1153" s="65"/>
      <c r="Q1153" s="65"/>
      <c r="R1153" s="65"/>
      <c r="S1153" s="65"/>
      <c r="T1153" s="65"/>
    </row>
    <row r="1154" spans="3:20">
      <c r="C1154" s="65"/>
      <c r="D1154" s="65"/>
      <c r="E1154" s="65"/>
      <c r="F1154" s="65"/>
      <c r="G1154" s="65"/>
      <c r="H1154" s="65"/>
      <c r="I1154" s="65"/>
      <c r="J1154" s="65"/>
      <c r="K1154" s="65"/>
      <c r="L1154" s="65"/>
      <c r="M1154" s="65"/>
      <c r="N1154" s="65"/>
      <c r="O1154" s="65"/>
      <c r="P1154" s="65"/>
      <c r="Q1154" s="65"/>
      <c r="R1154" s="65"/>
      <c r="S1154" s="65"/>
      <c r="T1154" s="65"/>
    </row>
    <row r="1155" spans="3:20">
      <c r="C1155" s="65"/>
      <c r="D1155" s="65"/>
      <c r="E1155" s="65"/>
      <c r="F1155" s="65"/>
      <c r="G1155" s="65"/>
      <c r="H1155" s="65"/>
      <c r="I1155" s="65"/>
      <c r="J1155" s="65"/>
      <c r="K1155" s="65"/>
      <c r="L1155" s="65"/>
      <c r="M1155" s="65"/>
      <c r="N1155" s="65"/>
      <c r="O1155" s="65"/>
      <c r="P1155" s="65"/>
      <c r="Q1155" s="65"/>
      <c r="R1155" s="65"/>
      <c r="S1155" s="65"/>
      <c r="T1155" s="65"/>
    </row>
    <row r="1156" spans="3:20">
      <c r="C1156" s="65"/>
      <c r="D1156" s="65"/>
      <c r="E1156" s="65"/>
      <c r="F1156" s="65"/>
      <c r="G1156" s="65"/>
      <c r="H1156" s="65"/>
      <c r="I1156" s="65"/>
      <c r="J1156" s="65"/>
      <c r="K1156" s="65"/>
      <c r="L1156" s="65"/>
      <c r="M1156" s="65"/>
      <c r="N1156" s="65"/>
      <c r="O1156" s="65"/>
      <c r="P1156" s="65"/>
      <c r="Q1156" s="65"/>
      <c r="R1156" s="65"/>
      <c r="S1156" s="65"/>
      <c r="T1156" s="65"/>
    </row>
    <row r="1157" spans="3:20">
      <c r="C1157" s="65"/>
      <c r="D1157" s="65"/>
      <c r="E1157" s="65"/>
      <c r="F1157" s="65"/>
      <c r="G1157" s="65"/>
      <c r="H1157" s="65"/>
      <c r="I1157" s="65"/>
      <c r="J1157" s="65"/>
      <c r="K1157" s="65"/>
      <c r="L1157" s="65"/>
      <c r="M1157" s="65"/>
      <c r="N1157" s="65"/>
      <c r="O1157" s="65"/>
      <c r="P1157" s="65"/>
      <c r="Q1157" s="65"/>
      <c r="R1157" s="65"/>
      <c r="S1157" s="65"/>
      <c r="T1157" s="65"/>
    </row>
    <row r="1158" spans="3:20">
      <c r="C1158" s="65"/>
      <c r="D1158" s="65"/>
      <c r="E1158" s="65"/>
      <c r="F1158" s="65"/>
      <c r="G1158" s="65"/>
      <c r="H1158" s="65"/>
      <c r="I1158" s="65"/>
      <c r="J1158" s="65"/>
      <c r="K1158" s="65"/>
      <c r="L1158" s="65"/>
      <c r="M1158" s="65"/>
      <c r="N1158" s="65"/>
      <c r="O1158" s="65"/>
      <c r="P1158" s="65"/>
      <c r="Q1158" s="65"/>
      <c r="R1158" s="65"/>
      <c r="S1158" s="65"/>
      <c r="T1158" s="65"/>
    </row>
    <row r="1159" spans="3:20">
      <c r="C1159" s="65"/>
      <c r="D1159" s="65"/>
      <c r="E1159" s="65"/>
      <c r="F1159" s="65"/>
      <c r="G1159" s="65"/>
      <c r="H1159" s="65"/>
      <c r="I1159" s="65"/>
      <c r="J1159" s="65"/>
      <c r="K1159" s="65"/>
      <c r="L1159" s="65"/>
      <c r="M1159" s="65"/>
      <c r="N1159" s="65"/>
      <c r="O1159" s="65"/>
      <c r="P1159" s="65"/>
      <c r="Q1159" s="65"/>
      <c r="R1159" s="65"/>
      <c r="S1159" s="65"/>
      <c r="T1159" s="65"/>
    </row>
    <row r="1160" spans="3:20">
      <c r="C1160" s="65"/>
      <c r="D1160" s="65"/>
      <c r="E1160" s="65"/>
      <c r="F1160" s="65"/>
      <c r="G1160" s="65"/>
      <c r="H1160" s="65"/>
      <c r="I1160" s="65"/>
      <c r="J1160" s="65"/>
      <c r="K1160" s="65"/>
      <c r="L1160" s="65"/>
      <c r="M1160" s="65"/>
      <c r="N1160" s="65"/>
      <c r="O1160" s="65"/>
      <c r="P1160" s="65"/>
      <c r="Q1160" s="65"/>
      <c r="R1160" s="65"/>
      <c r="S1160" s="65"/>
      <c r="T1160" s="65"/>
    </row>
    <row r="1161" spans="3:20">
      <c r="C1161" s="65"/>
      <c r="D1161" s="65"/>
      <c r="E1161" s="65"/>
      <c r="F1161" s="65"/>
      <c r="G1161" s="65"/>
      <c r="H1161" s="65"/>
      <c r="I1161" s="65"/>
      <c r="J1161" s="65"/>
      <c r="K1161" s="65"/>
      <c r="L1161" s="65"/>
      <c r="M1161" s="65"/>
      <c r="N1161" s="65"/>
      <c r="O1161" s="65"/>
      <c r="P1161" s="65"/>
      <c r="Q1161" s="65"/>
      <c r="R1161" s="65"/>
      <c r="S1161" s="65"/>
      <c r="T1161" s="65"/>
    </row>
    <row r="1162" spans="3:20">
      <c r="C1162" s="65"/>
      <c r="D1162" s="65"/>
      <c r="E1162" s="65"/>
      <c r="F1162" s="65"/>
      <c r="G1162" s="65"/>
      <c r="H1162" s="65"/>
      <c r="I1162" s="65"/>
      <c r="J1162" s="65"/>
      <c r="K1162" s="65"/>
      <c r="L1162" s="65"/>
      <c r="M1162" s="65"/>
      <c r="N1162" s="65"/>
      <c r="O1162" s="65"/>
      <c r="P1162" s="65"/>
      <c r="Q1162" s="65"/>
      <c r="R1162" s="65"/>
      <c r="S1162" s="65"/>
      <c r="T1162" s="65"/>
    </row>
    <row r="1163" spans="3:20">
      <c r="C1163" s="65"/>
      <c r="D1163" s="65"/>
      <c r="E1163" s="65"/>
      <c r="F1163" s="65"/>
      <c r="G1163" s="65"/>
      <c r="H1163" s="65"/>
      <c r="I1163" s="65"/>
      <c r="J1163" s="65"/>
      <c r="K1163" s="65"/>
      <c r="L1163" s="65"/>
      <c r="M1163" s="65"/>
      <c r="N1163" s="65"/>
      <c r="O1163" s="65"/>
      <c r="P1163" s="65"/>
      <c r="Q1163" s="65"/>
      <c r="R1163" s="65"/>
      <c r="S1163" s="65"/>
      <c r="T1163" s="65"/>
    </row>
    <row r="1164" spans="3:20">
      <c r="C1164" s="65"/>
      <c r="D1164" s="65"/>
      <c r="E1164" s="65"/>
      <c r="F1164" s="65"/>
      <c r="G1164" s="65"/>
      <c r="H1164" s="65"/>
      <c r="I1164" s="65"/>
      <c r="J1164" s="65"/>
      <c r="K1164" s="65"/>
      <c r="L1164" s="65"/>
      <c r="M1164" s="65"/>
      <c r="N1164" s="65"/>
      <c r="O1164" s="65"/>
      <c r="P1164" s="65"/>
      <c r="Q1164" s="65"/>
      <c r="R1164" s="65"/>
      <c r="S1164" s="65"/>
      <c r="T1164" s="65"/>
    </row>
    <row r="1165" spans="3:20">
      <c r="C1165" s="65"/>
      <c r="D1165" s="65"/>
      <c r="E1165" s="65"/>
      <c r="F1165" s="65"/>
      <c r="G1165" s="65"/>
      <c r="H1165" s="65"/>
      <c r="I1165" s="65"/>
      <c r="J1165" s="65"/>
      <c r="K1165" s="65"/>
      <c r="L1165" s="65"/>
      <c r="M1165" s="65"/>
      <c r="N1165" s="65"/>
      <c r="O1165" s="65"/>
      <c r="P1165" s="65"/>
      <c r="Q1165" s="65"/>
      <c r="R1165" s="65"/>
      <c r="S1165" s="65"/>
      <c r="T1165" s="65"/>
    </row>
    <row r="1166" spans="3:20">
      <c r="C1166" s="65"/>
      <c r="D1166" s="65"/>
      <c r="E1166" s="65"/>
      <c r="F1166" s="65"/>
      <c r="G1166" s="65"/>
      <c r="H1166" s="65"/>
      <c r="I1166" s="65"/>
      <c r="J1166" s="65"/>
      <c r="K1166" s="65"/>
      <c r="L1166" s="65"/>
      <c r="M1166" s="65"/>
      <c r="N1166" s="65"/>
      <c r="O1166" s="65"/>
      <c r="P1166" s="65"/>
      <c r="Q1166" s="65"/>
      <c r="R1166" s="65"/>
      <c r="S1166" s="65"/>
      <c r="T1166" s="65"/>
    </row>
    <row r="1167" spans="3:20">
      <c r="C1167" s="65"/>
      <c r="D1167" s="65"/>
      <c r="E1167" s="65"/>
      <c r="F1167" s="65"/>
      <c r="G1167" s="65"/>
      <c r="H1167" s="65"/>
      <c r="I1167" s="65"/>
      <c r="J1167" s="65"/>
      <c r="K1167" s="65"/>
      <c r="L1167" s="65"/>
      <c r="M1167" s="65"/>
      <c r="N1167" s="65"/>
      <c r="O1167" s="65"/>
      <c r="P1167" s="65"/>
      <c r="Q1167" s="65"/>
      <c r="R1167" s="65"/>
      <c r="S1167" s="65"/>
      <c r="T1167" s="65"/>
    </row>
    <row r="1168" spans="3:20">
      <c r="C1168" s="65"/>
      <c r="D1168" s="65"/>
      <c r="E1168" s="65"/>
      <c r="F1168" s="65"/>
      <c r="G1168" s="65"/>
      <c r="H1168" s="65"/>
      <c r="I1168" s="65"/>
      <c r="J1168" s="65"/>
      <c r="K1168" s="65"/>
      <c r="L1168" s="65"/>
      <c r="M1168" s="65"/>
      <c r="N1168" s="65"/>
      <c r="O1168" s="65"/>
      <c r="P1168" s="65"/>
      <c r="Q1168" s="65"/>
      <c r="R1168" s="65"/>
      <c r="S1168" s="65"/>
      <c r="T1168" s="65"/>
    </row>
    <row r="1169" spans="3:20">
      <c r="C1169" s="65"/>
      <c r="D1169" s="65"/>
      <c r="E1169" s="65"/>
      <c r="F1169" s="65"/>
      <c r="G1169" s="65"/>
      <c r="H1169" s="65"/>
      <c r="I1169" s="65"/>
      <c r="J1169" s="65"/>
      <c r="K1169" s="65"/>
      <c r="L1169" s="65"/>
      <c r="M1169" s="65"/>
      <c r="N1169" s="65"/>
      <c r="O1169" s="65"/>
      <c r="P1169" s="65"/>
      <c r="Q1169" s="65"/>
      <c r="R1169" s="65"/>
      <c r="S1169" s="65"/>
      <c r="T1169" s="65"/>
    </row>
    <row r="1170" spans="3:20">
      <c r="C1170" s="65"/>
      <c r="D1170" s="65"/>
      <c r="E1170" s="65"/>
      <c r="F1170" s="65"/>
      <c r="G1170" s="65"/>
      <c r="H1170" s="65"/>
      <c r="I1170" s="65"/>
      <c r="J1170" s="65"/>
      <c r="K1170" s="65"/>
      <c r="L1170" s="65"/>
      <c r="M1170" s="65"/>
      <c r="N1170" s="65"/>
      <c r="O1170" s="65"/>
      <c r="P1170" s="65"/>
      <c r="Q1170" s="65"/>
      <c r="R1170" s="65"/>
      <c r="S1170" s="65"/>
      <c r="T1170" s="65"/>
    </row>
    <row r="1171" spans="3:20">
      <c r="C1171" s="65"/>
      <c r="D1171" s="65"/>
      <c r="E1171" s="65"/>
      <c r="F1171" s="65"/>
      <c r="G1171" s="65"/>
      <c r="H1171" s="65"/>
      <c r="I1171" s="65"/>
      <c r="J1171" s="65"/>
      <c r="K1171" s="65"/>
      <c r="L1171" s="65"/>
      <c r="M1171" s="65"/>
      <c r="N1171" s="65"/>
      <c r="O1171" s="65"/>
      <c r="P1171" s="65"/>
      <c r="Q1171" s="65"/>
      <c r="R1171" s="65"/>
      <c r="S1171" s="65"/>
      <c r="T1171" s="65"/>
    </row>
    <row r="1172" spans="3:20">
      <c r="C1172" s="65"/>
      <c r="D1172" s="65"/>
      <c r="E1172" s="65"/>
      <c r="F1172" s="65"/>
      <c r="G1172" s="65"/>
      <c r="H1172" s="65"/>
      <c r="I1172" s="65"/>
      <c r="J1172" s="65"/>
      <c r="K1172" s="65"/>
      <c r="L1172" s="65"/>
      <c r="M1172" s="65"/>
      <c r="N1172" s="65"/>
      <c r="O1172" s="65"/>
      <c r="P1172" s="65"/>
      <c r="Q1172" s="65"/>
      <c r="R1172" s="65"/>
      <c r="S1172" s="65"/>
      <c r="T1172" s="65"/>
    </row>
    <row r="1173" spans="3:20">
      <c r="C1173" s="65"/>
      <c r="D1173" s="65"/>
      <c r="E1173" s="65"/>
      <c r="F1173" s="65"/>
      <c r="G1173" s="65"/>
      <c r="H1173" s="65"/>
      <c r="I1173" s="65"/>
      <c r="J1173" s="65"/>
      <c r="K1173" s="65"/>
      <c r="L1173" s="65"/>
      <c r="M1173" s="65"/>
      <c r="N1173" s="65"/>
      <c r="O1173" s="65"/>
      <c r="P1173" s="65"/>
      <c r="Q1173" s="65"/>
      <c r="R1173" s="65"/>
      <c r="S1173" s="65"/>
      <c r="T1173" s="65"/>
    </row>
    <row r="1174" spans="3:20">
      <c r="C1174" s="65"/>
      <c r="D1174" s="65"/>
      <c r="E1174" s="65"/>
      <c r="F1174" s="65"/>
      <c r="G1174" s="65"/>
      <c r="H1174" s="65"/>
      <c r="I1174" s="65"/>
      <c r="J1174" s="65"/>
      <c r="K1174" s="65"/>
      <c r="L1174" s="65"/>
      <c r="M1174" s="65"/>
      <c r="N1174" s="65"/>
      <c r="O1174" s="65"/>
      <c r="P1174" s="65"/>
      <c r="Q1174" s="65"/>
      <c r="R1174" s="65"/>
      <c r="S1174" s="65"/>
      <c r="T1174" s="65"/>
    </row>
    <row r="1175" spans="3:20">
      <c r="C1175" s="65"/>
      <c r="D1175" s="65"/>
      <c r="E1175" s="65"/>
      <c r="F1175" s="65"/>
      <c r="G1175" s="65"/>
      <c r="H1175" s="65"/>
      <c r="I1175" s="65"/>
      <c r="J1175" s="65"/>
      <c r="K1175" s="65"/>
      <c r="L1175" s="65"/>
      <c r="M1175" s="65"/>
      <c r="N1175" s="65"/>
      <c r="O1175" s="65"/>
      <c r="P1175" s="65"/>
      <c r="Q1175" s="65"/>
      <c r="R1175" s="65"/>
      <c r="S1175" s="65"/>
      <c r="T1175" s="65"/>
    </row>
    <row r="1176" spans="3:20">
      <c r="C1176" s="65"/>
      <c r="D1176" s="65"/>
      <c r="E1176" s="65"/>
      <c r="F1176" s="65"/>
      <c r="G1176" s="65"/>
      <c r="H1176" s="65"/>
      <c r="I1176" s="65"/>
      <c r="J1176" s="65"/>
      <c r="K1176" s="65"/>
      <c r="L1176" s="65"/>
      <c r="M1176" s="65"/>
      <c r="N1176" s="65"/>
      <c r="O1176" s="65"/>
      <c r="P1176" s="65"/>
      <c r="Q1176" s="65"/>
      <c r="R1176" s="65"/>
      <c r="S1176" s="65"/>
      <c r="T1176" s="65"/>
    </row>
    <row r="1177" spans="3:20">
      <c r="C1177" s="65"/>
      <c r="D1177" s="65"/>
      <c r="E1177" s="65"/>
      <c r="F1177" s="65"/>
      <c r="G1177" s="65"/>
      <c r="H1177" s="65"/>
      <c r="I1177" s="65"/>
      <c r="J1177" s="65"/>
      <c r="K1177" s="65"/>
      <c r="L1177" s="65"/>
      <c r="M1177" s="65"/>
      <c r="N1177" s="65"/>
      <c r="O1177" s="65"/>
      <c r="P1177" s="65"/>
      <c r="Q1177" s="65"/>
      <c r="R1177" s="65"/>
      <c r="S1177" s="65"/>
      <c r="T1177" s="65"/>
    </row>
    <row r="1178" spans="3:20">
      <c r="C1178" s="65"/>
      <c r="D1178" s="65"/>
      <c r="E1178" s="65"/>
      <c r="F1178" s="65"/>
      <c r="G1178" s="65"/>
      <c r="H1178" s="65"/>
      <c r="I1178" s="65"/>
      <c r="J1178" s="65"/>
      <c r="K1178" s="65"/>
      <c r="L1178" s="65"/>
      <c r="M1178" s="65"/>
      <c r="N1178" s="65"/>
      <c r="O1178" s="65"/>
      <c r="P1178" s="65"/>
      <c r="Q1178" s="65"/>
      <c r="R1178" s="65"/>
      <c r="S1178" s="65"/>
      <c r="T1178" s="65"/>
    </row>
    <row r="1179" spans="3:20">
      <c r="C1179" s="65"/>
      <c r="D1179" s="65"/>
      <c r="E1179" s="65"/>
      <c r="F1179" s="65"/>
      <c r="G1179" s="65"/>
      <c r="H1179" s="65"/>
      <c r="I1179" s="65"/>
      <c r="J1179" s="65"/>
      <c r="K1179" s="65"/>
      <c r="L1179" s="65"/>
      <c r="M1179" s="65"/>
      <c r="N1179" s="65"/>
      <c r="O1179" s="65"/>
      <c r="P1179" s="65"/>
      <c r="Q1179" s="65"/>
      <c r="R1179" s="65"/>
      <c r="S1179" s="65"/>
      <c r="T1179" s="65"/>
    </row>
    <row r="1180" spans="3:20">
      <c r="C1180" s="65"/>
      <c r="D1180" s="65"/>
      <c r="E1180" s="65"/>
      <c r="F1180" s="65"/>
      <c r="G1180" s="65"/>
      <c r="H1180" s="65"/>
      <c r="I1180" s="65"/>
      <c r="J1180" s="65"/>
      <c r="K1180" s="65"/>
      <c r="L1180" s="65"/>
      <c r="M1180" s="65"/>
      <c r="N1180" s="65"/>
      <c r="O1180" s="65"/>
      <c r="P1180" s="65"/>
      <c r="Q1180" s="65"/>
      <c r="R1180" s="65"/>
      <c r="S1180" s="65"/>
      <c r="T1180" s="65"/>
    </row>
    <row r="1181" spans="3:20">
      <c r="C1181" s="65"/>
      <c r="D1181" s="65"/>
      <c r="E1181" s="65"/>
      <c r="F1181" s="65"/>
      <c r="G1181" s="65"/>
      <c r="H1181" s="65"/>
      <c r="I1181" s="65"/>
      <c r="J1181" s="65"/>
      <c r="K1181" s="65"/>
      <c r="L1181" s="65"/>
      <c r="M1181" s="65"/>
      <c r="N1181" s="65"/>
      <c r="O1181" s="65"/>
      <c r="P1181" s="65"/>
      <c r="Q1181" s="65"/>
      <c r="R1181" s="65"/>
      <c r="S1181" s="65"/>
      <c r="T1181" s="65"/>
    </row>
    <row r="1182" spans="3:20">
      <c r="C1182" s="65"/>
      <c r="D1182" s="65"/>
      <c r="E1182" s="65"/>
      <c r="F1182" s="65"/>
      <c r="G1182" s="65"/>
      <c r="H1182" s="65"/>
      <c r="I1182" s="65"/>
      <c r="J1182" s="65"/>
      <c r="K1182" s="65"/>
      <c r="L1182" s="65"/>
      <c r="M1182" s="65"/>
      <c r="N1182" s="65"/>
      <c r="O1182" s="65"/>
      <c r="P1182" s="65"/>
      <c r="Q1182" s="65"/>
      <c r="R1182" s="65"/>
      <c r="S1182" s="65"/>
      <c r="T1182" s="65"/>
    </row>
    <row r="1183" spans="3:20">
      <c r="C1183" s="65"/>
      <c r="D1183" s="65"/>
      <c r="E1183" s="65"/>
      <c r="F1183" s="65"/>
      <c r="G1183" s="65"/>
      <c r="H1183" s="65"/>
      <c r="I1183" s="65"/>
      <c r="J1183" s="65"/>
      <c r="K1183" s="65"/>
      <c r="L1183" s="65"/>
      <c r="M1183" s="65"/>
      <c r="N1183" s="65"/>
      <c r="O1183" s="65"/>
      <c r="P1183" s="65"/>
      <c r="Q1183" s="65"/>
      <c r="R1183" s="65"/>
      <c r="S1183" s="65"/>
      <c r="T1183" s="65"/>
    </row>
    <row r="1184" spans="3:20">
      <c r="C1184" s="65"/>
      <c r="D1184" s="65"/>
      <c r="E1184" s="65"/>
      <c r="F1184" s="65"/>
      <c r="G1184" s="65"/>
      <c r="H1184" s="65"/>
      <c r="I1184" s="65"/>
      <c r="J1184" s="65"/>
      <c r="K1184" s="65"/>
      <c r="L1184" s="65"/>
      <c r="M1184" s="65"/>
      <c r="N1184" s="65"/>
      <c r="O1184" s="65"/>
      <c r="P1184" s="65"/>
      <c r="Q1184" s="65"/>
      <c r="R1184" s="65"/>
      <c r="S1184" s="65"/>
      <c r="T1184" s="65"/>
    </row>
    <row r="1185" spans="3:20">
      <c r="C1185" s="65"/>
      <c r="D1185" s="65"/>
      <c r="E1185" s="65"/>
      <c r="F1185" s="65"/>
      <c r="G1185" s="65"/>
      <c r="H1185" s="65"/>
      <c r="I1185" s="65"/>
      <c r="J1185" s="65"/>
      <c r="K1185" s="65"/>
      <c r="L1185" s="65"/>
      <c r="M1185" s="65"/>
      <c r="N1185" s="65"/>
      <c r="O1185" s="65"/>
      <c r="P1185" s="65"/>
      <c r="Q1185" s="65"/>
      <c r="R1185" s="65"/>
      <c r="S1185" s="65"/>
      <c r="T1185" s="65"/>
    </row>
    <row r="1186" spans="3:20">
      <c r="C1186" s="65"/>
      <c r="D1186" s="65"/>
      <c r="E1186" s="65"/>
      <c r="F1186" s="65"/>
      <c r="G1186" s="65"/>
      <c r="H1186" s="65"/>
      <c r="I1186" s="65"/>
      <c r="J1186" s="65"/>
      <c r="K1186" s="65"/>
      <c r="L1186" s="65"/>
      <c r="M1186" s="65"/>
      <c r="N1186" s="65"/>
      <c r="O1186" s="65"/>
      <c r="P1186" s="65"/>
      <c r="Q1186" s="65"/>
      <c r="R1186" s="65"/>
      <c r="S1186" s="65"/>
      <c r="T1186" s="65"/>
    </row>
    <row r="1187" spans="3:20">
      <c r="C1187" s="65"/>
      <c r="D1187" s="65"/>
      <c r="E1187" s="65"/>
      <c r="F1187" s="65"/>
      <c r="G1187" s="65"/>
      <c r="H1187" s="65"/>
      <c r="I1187" s="65"/>
      <c r="J1187" s="65"/>
      <c r="K1187" s="65"/>
      <c r="L1187" s="65"/>
      <c r="M1187" s="65"/>
      <c r="N1187" s="65"/>
      <c r="O1187" s="65"/>
      <c r="P1187" s="65"/>
      <c r="Q1187" s="65"/>
      <c r="R1187" s="65"/>
      <c r="S1187" s="65"/>
      <c r="T1187" s="65"/>
    </row>
    <row r="1188" spans="3:20">
      <c r="C1188" s="65"/>
      <c r="D1188" s="65"/>
      <c r="E1188" s="65"/>
      <c r="F1188" s="65"/>
      <c r="G1188" s="65"/>
      <c r="H1188" s="65"/>
      <c r="I1188" s="65"/>
      <c r="J1188" s="65"/>
      <c r="K1188" s="65"/>
      <c r="L1188" s="65"/>
      <c r="M1188" s="65"/>
      <c r="N1188" s="65"/>
      <c r="O1188" s="65"/>
      <c r="P1188" s="65"/>
      <c r="Q1188" s="65"/>
      <c r="R1188" s="65"/>
      <c r="S1188" s="65"/>
      <c r="T1188" s="65"/>
    </row>
    <row r="1189" spans="3:20">
      <c r="C1189" s="65"/>
      <c r="D1189" s="65"/>
      <c r="E1189" s="65"/>
      <c r="F1189" s="65"/>
      <c r="G1189" s="65"/>
      <c r="H1189" s="65"/>
      <c r="I1189" s="65"/>
      <c r="J1189" s="65"/>
      <c r="K1189" s="65"/>
      <c r="L1189" s="65"/>
      <c r="M1189" s="65"/>
      <c r="N1189" s="65"/>
      <c r="O1189" s="65"/>
      <c r="P1189" s="65"/>
      <c r="Q1189" s="65"/>
      <c r="R1189" s="65"/>
      <c r="S1189" s="65"/>
      <c r="T1189" s="65"/>
    </row>
    <row r="1190" spans="3:20">
      <c r="C1190" s="65"/>
      <c r="D1190" s="65"/>
      <c r="E1190" s="65"/>
      <c r="F1190" s="65"/>
      <c r="G1190" s="65"/>
      <c r="H1190" s="65"/>
      <c r="I1190" s="65"/>
      <c r="J1190" s="65"/>
      <c r="K1190" s="65"/>
      <c r="L1190" s="65"/>
      <c r="M1190" s="65"/>
      <c r="N1190" s="65"/>
      <c r="O1190" s="65"/>
      <c r="P1190" s="65"/>
      <c r="Q1190" s="65"/>
      <c r="R1190" s="65"/>
      <c r="S1190" s="65"/>
      <c r="T1190" s="65"/>
    </row>
    <row r="1191" spans="3:20">
      <c r="C1191" s="65"/>
      <c r="D1191" s="65"/>
      <c r="E1191" s="65"/>
      <c r="F1191" s="65"/>
      <c r="G1191" s="65"/>
      <c r="H1191" s="65"/>
      <c r="I1191" s="65"/>
      <c r="J1191" s="65"/>
      <c r="K1191" s="65"/>
      <c r="L1191" s="65"/>
      <c r="M1191" s="65"/>
      <c r="N1191" s="65"/>
      <c r="O1191" s="65"/>
      <c r="P1191" s="65"/>
      <c r="Q1191" s="65"/>
      <c r="R1191" s="65"/>
      <c r="S1191" s="65"/>
      <c r="T1191" s="65"/>
    </row>
    <row r="1192" spans="3:20">
      <c r="C1192" s="65"/>
      <c r="D1192" s="65"/>
      <c r="E1192" s="65"/>
      <c r="F1192" s="65"/>
      <c r="G1192" s="65"/>
      <c r="H1192" s="65"/>
      <c r="I1192" s="65"/>
      <c r="J1192" s="65"/>
      <c r="K1192" s="65"/>
      <c r="L1192" s="65"/>
      <c r="M1192" s="65"/>
      <c r="N1192" s="65"/>
      <c r="O1192" s="65"/>
      <c r="P1192" s="65"/>
      <c r="Q1192" s="65"/>
      <c r="R1192" s="65"/>
      <c r="S1192" s="65"/>
      <c r="T1192" s="65"/>
    </row>
    <row r="1193" spans="3:20">
      <c r="C1193" s="65"/>
      <c r="D1193" s="65"/>
      <c r="E1193" s="65"/>
      <c r="F1193" s="65"/>
      <c r="G1193" s="65"/>
      <c r="H1193" s="65"/>
      <c r="I1193" s="65"/>
      <c r="J1193" s="65"/>
      <c r="K1193" s="65"/>
      <c r="L1193" s="65"/>
      <c r="M1193" s="65"/>
      <c r="N1193" s="65"/>
      <c r="O1193" s="65"/>
      <c r="P1193" s="65"/>
      <c r="Q1193" s="65"/>
      <c r="R1193" s="65"/>
      <c r="S1193" s="65"/>
      <c r="T1193" s="65"/>
    </row>
    <row r="1194" spans="3:20">
      <c r="C1194" s="65"/>
      <c r="D1194" s="65"/>
      <c r="E1194" s="65"/>
      <c r="F1194" s="65"/>
      <c r="G1194" s="65"/>
      <c r="H1194" s="65"/>
      <c r="I1194" s="65"/>
      <c r="J1194" s="65"/>
      <c r="K1194" s="65"/>
      <c r="L1194" s="65"/>
      <c r="M1194" s="65"/>
      <c r="N1194" s="65"/>
      <c r="O1194" s="65"/>
      <c r="P1194" s="65"/>
      <c r="Q1194" s="65"/>
      <c r="R1194" s="65"/>
      <c r="S1194" s="65"/>
      <c r="T1194" s="65"/>
    </row>
    <row r="1195" spans="3:20">
      <c r="C1195" s="65"/>
      <c r="D1195" s="65"/>
      <c r="E1195" s="65"/>
      <c r="F1195" s="65"/>
      <c r="G1195" s="65"/>
      <c r="H1195" s="65"/>
      <c r="I1195" s="65"/>
      <c r="J1195" s="65"/>
      <c r="K1195" s="65"/>
      <c r="L1195" s="65"/>
      <c r="M1195" s="65"/>
      <c r="N1195" s="65"/>
      <c r="O1195" s="65"/>
      <c r="P1195" s="65"/>
      <c r="Q1195" s="65"/>
      <c r="R1195" s="65"/>
      <c r="S1195" s="65"/>
      <c r="T1195" s="65"/>
    </row>
    <row r="1196" spans="3:20">
      <c r="C1196" s="65"/>
      <c r="D1196" s="65"/>
      <c r="E1196" s="65"/>
      <c r="F1196" s="65"/>
      <c r="G1196" s="65"/>
      <c r="H1196" s="65"/>
      <c r="I1196" s="65"/>
      <c r="J1196" s="65"/>
      <c r="K1196" s="65"/>
      <c r="L1196" s="65"/>
      <c r="M1196" s="65"/>
      <c r="N1196" s="65"/>
      <c r="O1196" s="65"/>
      <c r="P1196" s="65"/>
      <c r="Q1196" s="65"/>
      <c r="R1196" s="65"/>
      <c r="S1196" s="65"/>
      <c r="T1196" s="65"/>
    </row>
    <row r="1197" spans="3:20">
      <c r="C1197" s="65"/>
      <c r="D1197" s="65"/>
      <c r="E1197" s="65"/>
      <c r="F1197" s="65"/>
      <c r="G1197" s="65"/>
      <c r="H1197" s="65"/>
      <c r="I1197" s="65"/>
      <c r="J1197" s="65"/>
      <c r="K1197" s="65"/>
      <c r="L1197" s="65"/>
      <c r="M1197" s="65"/>
      <c r="N1197" s="65"/>
      <c r="O1197" s="65"/>
      <c r="P1197" s="65"/>
      <c r="Q1197" s="65"/>
      <c r="R1197" s="65"/>
      <c r="S1197" s="65"/>
      <c r="T1197" s="65"/>
    </row>
    <row r="1198" spans="3:20">
      <c r="C1198" s="65"/>
      <c r="D1198" s="65"/>
      <c r="E1198" s="65"/>
      <c r="F1198" s="65"/>
      <c r="G1198" s="65"/>
      <c r="H1198" s="65"/>
      <c r="I1198" s="65"/>
      <c r="J1198" s="65"/>
      <c r="K1198" s="65"/>
      <c r="L1198" s="65"/>
      <c r="M1198" s="65"/>
      <c r="N1198" s="65"/>
      <c r="O1198" s="65"/>
      <c r="P1198" s="65"/>
      <c r="Q1198" s="65"/>
      <c r="R1198" s="65"/>
      <c r="S1198" s="65"/>
      <c r="T1198" s="65"/>
    </row>
    <row r="1199" spans="3:20">
      <c r="C1199" s="65"/>
      <c r="D1199" s="65"/>
      <c r="E1199" s="65"/>
      <c r="F1199" s="65"/>
      <c r="G1199" s="65"/>
      <c r="H1199" s="65"/>
      <c r="I1199" s="65"/>
      <c r="J1199" s="65"/>
      <c r="K1199" s="65"/>
      <c r="L1199" s="65"/>
      <c r="M1199" s="65"/>
      <c r="N1199" s="65"/>
      <c r="O1199" s="65"/>
      <c r="P1199" s="65"/>
      <c r="Q1199" s="65"/>
      <c r="R1199" s="65"/>
      <c r="S1199" s="65"/>
      <c r="T1199" s="65"/>
    </row>
    <row r="1200" spans="3:20">
      <c r="C1200" s="65"/>
      <c r="D1200" s="65"/>
      <c r="E1200" s="65"/>
      <c r="F1200" s="65"/>
      <c r="G1200" s="65"/>
      <c r="H1200" s="65"/>
      <c r="I1200" s="65"/>
      <c r="J1200" s="65"/>
      <c r="K1200" s="65"/>
      <c r="L1200" s="65"/>
      <c r="M1200" s="65"/>
      <c r="N1200" s="65"/>
      <c r="O1200" s="65"/>
      <c r="P1200" s="65"/>
      <c r="Q1200" s="65"/>
      <c r="R1200" s="65"/>
      <c r="S1200" s="65"/>
      <c r="T1200" s="65"/>
    </row>
    <row r="1201" spans="3:20">
      <c r="C1201" s="65"/>
      <c r="D1201" s="65"/>
      <c r="E1201" s="65"/>
      <c r="F1201" s="65"/>
      <c r="G1201" s="65"/>
      <c r="H1201" s="65"/>
      <c r="I1201" s="65"/>
      <c r="J1201" s="65"/>
      <c r="K1201" s="65"/>
      <c r="L1201" s="65"/>
      <c r="M1201" s="65"/>
      <c r="N1201" s="65"/>
      <c r="O1201" s="65"/>
      <c r="P1201" s="65"/>
      <c r="Q1201" s="65"/>
      <c r="R1201" s="65"/>
      <c r="S1201" s="65"/>
      <c r="T1201" s="65"/>
    </row>
    <row r="1202" spans="3:20">
      <c r="C1202" s="65"/>
      <c r="D1202" s="65"/>
      <c r="E1202" s="65"/>
      <c r="F1202" s="65"/>
      <c r="G1202" s="65"/>
      <c r="H1202" s="65"/>
      <c r="I1202" s="65"/>
      <c r="J1202" s="65"/>
      <c r="K1202" s="65"/>
      <c r="L1202" s="65"/>
      <c r="M1202" s="65"/>
      <c r="N1202" s="65"/>
      <c r="O1202" s="65"/>
      <c r="P1202" s="65"/>
      <c r="Q1202" s="65"/>
      <c r="R1202" s="65"/>
      <c r="S1202" s="65"/>
      <c r="T1202" s="65"/>
    </row>
    <row r="1203" spans="3:20">
      <c r="C1203" s="65"/>
      <c r="D1203" s="65"/>
      <c r="E1203" s="65"/>
      <c r="F1203" s="65"/>
      <c r="G1203" s="65"/>
      <c r="H1203" s="65"/>
      <c r="I1203" s="65"/>
      <c r="J1203" s="65"/>
      <c r="K1203" s="65"/>
      <c r="L1203" s="65"/>
      <c r="M1203" s="65"/>
      <c r="N1203" s="65"/>
      <c r="O1203" s="65"/>
      <c r="P1203" s="65"/>
      <c r="Q1203" s="65"/>
      <c r="R1203" s="65"/>
      <c r="S1203" s="65"/>
      <c r="T1203" s="65"/>
    </row>
    <row r="1204" spans="3:20">
      <c r="C1204" s="65"/>
      <c r="D1204" s="65"/>
      <c r="E1204" s="65"/>
      <c r="F1204" s="65"/>
      <c r="G1204" s="65"/>
      <c r="H1204" s="65"/>
      <c r="I1204" s="65"/>
      <c r="J1204" s="65"/>
      <c r="K1204" s="65"/>
      <c r="L1204" s="65"/>
      <c r="M1204" s="65"/>
      <c r="N1204" s="65"/>
      <c r="O1204" s="65"/>
      <c r="P1204" s="65"/>
      <c r="Q1204" s="65"/>
      <c r="R1204" s="65"/>
      <c r="S1204" s="65"/>
      <c r="T1204" s="65"/>
    </row>
    <row r="1205" spans="3:20">
      <c r="C1205" s="65"/>
      <c r="D1205" s="65"/>
      <c r="E1205" s="65"/>
      <c r="F1205" s="65"/>
      <c r="G1205" s="65"/>
      <c r="H1205" s="65"/>
      <c r="I1205" s="65"/>
      <c r="J1205" s="65"/>
      <c r="K1205" s="65"/>
      <c r="L1205" s="65"/>
      <c r="M1205" s="65"/>
      <c r="N1205" s="65"/>
      <c r="O1205" s="65"/>
      <c r="P1205" s="65"/>
      <c r="Q1205" s="65"/>
      <c r="R1205" s="65"/>
      <c r="S1205" s="65"/>
      <c r="T1205" s="65"/>
    </row>
    <row r="1206" spans="3:20">
      <c r="C1206" s="65"/>
      <c r="D1206" s="65"/>
      <c r="E1206" s="65"/>
      <c r="F1206" s="65"/>
      <c r="G1206" s="65"/>
      <c r="H1206" s="65"/>
      <c r="I1206" s="65"/>
      <c r="J1206" s="65"/>
      <c r="K1206" s="65"/>
      <c r="L1206" s="65"/>
      <c r="M1206" s="65"/>
      <c r="N1206" s="65"/>
      <c r="O1206" s="65"/>
      <c r="P1206" s="65"/>
      <c r="Q1206" s="65"/>
      <c r="R1206" s="65"/>
      <c r="S1206" s="65"/>
      <c r="T1206" s="65"/>
    </row>
    <row r="1207" spans="3:20">
      <c r="C1207" s="65"/>
      <c r="D1207" s="65"/>
      <c r="E1207" s="65"/>
      <c r="F1207" s="65"/>
      <c r="G1207" s="65"/>
      <c r="H1207" s="65"/>
      <c r="I1207" s="65"/>
      <c r="J1207" s="65"/>
      <c r="K1207" s="65"/>
      <c r="L1207" s="65"/>
      <c r="M1207" s="65"/>
      <c r="N1207" s="65"/>
      <c r="O1207" s="65"/>
      <c r="P1207" s="65"/>
      <c r="Q1207" s="65"/>
      <c r="R1207" s="65"/>
      <c r="S1207" s="65"/>
      <c r="T1207" s="65"/>
    </row>
    <row r="1208" spans="3:20">
      <c r="C1208" s="65"/>
      <c r="D1208" s="65"/>
      <c r="E1208" s="65"/>
      <c r="F1208" s="65"/>
      <c r="G1208" s="65"/>
      <c r="H1208" s="65"/>
      <c r="I1208" s="65"/>
      <c r="J1208" s="65"/>
      <c r="K1208" s="65"/>
      <c r="L1208" s="65"/>
      <c r="M1208" s="65"/>
      <c r="N1208" s="65"/>
      <c r="O1208" s="65"/>
      <c r="P1208" s="65"/>
      <c r="Q1208" s="65"/>
      <c r="R1208" s="65"/>
      <c r="S1208" s="65"/>
      <c r="T1208" s="65"/>
    </row>
    <row r="1209" spans="3:20">
      <c r="C1209" s="65"/>
      <c r="D1209" s="65"/>
      <c r="E1209" s="65"/>
      <c r="F1209" s="65"/>
      <c r="G1209" s="65"/>
      <c r="H1209" s="65"/>
      <c r="I1209" s="65"/>
      <c r="J1209" s="65"/>
      <c r="K1209" s="65"/>
      <c r="L1209" s="65"/>
      <c r="M1209" s="65"/>
      <c r="N1209" s="65"/>
      <c r="O1209" s="65"/>
      <c r="P1209" s="65"/>
      <c r="Q1209" s="65"/>
      <c r="R1209" s="65"/>
      <c r="S1209" s="65"/>
      <c r="T1209" s="65"/>
    </row>
    <row r="1210" spans="3:20">
      <c r="C1210" s="65"/>
      <c r="D1210" s="65"/>
      <c r="E1210" s="65"/>
      <c r="F1210" s="65"/>
      <c r="G1210" s="65"/>
      <c r="H1210" s="65"/>
      <c r="I1210" s="65"/>
      <c r="J1210" s="65"/>
      <c r="K1210" s="65"/>
      <c r="L1210" s="65"/>
      <c r="M1210" s="65"/>
      <c r="N1210" s="65"/>
      <c r="O1210" s="65"/>
      <c r="P1210" s="65"/>
      <c r="Q1210" s="65"/>
      <c r="R1210" s="65"/>
      <c r="S1210" s="65"/>
      <c r="T1210" s="65"/>
    </row>
    <row r="1211" spans="3:20">
      <c r="C1211" s="65"/>
      <c r="D1211" s="65"/>
      <c r="E1211" s="65"/>
      <c r="F1211" s="65"/>
      <c r="G1211" s="65"/>
      <c r="H1211" s="65"/>
      <c r="I1211" s="65"/>
      <c r="J1211" s="65"/>
      <c r="K1211" s="65"/>
      <c r="L1211" s="65"/>
      <c r="M1211" s="65"/>
      <c r="N1211" s="65"/>
      <c r="O1211" s="65"/>
      <c r="P1211" s="65"/>
      <c r="Q1211" s="65"/>
      <c r="R1211" s="65"/>
      <c r="S1211" s="65"/>
      <c r="T1211" s="65"/>
    </row>
    <row r="1212" spans="3:20">
      <c r="C1212" s="65"/>
      <c r="D1212" s="65"/>
      <c r="E1212" s="65"/>
      <c r="F1212" s="65"/>
      <c r="G1212" s="65"/>
      <c r="H1212" s="65"/>
      <c r="I1212" s="65"/>
      <c r="J1212" s="65"/>
      <c r="K1212" s="65"/>
      <c r="L1212" s="65"/>
      <c r="M1212" s="65"/>
      <c r="N1212" s="65"/>
      <c r="O1212" s="65"/>
      <c r="P1212" s="65"/>
      <c r="Q1212" s="65"/>
      <c r="R1212" s="65"/>
      <c r="S1212" s="65"/>
      <c r="T1212" s="65"/>
    </row>
    <row r="1213" spans="3:20">
      <c r="C1213" s="65"/>
      <c r="D1213" s="65"/>
      <c r="E1213" s="65"/>
      <c r="F1213" s="65"/>
      <c r="G1213" s="65"/>
      <c r="H1213" s="65"/>
      <c r="I1213" s="65"/>
      <c r="J1213" s="65"/>
      <c r="K1213" s="65"/>
      <c r="L1213" s="65"/>
      <c r="M1213" s="65"/>
      <c r="N1213" s="65"/>
      <c r="O1213" s="65"/>
      <c r="P1213" s="65"/>
      <c r="Q1213" s="65"/>
      <c r="R1213" s="65"/>
      <c r="S1213" s="65"/>
      <c r="T1213" s="65"/>
    </row>
    <row r="1214" spans="3:20">
      <c r="C1214" s="65"/>
      <c r="D1214" s="65"/>
      <c r="E1214" s="65"/>
      <c r="F1214" s="65"/>
      <c r="G1214" s="65"/>
      <c r="H1214" s="65"/>
      <c r="I1214" s="65"/>
      <c r="J1214" s="65"/>
      <c r="K1214" s="65"/>
      <c r="L1214" s="65"/>
      <c r="M1214" s="65"/>
      <c r="N1214" s="65"/>
      <c r="O1214" s="65"/>
      <c r="P1214" s="65"/>
      <c r="Q1214" s="65"/>
      <c r="R1214" s="65"/>
      <c r="S1214" s="65"/>
      <c r="T1214" s="65"/>
    </row>
    <row r="1215" spans="3:20">
      <c r="C1215" s="65"/>
      <c r="D1215" s="65"/>
      <c r="E1215" s="65"/>
      <c r="F1215" s="65"/>
      <c r="G1215" s="65"/>
      <c r="H1215" s="65"/>
      <c r="I1215" s="65"/>
      <c r="J1215" s="65"/>
      <c r="K1215" s="65"/>
      <c r="L1215" s="65"/>
      <c r="M1215" s="65"/>
      <c r="N1215" s="65"/>
      <c r="O1215" s="65"/>
      <c r="P1215" s="65"/>
      <c r="Q1215" s="65"/>
      <c r="R1215" s="65"/>
      <c r="S1215" s="65"/>
      <c r="T1215" s="65"/>
    </row>
    <row r="1216" spans="3:20">
      <c r="C1216" s="65"/>
      <c r="D1216" s="65"/>
      <c r="E1216" s="65"/>
      <c r="F1216" s="65"/>
      <c r="G1216" s="65"/>
      <c r="H1216" s="65"/>
      <c r="I1216" s="65"/>
      <c r="J1216" s="65"/>
      <c r="K1216" s="65"/>
      <c r="L1216" s="65"/>
      <c r="M1216" s="65"/>
      <c r="N1216" s="65"/>
      <c r="O1216" s="65"/>
      <c r="P1216" s="65"/>
      <c r="Q1216" s="65"/>
      <c r="R1216" s="65"/>
      <c r="S1216" s="65"/>
      <c r="T1216" s="65"/>
    </row>
    <row r="1217" spans="3:20">
      <c r="C1217" s="65"/>
      <c r="D1217" s="65"/>
      <c r="E1217" s="65"/>
      <c r="F1217" s="65"/>
      <c r="G1217" s="65"/>
      <c r="H1217" s="65"/>
      <c r="I1217" s="65"/>
      <c r="J1217" s="65"/>
      <c r="K1217" s="65"/>
      <c r="L1217" s="65"/>
      <c r="M1217" s="65"/>
      <c r="N1217" s="65"/>
      <c r="O1217" s="65"/>
      <c r="P1217" s="65"/>
      <c r="Q1217" s="65"/>
      <c r="R1217" s="65"/>
      <c r="S1217" s="65"/>
      <c r="T1217" s="65"/>
    </row>
    <row r="1218" spans="3:20">
      <c r="C1218" s="65"/>
      <c r="D1218" s="65"/>
      <c r="E1218" s="65"/>
      <c r="F1218" s="65"/>
      <c r="G1218" s="65"/>
      <c r="H1218" s="65"/>
      <c r="I1218" s="65"/>
      <c r="J1218" s="65"/>
      <c r="K1218" s="65"/>
      <c r="L1218" s="65"/>
      <c r="M1218" s="65"/>
      <c r="N1218" s="65"/>
      <c r="O1218" s="65"/>
      <c r="P1218" s="65"/>
      <c r="Q1218" s="65"/>
      <c r="R1218" s="65"/>
      <c r="S1218" s="65"/>
      <c r="T1218" s="65"/>
    </row>
    <row r="1219" spans="3:20">
      <c r="C1219" s="65"/>
      <c r="D1219" s="65"/>
      <c r="E1219" s="65"/>
      <c r="F1219" s="65"/>
      <c r="G1219" s="65"/>
      <c r="H1219" s="65"/>
      <c r="I1219" s="65"/>
      <c r="J1219" s="65"/>
      <c r="K1219" s="65"/>
      <c r="L1219" s="65"/>
      <c r="M1219" s="65"/>
      <c r="N1219" s="65"/>
      <c r="O1219" s="65"/>
      <c r="P1219" s="65"/>
      <c r="Q1219" s="65"/>
      <c r="R1219" s="65"/>
      <c r="S1219" s="65"/>
      <c r="T1219" s="65"/>
    </row>
    <row r="1220" spans="3:20">
      <c r="C1220" s="65"/>
      <c r="D1220" s="65"/>
      <c r="E1220" s="65"/>
      <c r="F1220" s="65"/>
      <c r="G1220" s="65"/>
      <c r="H1220" s="65"/>
      <c r="I1220" s="65"/>
      <c r="J1220" s="65"/>
      <c r="K1220" s="65"/>
      <c r="L1220" s="65"/>
      <c r="M1220" s="65"/>
      <c r="N1220" s="65"/>
      <c r="O1220" s="65"/>
      <c r="P1220" s="65"/>
      <c r="Q1220" s="65"/>
      <c r="R1220" s="65"/>
      <c r="S1220" s="65"/>
      <c r="T1220" s="65"/>
    </row>
    <row r="1221" spans="3:20">
      <c r="C1221" s="65"/>
      <c r="D1221" s="65"/>
      <c r="E1221" s="65"/>
      <c r="F1221" s="65"/>
      <c r="G1221" s="65"/>
      <c r="H1221" s="65"/>
      <c r="I1221" s="65"/>
      <c r="J1221" s="65"/>
      <c r="K1221" s="65"/>
      <c r="L1221" s="65"/>
      <c r="M1221" s="65"/>
      <c r="N1221" s="65"/>
      <c r="O1221" s="65"/>
      <c r="P1221" s="65"/>
      <c r="Q1221" s="65"/>
      <c r="R1221" s="65"/>
      <c r="S1221" s="65"/>
      <c r="T1221" s="65"/>
    </row>
    <row r="1222" spans="3:20">
      <c r="C1222" s="65"/>
      <c r="D1222" s="65"/>
      <c r="E1222" s="65"/>
      <c r="F1222" s="65"/>
      <c r="G1222" s="65"/>
      <c r="H1222" s="65"/>
      <c r="I1222" s="65"/>
      <c r="J1222" s="65"/>
      <c r="K1222" s="65"/>
      <c r="L1222" s="65"/>
      <c r="M1222" s="65"/>
      <c r="N1222" s="65"/>
      <c r="O1222" s="65"/>
      <c r="P1222" s="65"/>
      <c r="Q1222" s="65"/>
      <c r="R1222" s="65"/>
      <c r="S1222" s="65"/>
      <c r="T1222" s="65"/>
    </row>
    <row r="1223" spans="3:20">
      <c r="C1223" s="65"/>
      <c r="D1223" s="65"/>
      <c r="E1223" s="65"/>
      <c r="F1223" s="65"/>
      <c r="G1223" s="65"/>
      <c r="H1223" s="65"/>
      <c r="I1223" s="65"/>
      <c r="J1223" s="65"/>
      <c r="K1223" s="65"/>
      <c r="L1223" s="65"/>
      <c r="M1223" s="65"/>
      <c r="N1223" s="65"/>
      <c r="O1223" s="65"/>
      <c r="P1223" s="65"/>
      <c r="Q1223" s="65"/>
      <c r="R1223" s="65"/>
      <c r="S1223" s="65"/>
      <c r="T1223" s="65"/>
    </row>
    <row r="1224" spans="3:20">
      <c r="C1224" s="65"/>
      <c r="D1224" s="65"/>
      <c r="E1224" s="65"/>
      <c r="F1224" s="65"/>
      <c r="G1224" s="65"/>
      <c r="H1224" s="65"/>
      <c r="I1224" s="65"/>
      <c r="J1224" s="65"/>
      <c r="K1224" s="65"/>
      <c r="L1224" s="65"/>
      <c r="M1224" s="65"/>
      <c r="N1224" s="65"/>
      <c r="O1224" s="65"/>
      <c r="P1224" s="65"/>
      <c r="Q1224" s="65"/>
      <c r="R1224" s="65"/>
      <c r="S1224" s="65"/>
      <c r="T1224" s="65"/>
    </row>
    <row r="1225" spans="3:20">
      <c r="C1225" s="65"/>
      <c r="D1225" s="65"/>
      <c r="E1225" s="65"/>
      <c r="F1225" s="65"/>
      <c r="G1225" s="65"/>
      <c r="H1225" s="65"/>
      <c r="I1225" s="65"/>
      <c r="J1225" s="65"/>
      <c r="K1225" s="65"/>
      <c r="L1225" s="65"/>
      <c r="M1225" s="65"/>
      <c r="N1225" s="65"/>
      <c r="O1225" s="65"/>
      <c r="P1225" s="65"/>
      <c r="Q1225" s="65"/>
      <c r="R1225" s="65"/>
      <c r="S1225" s="65"/>
      <c r="T1225" s="65"/>
    </row>
    <row r="1226" spans="3:20">
      <c r="C1226" s="65"/>
      <c r="D1226" s="65"/>
      <c r="E1226" s="65"/>
      <c r="F1226" s="65"/>
      <c r="G1226" s="65"/>
      <c r="H1226" s="65"/>
      <c r="I1226" s="65"/>
      <c r="J1226" s="65"/>
      <c r="K1226" s="65"/>
      <c r="L1226" s="65"/>
      <c r="M1226" s="65"/>
      <c r="N1226" s="65"/>
      <c r="O1226" s="65"/>
      <c r="P1226" s="65"/>
      <c r="Q1226" s="65"/>
      <c r="R1226" s="65"/>
      <c r="S1226" s="65"/>
      <c r="T1226" s="65"/>
    </row>
    <row r="1227" spans="3:20">
      <c r="C1227" s="65"/>
      <c r="D1227" s="65"/>
      <c r="E1227" s="65"/>
      <c r="F1227" s="65"/>
      <c r="G1227" s="65"/>
      <c r="H1227" s="65"/>
      <c r="I1227" s="65"/>
      <c r="J1227" s="65"/>
      <c r="K1227" s="65"/>
      <c r="L1227" s="65"/>
      <c r="M1227" s="65"/>
      <c r="N1227" s="65"/>
      <c r="O1227" s="65"/>
      <c r="P1227" s="65"/>
      <c r="Q1227" s="65"/>
      <c r="R1227" s="65"/>
      <c r="S1227" s="65"/>
      <c r="T1227" s="65"/>
    </row>
    <row r="1228" spans="3:20">
      <c r="C1228" s="65"/>
      <c r="D1228" s="65"/>
      <c r="E1228" s="65"/>
      <c r="F1228" s="65"/>
      <c r="G1228" s="65"/>
      <c r="H1228" s="65"/>
      <c r="I1228" s="65"/>
      <c r="J1228" s="65"/>
      <c r="K1228" s="65"/>
      <c r="L1228" s="65"/>
      <c r="M1228" s="65"/>
      <c r="N1228" s="65"/>
      <c r="O1228" s="65"/>
      <c r="P1228" s="65"/>
      <c r="Q1228" s="65"/>
      <c r="R1228" s="65"/>
      <c r="S1228" s="65"/>
      <c r="T1228" s="65"/>
    </row>
    <row r="1229" spans="3:20">
      <c r="C1229" s="65"/>
      <c r="D1229" s="65"/>
      <c r="E1229" s="65"/>
      <c r="F1229" s="65"/>
      <c r="G1229" s="65"/>
      <c r="H1229" s="65"/>
      <c r="I1229" s="65"/>
      <c r="J1229" s="65"/>
      <c r="K1229" s="65"/>
      <c r="L1229" s="65"/>
      <c r="M1229" s="65"/>
      <c r="N1229" s="65"/>
      <c r="O1229" s="65"/>
      <c r="P1229" s="65"/>
      <c r="Q1229" s="65"/>
      <c r="R1229" s="65"/>
      <c r="S1229" s="65"/>
      <c r="T1229" s="65"/>
    </row>
    <row r="1230" spans="3:20">
      <c r="C1230" s="65"/>
      <c r="D1230" s="65"/>
      <c r="E1230" s="65"/>
      <c r="F1230" s="65"/>
      <c r="G1230" s="65"/>
      <c r="H1230" s="65"/>
      <c r="I1230" s="65"/>
      <c r="J1230" s="65"/>
      <c r="K1230" s="65"/>
      <c r="L1230" s="65"/>
      <c r="M1230" s="65"/>
      <c r="N1230" s="65"/>
      <c r="O1230" s="65"/>
      <c r="P1230" s="65"/>
      <c r="Q1230" s="65"/>
      <c r="R1230" s="65"/>
      <c r="S1230" s="65"/>
      <c r="T1230" s="65"/>
    </row>
    <row r="1231" spans="3:20">
      <c r="C1231" s="65"/>
      <c r="D1231" s="65"/>
      <c r="E1231" s="65"/>
      <c r="F1231" s="65"/>
      <c r="G1231" s="65"/>
      <c r="H1231" s="65"/>
      <c r="I1231" s="65"/>
      <c r="J1231" s="65"/>
      <c r="K1231" s="65"/>
      <c r="L1231" s="65"/>
      <c r="M1231" s="65"/>
      <c r="N1231" s="65"/>
      <c r="O1231" s="65"/>
      <c r="P1231" s="65"/>
      <c r="Q1231" s="65"/>
      <c r="R1231" s="65"/>
      <c r="S1231" s="65"/>
      <c r="T1231" s="65"/>
    </row>
    <row r="1232" spans="3:20">
      <c r="C1232" s="65"/>
      <c r="D1232" s="65"/>
      <c r="E1232" s="65"/>
      <c r="F1232" s="65"/>
      <c r="G1232" s="65"/>
      <c r="H1232" s="65"/>
      <c r="I1232" s="65"/>
      <c r="J1232" s="65"/>
      <c r="K1232" s="65"/>
      <c r="L1232" s="65"/>
      <c r="M1232" s="65"/>
      <c r="N1232" s="65"/>
      <c r="O1232" s="65"/>
      <c r="P1232" s="65"/>
      <c r="Q1232" s="65"/>
      <c r="R1232" s="65"/>
      <c r="S1232" s="65"/>
      <c r="T1232" s="65"/>
    </row>
    <row r="1233" spans="3:20">
      <c r="C1233" s="65"/>
      <c r="D1233" s="65"/>
      <c r="E1233" s="65"/>
      <c r="F1233" s="65"/>
      <c r="G1233" s="65"/>
      <c r="H1233" s="65"/>
      <c r="I1233" s="65"/>
      <c r="J1233" s="65"/>
      <c r="K1233" s="65"/>
      <c r="L1233" s="65"/>
      <c r="M1233" s="65"/>
      <c r="N1233" s="65"/>
      <c r="O1233" s="65"/>
      <c r="P1233" s="65"/>
      <c r="Q1233" s="65"/>
      <c r="R1233" s="65"/>
      <c r="S1233" s="65"/>
      <c r="T1233" s="65"/>
    </row>
    <row r="1234" spans="3:20">
      <c r="C1234" s="65"/>
      <c r="D1234" s="65"/>
      <c r="E1234" s="65"/>
      <c r="F1234" s="65"/>
      <c r="G1234" s="65"/>
      <c r="H1234" s="65"/>
      <c r="I1234" s="65"/>
      <c r="J1234" s="65"/>
      <c r="K1234" s="65"/>
      <c r="L1234" s="65"/>
      <c r="M1234" s="65"/>
      <c r="N1234" s="65"/>
      <c r="O1234" s="65"/>
      <c r="P1234" s="65"/>
      <c r="Q1234" s="65"/>
      <c r="R1234" s="65"/>
      <c r="S1234" s="65"/>
      <c r="T1234" s="65"/>
    </row>
    <row r="1235" spans="3:20">
      <c r="C1235" s="65"/>
      <c r="D1235" s="65"/>
      <c r="E1235" s="65"/>
      <c r="F1235" s="65"/>
      <c r="G1235" s="65"/>
      <c r="H1235" s="65"/>
      <c r="I1235" s="65"/>
      <c r="J1235" s="65"/>
      <c r="K1235" s="65"/>
      <c r="L1235" s="65"/>
      <c r="M1235" s="65"/>
      <c r="N1235" s="65"/>
      <c r="O1235" s="65"/>
      <c r="P1235" s="65"/>
      <c r="Q1235" s="65"/>
      <c r="R1235" s="65"/>
      <c r="S1235" s="65"/>
      <c r="T1235" s="65"/>
    </row>
    <row r="1236" spans="3:20">
      <c r="C1236" s="65"/>
      <c r="D1236" s="65"/>
      <c r="E1236" s="65"/>
      <c r="F1236" s="65"/>
      <c r="G1236" s="65"/>
      <c r="H1236" s="65"/>
      <c r="I1236" s="65"/>
      <c r="J1236" s="65"/>
      <c r="K1236" s="65"/>
      <c r="L1236" s="65"/>
      <c r="M1236" s="65"/>
      <c r="N1236" s="65"/>
      <c r="O1236" s="65"/>
      <c r="P1236" s="65"/>
      <c r="Q1236" s="65"/>
      <c r="R1236" s="65"/>
      <c r="S1236" s="65"/>
      <c r="T1236" s="65"/>
    </row>
    <row r="1237" spans="3:20">
      <c r="C1237" s="65"/>
      <c r="D1237" s="65"/>
      <c r="E1237" s="65"/>
      <c r="F1237" s="65"/>
      <c r="G1237" s="65"/>
      <c r="H1237" s="65"/>
      <c r="I1237" s="65"/>
      <c r="J1237" s="65"/>
      <c r="K1237" s="65"/>
      <c r="L1237" s="65"/>
      <c r="M1237" s="65"/>
      <c r="N1237" s="65"/>
      <c r="O1237" s="65"/>
      <c r="P1237" s="65"/>
      <c r="Q1237" s="65"/>
      <c r="R1237" s="65"/>
      <c r="S1237" s="65"/>
      <c r="T1237" s="65"/>
    </row>
    <row r="1238" spans="3:20">
      <c r="C1238" s="65"/>
      <c r="D1238" s="65"/>
      <c r="E1238" s="65"/>
      <c r="F1238" s="65"/>
      <c r="G1238" s="65"/>
      <c r="H1238" s="65"/>
      <c r="I1238" s="65"/>
      <c r="J1238" s="65"/>
      <c r="K1238" s="65"/>
      <c r="L1238" s="65"/>
      <c r="M1238" s="65"/>
      <c r="N1238" s="65"/>
      <c r="O1238" s="65"/>
      <c r="P1238" s="65"/>
      <c r="Q1238" s="65"/>
      <c r="R1238" s="65"/>
      <c r="S1238" s="65"/>
      <c r="T1238" s="65"/>
    </row>
    <row r="1239" spans="3:20">
      <c r="C1239" s="65"/>
      <c r="D1239" s="65"/>
      <c r="E1239" s="65"/>
      <c r="F1239" s="65"/>
      <c r="G1239" s="65"/>
      <c r="H1239" s="65"/>
      <c r="I1239" s="65"/>
      <c r="J1239" s="65"/>
      <c r="K1239" s="65"/>
      <c r="L1239" s="65"/>
      <c r="M1239" s="65"/>
      <c r="N1239" s="65"/>
      <c r="O1239" s="65"/>
      <c r="P1239" s="65"/>
      <c r="Q1239" s="65"/>
      <c r="R1239" s="65"/>
      <c r="S1239" s="65"/>
      <c r="T1239" s="65"/>
    </row>
    <row r="1240" spans="3:20">
      <c r="C1240" s="65"/>
      <c r="D1240" s="65"/>
      <c r="E1240" s="65"/>
      <c r="F1240" s="65"/>
      <c r="G1240" s="65"/>
      <c r="H1240" s="65"/>
      <c r="I1240" s="65"/>
      <c r="J1240" s="65"/>
      <c r="K1240" s="65"/>
      <c r="L1240" s="65"/>
      <c r="M1240" s="65"/>
      <c r="N1240" s="65"/>
      <c r="O1240" s="65"/>
      <c r="P1240" s="65"/>
      <c r="Q1240" s="65"/>
      <c r="R1240" s="65"/>
      <c r="S1240" s="65"/>
      <c r="T1240" s="65"/>
    </row>
    <row r="1241" spans="3:20">
      <c r="C1241" s="65"/>
      <c r="D1241" s="65"/>
      <c r="E1241" s="65"/>
      <c r="F1241" s="65"/>
      <c r="G1241" s="65"/>
      <c r="H1241" s="65"/>
      <c r="I1241" s="65"/>
      <c r="J1241" s="65"/>
      <c r="K1241" s="65"/>
      <c r="L1241" s="65"/>
      <c r="M1241" s="65"/>
      <c r="N1241" s="65"/>
      <c r="O1241" s="65"/>
      <c r="P1241" s="65"/>
      <c r="Q1241" s="65"/>
      <c r="R1241" s="65"/>
      <c r="S1241" s="65"/>
      <c r="T1241" s="65"/>
    </row>
    <row r="1242" spans="3:20">
      <c r="C1242" s="65"/>
      <c r="D1242" s="65"/>
      <c r="E1242" s="65"/>
      <c r="F1242" s="65"/>
      <c r="G1242" s="65"/>
      <c r="H1242" s="65"/>
      <c r="I1242" s="65"/>
      <c r="J1242" s="65"/>
      <c r="K1242" s="65"/>
      <c r="L1242" s="65"/>
      <c r="M1242" s="65"/>
      <c r="N1242" s="65"/>
      <c r="O1242" s="65"/>
      <c r="P1242" s="65"/>
      <c r="Q1242" s="65"/>
      <c r="R1242" s="65"/>
      <c r="S1242" s="65"/>
      <c r="T1242" s="65"/>
    </row>
    <row r="1243" spans="3:20">
      <c r="C1243" s="65"/>
      <c r="D1243" s="65"/>
      <c r="E1243" s="65"/>
      <c r="F1243" s="65"/>
      <c r="G1243" s="65"/>
      <c r="H1243" s="65"/>
      <c r="I1243" s="65"/>
      <c r="J1243" s="65"/>
      <c r="K1243" s="65"/>
      <c r="L1243" s="65"/>
      <c r="M1243" s="65"/>
      <c r="N1243" s="65"/>
      <c r="O1243" s="65"/>
      <c r="P1243" s="65"/>
      <c r="Q1243" s="65"/>
      <c r="R1243" s="65"/>
      <c r="S1243" s="65"/>
      <c r="T1243" s="65"/>
    </row>
    <row r="1244" spans="3:20">
      <c r="C1244" s="65"/>
      <c r="D1244" s="65"/>
      <c r="E1244" s="65"/>
      <c r="F1244" s="65"/>
      <c r="G1244" s="65"/>
      <c r="H1244" s="65"/>
      <c r="I1244" s="65"/>
      <c r="J1244" s="65"/>
      <c r="K1244" s="65"/>
      <c r="L1244" s="65"/>
      <c r="M1244" s="65"/>
      <c r="N1244" s="65"/>
      <c r="O1244" s="65"/>
      <c r="P1244" s="65"/>
      <c r="Q1244" s="65"/>
      <c r="R1244" s="65"/>
      <c r="S1244" s="65"/>
      <c r="T1244" s="65"/>
    </row>
    <row r="1245" spans="3:20">
      <c r="C1245" s="65"/>
      <c r="D1245" s="65"/>
      <c r="E1245" s="65"/>
      <c r="F1245" s="65"/>
      <c r="G1245" s="65"/>
      <c r="H1245" s="65"/>
      <c r="I1245" s="65"/>
      <c r="J1245" s="65"/>
      <c r="K1245" s="65"/>
      <c r="L1245" s="65"/>
      <c r="M1245" s="65"/>
      <c r="N1245" s="65"/>
      <c r="O1245" s="65"/>
      <c r="P1245" s="65"/>
      <c r="Q1245" s="65"/>
      <c r="R1245" s="65"/>
      <c r="S1245" s="65"/>
      <c r="T1245" s="65"/>
    </row>
    <row r="1246" spans="3:20">
      <c r="C1246" s="65"/>
      <c r="D1246" s="65"/>
      <c r="E1246" s="65"/>
      <c r="F1246" s="65"/>
      <c r="G1246" s="65"/>
      <c r="H1246" s="65"/>
      <c r="I1246" s="65"/>
      <c r="J1246" s="65"/>
      <c r="K1246" s="65"/>
      <c r="L1246" s="65"/>
      <c r="M1246" s="65"/>
      <c r="N1246" s="65"/>
      <c r="O1246" s="65"/>
      <c r="P1246" s="65"/>
      <c r="Q1246" s="65"/>
      <c r="R1246" s="65"/>
      <c r="S1246" s="65"/>
      <c r="T1246" s="65"/>
    </row>
    <row r="1247" spans="3:20">
      <c r="C1247" s="65"/>
      <c r="D1247" s="65"/>
      <c r="E1247" s="65"/>
      <c r="F1247" s="65"/>
      <c r="G1247" s="65"/>
      <c r="H1247" s="65"/>
      <c r="I1247" s="65"/>
      <c r="J1247" s="65"/>
      <c r="K1247" s="65"/>
      <c r="L1247" s="65"/>
      <c r="M1247" s="65"/>
      <c r="N1247" s="65"/>
      <c r="O1247" s="65"/>
      <c r="P1247" s="65"/>
      <c r="Q1247" s="65"/>
      <c r="R1247" s="65"/>
      <c r="S1247" s="65"/>
      <c r="T1247" s="65"/>
    </row>
    <row r="1248" spans="3:20">
      <c r="C1248" s="65"/>
      <c r="D1248" s="65"/>
      <c r="E1248" s="65"/>
      <c r="F1248" s="65"/>
      <c r="G1248" s="65"/>
      <c r="H1248" s="65"/>
      <c r="I1248" s="65"/>
      <c r="J1248" s="65"/>
      <c r="K1248" s="65"/>
      <c r="L1248" s="65"/>
      <c r="M1248" s="65"/>
      <c r="N1248" s="65"/>
      <c r="O1248" s="65"/>
      <c r="P1248" s="65"/>
      <c r="Q1248" s="65"/>
      <c r="R1248" s="65"/>
      <c r="S1248" s="65"/>
      <c r="T1248" s="65"/>
    </row>
    <row r="1249" spans="3:20">
      <c r="C1249" s="65"/>
      <c r="D1249" s="65"/>
      <c r="E1249" s="65"/>
      <c r="F1249" s="65"/>
      <c r="G1249" s="65"/>
      <c r="H1249" s="65"/>
      <c r="I1249" s="65"/>
      <c r="J1249" s="65"/>
      <c r="K1249" s="65"/>
      <c r="L1249" s="65"/>
      <c r="M1249" s="65"/>
      <c r="N1249" s="65"/>
      <c r="O1249" s="65"/>
      <c r="P1249" s="65"/>
      <c r="Q1249" s="65"/>
      <c r="R1249" s="65"/>
      <c r="S1249" s="65"/>
      <c r="T1249" s="65"/>
    </row>
    <row r="1250" spans="3:20">
      <c r="C1250" s="65"/>
      <c r="D1250" s="65"/>
      <c r="E1250" s="65"/>
      <c r="F1250" s="65"/>
      <c r="G1250" s="65"/>
      <c r="H1250" s="65"/>
      <c r="I1250" s="65"/>
      <c r="J1250" s="65"/>
      <c r="K1250" s="65"/>
      <c r="L1250" s="65"/>
      <c r="M1250" s="65"/>
      <c r="N1250" s="65"/>
      <c r="O1250" s="65"/>
      <c r="P1250" s="65"/>
      <c r="Q1250" s="65"/>
      <c r="R1250" s="65"/>
      <c r="S1250" s="65"/>
      <c r="T1250" s="65"/>
    </row>
    <row r="1251" spans="3:20">
      <c r="C1251" s="65"/>
      <c r="D1251" s="65"/>
      <c r="E1251" s="65"/>
      <c r="F1251" s="65"/>
      <c r="G1251" s="65"/>
      <c r="H1251" s="65"/>
      <c r="I1251" s="65"/>
      <c r="J1251" s="65"/>
      <c r="K1251" s="65"/>
      <c r="L1251" s="65"/>
      <c r="M1251" s="65"/>
      <c r="N1251" s="65"/>
      <c r="O1251" s="65"/>
      <c r="P1251" s="65"/>
      <c r="Q1251" s="65"/>
      <c r="R1251" s="65"/>
      <c r="S1251" s="65"/>
      <c r="T1251" s="65"/>
    </row>
    <row r="1252" spans="3:20">
      <c r="C1252" s="65"/>
      <c r="D1252" s="65"/>
      <c r="E1252" s="65"/>
      <c r="F1252" s="65"/>
      <c r="G1252" s="65"/>
      <c r="H1252" s="65"/>
      <c r="I1252" s="65"/>
      <c r="J1252" s="65"/>
      <c r="K1252" s="65"/>
      <c r="L1252" s="65"/>
      <c r="M1252" s="65"/>
      <c r="N1252" s="65"/>
      <c r="O1252" s="65"/>
      <c r="P1252" s="65"/>
      <c r="Q1252" s="65"/>
      <c r="R1252" s="65"/>
      <c r="S1252" s="65"/>
      <c r="T1252" s="65"/>
    </row>
    <row r="1253" spans="3:20">
      <c r="C1253" s="65"/>
      <c r="D1253" s="65"/>
      <c r="E1253" s="65"/>
      <c r="F1253" s="65"/>
      <c r="G1253" s="65"/>
      <c r="H1253" s="65"/>
      <c r="I1253" s="65"/>
      <c r="J1253" s="65"/>
      <c r="K1253" s="65"/>
      <c r="L1253" s="65"/>
      <c r="M1253" s="65"/>
      <c r="N1253" s="65"/>
      <c r="O1253" s="65"/>
      <c r="P1253" s="65"/>
      <c r="Q1253" s="65"/>
      <c r="R1253" s="65"/>
      <c r="S1253" s="65"/>
      <c r="T1253" s="65"/>
    </row>
    <row r="1254" spans="3:20">
      <c r="C1254" s="65"/>
      <c r="D1254" s="65"/>
      <c r="E1254" s="65"/>
      <c r="F1254" s="65"/>
      <c r="G1254" s="65"/>
      <c r="H1254" s="65"/>
      <c r="I1254" s="65"/>
      <c r="J1254" s="65"/>
      <c r="K1254" s="65"/>
      <c r="L1254" s="65"/>
      <c r="M1254" s="65"/>
      <c r="N1254" s="65"/>
      <c r="O1254" s="65"/>
      <c r="P1254" s="65"/>
      <c r="Q1254" s="65"/>
      <c r="R1254" s="65"/>
      <c r="S1254" s="65"/>
      <c r="T1254" s="65"/>
    </row>
    <row r="1255" spans="3:20">
      <c r="C1255" s="65"/>
      <c r="D1255" s="65"/>
      <c r="E1255" s="65"/>
      <c r="F1255" s="65"/>
      <c r="G1255" s="65"/>
      <c r="H1255" s="65"/>
      <c r="I1255" s="65"/>
      <c r="J1255" s="65"/>
      <c r="K1255" s="65"/>
      <c r="L1255" s="65"/>
      <c r="M1255" s="65"/>
      <c r="N1255" s="65"/>
      <c r="O1255" s="65"/>
      <c r="P1255" s="65"/>
      <c r="Q1255" s="65"/>
      <c r="R1255" s="65"/>
      <c r="S1255" s="65"/>
      <c r="T1255" s="65"/>
    </row>
    <row r="1256" spans="3:20">
      <c r="C1256" s="65"/>
      <c r="D1256" s="65"/>
      <c r="E1256" s="65"/>
      <c r="F1256" s="65"/>
      <c r="G1256" s="65"/>
      <c r="H1256" s="65"/>
      <c r="I1256" s="65"/>
      <c r="J1256" s="65"/>
      <c r="K1256" s="65"/>
      <c r="L1256" s="65"/>
      <c r="M1256" s="65"/>
      <c r="N1256" s="65"/>
      <c r="O1256" s="65"/>
      <c r="P1256" s="65"/>
      <c r="Q1256" s="65"/>
      <c r="R1256" s="65"/>
      <c r="S1256" s="65"/>
      <c r="T1256" s="65"/>
    </row>
    <row r="1257" spans="3:20">
      <c r="C1257" s="65"/>
      <c r="D1257" s="65"/>
      <c r="E1257" s="65"/>
      <c r="F1257" s="65"/>
      <c r="G1257" s="65"/>
      <c r="H1257" s="65"/>
      <c r="I1257" s="65"/>
      <c r="J1257" s="65"/>
      <c r="K1257" s="65"/>
      <c r="L1257" s="65"/>
      <c r="M1257" s="65"/>
      <c r="N1257" s="65"/>
      <c r="O1257" s="65"/>
      <c r="P1257" s="65"/>
      <c r="Q1257" s="65"/>
      <c r="R1257" s="65"/>
      <c r="S1257" s="65"/>
      <c r="T1257" s="65"/>
    </row>
    <row r="1258" spans="3:20">
      <c r="C1258" s="65"/>
      <c r="D1258" s="65"/>
      <c r="E1258" s="65"/>
      <c r="F1258" s="65"/>
      <c r="G1258" s="65"/>
      <c r="H1258" s="65"/>
      <c r="I1258" s="65"/>
      <c r="J1258" s="65"/>
      <c r="K1258" s="65"/>
      <c r="L1258" s="65"/>
      <c r="M1258" s="65"/>
      <c r="N1258" s="65"/>
      <c r="O1258" s="65"/>
      <c r="P1258" s="65"/>
      <c r="Q1258" s="65"/>
      <c r="R1258" s="65"/>
      <c r="S1258" s="65"/>
      <c r="T1258" s="65"/>
    </row>
    <row r="1259" spans="3:20">
      <c r="C1259" s="65"/>
      <c r="D1259" s="65"/>
      <c r="E1259" s="65"/>
      <c r="F1259" s="65"/>
      <c r="G1259" s="65"/>
      <c r="H1259" s="65"/>
      <c r="I1259" s="65"/>
      <c r="J1259" s="65"/>
      <c r="K1259" s="65"/>
      <c r="L1259" s="65"/>
      <c r="M1259" s="65"/>
      <c r="N1259" s="65"/>
      <c r="O1259" s="65"/>
      <c r="P1259" s="65"/>
      <c r="Q1259" s="65"/>
      <c r="R1259" s="65"/>
      <c r="S1259" s="65"/>
      <c r="T1259" s="65"/>
    </row>
    <row r="1260" spans="3:20">
      <c r="C1260" s="65"/>
      <c r="D1260" s="65"/>
      <c r="E1260" s="65"/>
      <c r="F1260" s="65"/>
      <c r="G1260" s="65"/>
      <c r="H1260" s="65"/>
      <c r="I1260" s="65"/>
      <c r="J1260" s="65"/>
      <c r="K1260" s="65"/>
      <c r="L1260" s="65"/>
      <c r="M1260" s="65"/>
      <c r="N1260" s="65"/>
      <c r="O1260" s="65"/>
      <c r="P1260" s="65"/>
      <c r="Q1260" s="65"/>
      <c r="R1260" s="65"/>
      <c r="S1260" s="65"/>
      <c r="T1260" s="65"/>
    </row>
    <row r="1261" spans="3:20">
      <c r="C1261" s="65"/>
      <c r="D1261" s="65"/>
      <c r="E1261" s="65"/>
      <c r="F1261" s="65"/>
      <c r="G1261" s="65"/>
      <c r="H1261" s="65"/>
      <c r="I1261" s="65"/>
      <c r="J1261" s="65"/>
      <c r="K1261" s="65"/>
      <c r="L1261" s="65"/>
      <c r="M1261" s="65"/>
      <c r="N1261" s="65"/>
      <c r="O1261" s="65"/>
      <c r="P1261" s="65"/>
      <c r="Q1261" s="65"/>
      <c r="R1261" s="65"/>
      <c r="S1261" s="65"/>
      <c r="T1261" s="65"/>
    </row>
    <row r="1262" spans="3:20">
      <c r="C1262" s="65"/>
      <c r="D1262" s="65"/>
      <c r="E1262" s="65"/>
      <c r="F1262" s="65"/>
      <c r="G1262" s="65"/>
      <c r="H1262" s="65"/>
      <c r="I1262" s="65"/>
      <c r="J1262" s="65"/>
      <c r="K1262" s="65"/>
      <c r="L1262" s="65"/>
      <c r="M1262" s="65"/>
      <c r="N1262" s="65"/>
      <c r="O1262" s="65"/>
      <c r="P1262" s="65"/>
      <c r="Q1262" s="65"/>
      <c r="R1262" s="65"/>
      <c r="S1262" s="65"/>
      <c r="T1262" s="65"/>
    </row>
    <row r="1263" spans="3:20">
      <c r="C1263" s="65"/>
      <c r="D1263" s="65"/>
      <c r="E1263" s="65"/>
      <c r="F1263" s="65"/>
      <c r="G1263" s="65"/>
      <c r="H1263" s="65"/>
      <c r="I1263" s="65"/>
      <c r="J1263" s="65"/>
      <c r="K1263" s="65"/>
      <c r="L1263" s="65"/>
      <c r="M1263" s="65"/>
      <c r="N1263" s="65"/>
      <c r="O1263" s="65"/>
      <c r="P1263" s="65"/>
      <c r="Q1263" s="65"/>
      <c r="R1263" s="65"/>
      <c r="S1263" s="65"/>
      <c r="T1263" s="65"/>
    </row>
    <row r="1264" spans="3:20">
      <c r="C1264" s="65"/>
      <c r="D1264" s="65"/>
      <c r="E1264" s="65"/>
      <c r="F1264" s="65"/>
      <c r="G1264" s="65"/>
      <c r="H1264" s="65"/>
      <c r="I1264" s="65"/>
      <c r="J1264" s="65"/>
      <c r="K1264" s="65"/>
      <c r="L1264" s="65"/>
      <c r="M1264" s="65"/>
      <c r="N1264" s="65"/>
      <c r="O1264" s="65"/>
      <c r="P1264" s="65"/>
      <c r="Q1264" s="65"/>
      <c r="R1264" s="65"/>
      <c r="S1264" s="65"/>
      <c r="T1264" s="65"/>
    </row>
    <row r="1265" spans="3:20">
      <c r="C1265" s="65"/>
      <c r="D1265" s="65"/>
      <c r="E1265" s="65"/>
      <c r="F1265" s="65"/>
      <c r="G1265" s="65"/>
      <c r="H1265" s="65"/>
      <c r="I1265" s="65"/>
      <c r="J1265" s="65"/>
      <c r="K1265" s="65"/>
      <c r="L1265" s="65"/>
      <c r="M1265" s="65"/>
      <c r="N1265" s="65"/>
      <c r="O1265" s="65"/>
      <c r="P1265" s="65"/>
      <c r="Q1265" s="65"/>
      <c r="R1265" s="65"/>
      <c r="S1265" s="65"/>
      <c r="T1265" s="65"/>
    </row>
    <row r="1266" spans="3:20">
      <c r="C1266" s="65"/>
      <c r="D1266" s="65"/>
      <c r="E1266" s="65"/>
      <c r="F1266" s="65"/>
      <c r="G1266" s="65"/>
      <c r="H1266" s="65"/>
      <c r="I1266" s="65"/>
      <c r="J1266" s="65"/>
      <c r="K1266" s="65"/>
      <c r="L1266" s="65"/>
      <c r="M1266" s="65"/>
      <c r="N1266" s="65"/>
      <c r="O1266" s="65"/>
      <c r="P1266" s="65"/>
      <c r="Q1266" s="65"/>
      <c r="R1266" s="65"/>
      <c r="S1266" s="65"/>
      <c r="T1266" s="65"/>
    </row>
    <row r="1267" spans="3:20">
      <c r="C1267" s="65"/>
      <c r="D1267" s="65"/>
      <c r="E1267" s="65"/>
      <c r="F1267" s="65"/>
      <c r="G1267" s="65"/>
      <c r="H1267" s="65"/>
      <c r="I1267" s="65"/>
      <c r="J1267" s="65"/>
      <c r="K1267" s="65"/>
      <c r="L1267" s="65"/>
      <c r="M1267" s="65"/>
      <c r="N1267" s="65"/>
      <c r="O1267" s="65"/>
      <c r="P1267" s="65"/>
      <c r="Q1267" s="65"/>
      <c r="R1267" s="65"/>
      <c r="S1267" s="65"/>
      <c r="T1267" s="65"/>
    </row>
    <row r="1268" spans="3:20">
      <c r="C1268" s="65"/>
      <c r="D1268" s="65"/>
      <c r="E1268" s="65"/>
      <c r="F1268" s="65"/>
      <c r="G1268" s="65"/>
      <c r="H1268" s="65"/>
      <c r="I1268" s="65"/>
      <c r="J1268" s="65"/>
      <c r="K1268" s="65"/>
      <c r="L1268" s="65"/>
      <c r="M1268" s="65"/>
      <c r="N1268" s="65"/>
      <c r="O1268" s="65"/>
      <c r="P1268" s="65"/>
      <c r="Q1268" s="65"/>
      <c r="R1268" s="65"/>
      <c r="S1268" s="65"/>
      <c r="T1268" s="65"/>
    </row>
    <row r="1269" spans="3:20">
      <c r="C1269" s="65"/>
      <c r="D1269" s="65"/>
      <c r="E1269" s="65"/>
      <c r="F1269" s="65"/>
      <c r="G1269" s="65"/>
      <c r="H1269" s="65"/>
      <c r="I1269" s="65"/>
      <c r="J1269" s="65"/>
      <c r="K1269" s="65"/>
      <c r="L1269" s="65"/>
      <c r="M1269" s="65"/>
      <c r="N1269" s="65"/>
      <c r="O1269" s="65"/>
      <c r="P1269" s="65"/>
      <c r="Q1269" s="65"/>
      <c r="R1269" s="65"/>
      <c r="S1269" s="65"/>
      <c r="T1269" s="65"/>
    </row>
    <row r="1270" spans="3:20">
      <c r="C1270" s="65"/>
      <c r="D1270" s="65"/>
      <c r="E1270" s="65"/>
      <c r="F1270" s="65"/>
      <c r="G1270" s="65"/>
      <c r="H1270" s="65"/>
      <c r="I1270" s="65"/>
      <c r="J1270" s="65"/>
      <c r="K1270" s="65"/>
      <c r="L1270" s="65"/>
      <c r="M1270" s="65"/>
      <c r="N1270" s="65"/>
      <c r="O1270" s="65"/>
      <c r="P1270" s="65"/>
      <c r="Q1270" s="65"/>
      <c r="R1270" s="65"/>
      <c r="S1270" s="65"/>
      <c r="T1270" s="65"/>
    </row>
    <row r="1271" spans="3:20">
      <c r="C1271" s="65"/>
      <c r="D1271" s="65"/>
      <c r="E1271" s="65"/>
      <c r="F1271" s="65"/>
      <c r="G1271" s="65"/>
      <c r="H1271" s="65"/>
      <c r="I1271" s="65"/>
      <c r="J1271" s="65"/>
      <c r="K1271" s="65"/>
      <c r="L1271" s="65"/>
      <c r="M1271" s="65"/>
      <c r="N1271" s="65"/>
      <c r="O1271" s="65"/>
      <c r="P1271" s="65"/>
      <c r="Q1271" s="65"/>
      <c r="R1271" s="65"/>
      <c r="S1271" s="65"/>
      <c r="T1271" s="65"/>
    </row>
    <row r="1272" spans="3:20">
      <c r="C1272" s="65"/>
      <c r="D1272" s="65"/>
      <c r="E1272" s="65"/>
      <c r="F1272" s="65"/>
      <c r="G1272" s="65"/>
      <c r="H1272" s="65"/>
      <c r="I1272" s="65"/>
      <c r="J1272" s="65"/>
      <c r="K1272" s="65"/>
      <c r="L1272" s="65"/>
      <c r="M1272" s="65"/>
      <c r="N1272" s="65"/>
      <c r="O1272" s="65"/>
      <c r="P1272" s="65"/>
      <c r="Q1272" s="65"/>
      <c r="R1272" s="65"/>
      <c r="S1272" s="65"/>
      <c r="T1272" s="65"/>
    </row>
    <row r="1273" spans="3:20">
      <c r="C1273" s="65"/>
      <c r="D1273" s="65"/>
      <c r="E1273" s="65"/>
      <c r="F1273" s="65"/>
      <c r="G1273" s="65"/>
      <c r="H1273" s="65"/>
      <c r="I1273" s="65"/>
      <c r="J1273" s="65"/>
      <c r="K1273" s="65"/>
      <c r="L1273" s="65"/>
      <c r="M1273" s="65"/>
      <c r="N1273" s="65"/>
      <c r="O1273" s="65"/>
      <c r="P1273" s="65"/>
      <c r="Q1273" s="65"/>
      <c r="R1273" s="65"/>
      <c r="S1273" s="65"/>
      <c r="T1273" s="65"/>
    </row>
    <row r="1274" spans="3:20">
      <c r="C1274" s="65"/>
      <c r="D1274" s="65"/>
      <c r="E1274" s="65"/>
      <c r="F1274" s="65"/>
      <c r="G1274" s="65"/>
      <c r="H1274" s="65"/>
      <c r="I1274" s="65"/>
      <c r="J1274" s="65"/>
      <c r="K1274" s="65"/>
      <c r="L1274" s="65"/>
      <c r="M1274" s="65"/>
      <c r="N1274" s="65"/>
      <c r="O1274" s="65"/>
      <c r="P1274" s="65"/>
      <c r="Q1274" s="65"/>
      <c r="R1274" s="65"/>
      <c r="S1274" s="65"/>
      <c r="T1274" s="65"/>
    </row>
    <row r="1275" spans="3:20">
      <c r="C1275" s="65"/>
      <c r="D1275" s="65"/>
      <c r="E1275" s="65"/>
      <c r="F1275" s="65"/>
      <c r="G1275" s="65"/>
      <c r="H1275" s="65"/>
      <c r="I1275" s="65"/>
      <c r="J1275" s="65"/>
      <c r="K1275" s="65"/>
      <c r="L1275" s="65"/>
      <c r="M1275" s="65"/>
      <c r="N1275" s="65"/>
      <c r="O1275" s="65"/>
      <c r="P1275" s="65"/>
      <c r="Q1275" s="65"/>
      <c r="R1275" s="65"/>
      <c r="S1275" s="65"/>
      <c r="T1275" s="65"/>
    </row>
    <row r="1276" spans="3:20">
      <c r="C1276" s="65"/>
      <c r="D1276" s="65"/>
      <c r="E1276" s="65"/>
      <c r="F1276" s="65"/>
      <c r="G1276" s="65"/>
      <c r="H1276" s="65"/>
      <c r="I1276" s="65"/>
      <c r="J1276" s="65"/>
      <c r="K1276" s="65"/>
      <c r="L1276" s="65"/>
      <c r="M1276" s="65"/>
      <c r="N1276" s="65"/>
      <c r="O1276" s="65"/>
      <c r="P1276" s="65"/>
      <c r="Q1276" s="65"/>
      <c r="R1276" s="65"/>
      <c r="S1276" s="65"/>
      <c r="T1276" s="65"/>
    </row>
    <row r="1277" spans="3:20">
      <c r="C1277" s="65"/>
      <c r="D1277" s="65"/>
      <c r="E1277" s="65"/>
      <c r="F1277" s="65"/>
      <c r="G1277" s="65"/>
      <c r="H1277" s="65"/>
      <c r="I1277" s="65"/>
      <c r="J1277" s="65"/>
      <c r="K1277" s="65"/>
      <c r="L1277" s="65"/>
      <c r="M1277" s="65"/>
      <c r="N1277" s="65"/>
      <c r="O1277" s="65"/>
      <c r="P1277" s="65"/>
      <c r="Q1277" s="65"/>
      <c r="R1277" s="65"/>
      <c r="S1277" s="65"/>
      <c r="T1277" s="65"/>
    </row>
    <row r="1278" spans="3:20">
      <c r="C1278" s="65"/>
      <c r="D1278" s="65"/>
      <c r="E1278" s="65"/>
      <c r="F1278" s="65"/>
      <c r="G1278" s="65"/>
      <c r="H1278" s="65"/>
      <c r="I1278" s="65"/>
      <c r="J1278" s="65"/>
      <c r="K1278" s="65"/>
      <c r="L1278" s="65"/>
      <c r="M1278" s="65"/>
      <c r="N1278" s="65"/>
      <c r="O1278" s="65"/>
      <c r="P1278" s="65"/>
      <c r="Q1278" s="65"/>
      <c r="R1278" s="65"/>
      <c r="S1278" s="65"/>
      <c r="T1278" s="65"/>
    </row>
    <row r="1279" spans="3:20">
      <c r="C1279" s="65"/>
      <c r="D1279" s="65"/>
      <c r="E1279" s="65"/>
      <c r="F1279" s="65"/>
      <c r="G1279" s="65"/>
      <c r="H1279" s="65"/>
      <c r="I1279" s="65"/>
      <c r="J1279" s="65"/>
      <c r="K1279" s="65"/>
      <c r="L1279" s="65"/>
      <c r="M1279" s="65"/>
      <c r="N1279" s="65"/>
      <c r="O1279" s="65"/>
      <c r="P1279" s="65"/>
      <c r="Q1279" s="65"/>
      <c r="R1279" s="65"/>
      <c r="S1279" s="65"/>
      <c r="T1279" s="65"/>
    </row>
    <row r="1280" spans="3:20">
      <c r="C1280" s="65"/>
      <c r="D1280" s="65"/>
      <c r="E1280" s="65"/>
      <c r="F1280" s="65"/>
      <c r="G1280" s="65"/>
      <c r="H1280" s="65"/>
      <c r="I1280" s="65"/>
      <c r="J1280" s="65"/>
      <c r="K1280" s="65"/>
      <c r="L1280" s="65"/>
      <c r="M1280" s="65"/>
      <c r="N1280" s="65"/>
      <c r="O1280" s="65"/>
      <c r="P1280" s="65"/>
      <c r="Q1280" s="65"/>
      <c r="R1280" s="65"/>
      <c r="S1280" s="65"/>
      <c r="T1280" s="65"/>
    </row>
    <row r="1281" spans="3:20">
      <c r="C1281" s="65"/>
      <c r="D1281" s="65"/>
      <c r="E1281" s="65"/>
      <c r="F1281" s="65"/>
      <c r="G1281" s="65"/>
      <c r="H1281" s="65"/>
      <c r="I1281" s="65"/>
      <c r="J1281" s="65"/>
      <c r="K1281" s="65"/>
      <c r="L1281" s="65"/>
      <c r="M1281" s="65"/>
      <c r="N1281" s="65"/>
      <c r="O1281" s="65"/>
      <c r="P1281" s="65"/>
      <c r="Q1281" s="65"/>
      <c r="R1281" s="65"/>
      <c r="S1281" s="65"/>
      <c r="T1281" s="65"/>
    </row>
    <row r="1282" spans="3:20">
      <c r="C1282" s="65"/>
      <c r="D1282" s="65"/>
      <c r="E1282" s="65"/>
      <c r="F1282" s="65"/>
      <c r="G1282" s="65"/>
      <c r="H1282" s="65"/>
      <c r="I1282" s="65"/>
      <c r="J1282" s="65"/>
      <c r="K1282" s="65"/>
      <c r="L1282" s="65"/>
      <c r="M1282" s="65"/>
      <c r="N1282" s="65"/>
      <c r="O1282" s="65"/>
      <c r="P1282" s="65"/>
      <c r="Q1282" s="65"/>
      <c r="R1282" s="65"/>
      <c r="S1282" s="65"/>
      <c r="T1282" s="65"/>
    </row>
    <row r="1283" spans="3:20">
      <c r="C1283" s="65"/>
      <c r="D1283" s="65"/>
      <c r="E1283" s="65"/>
      <c r="F1283" s="65"/>
      <c r="G1283" s="65"/>
      <c r="H1283" s="65"/>
      <c r="I1283" s="65"/>
      <c r="J1283" s="65"/>
      <c r="K1283" s="65"/>
      <c r="L1283" s="65"/>
      <c r="M1283" s="65"/>
      <c r="N1283" s="65"/>
      <c r="O1283" s="65"/>
      <c r="P1283" s="65"/>
      <c r="Q1283" s="65"/>
      <c r="R1283" s="65"/>
      <c r="S1283" s="65"/>
      <c r="T1283" s="65"/>
    </row>
    <row r="1284" spans="3:20">
      <c r="C1284" s="65"/>
      <c r="D1284" s="65"/>
      <c r="E1284" s="65"/>
      <c r="F1284" s="65"/>
      <c r="G1284" s="65"/>
      <c r="H1284" s="65"/>
      <c r="I1284" s="65"/>
      <c r="J1284" s="65"/>
      <c r="K1284" s="65"/>
      <c r="L1284" s="65"/>
      <c r="M1284" s="65"/>
      <c r="N1284" s="65"/>
      <c r="O1284" s="65"/>
      <c r="P1284" s="65"/>
      <c r="Q1284" s="65"/>
      <c r="R1284" s="65"/>
      <c r="S1284" s="65"/>
      <c r="T1284" s="65"/>
    </row>
    <row r="1285" spans="3:20">
      <c r="C1285" s="65"/>
      <c r="D1285" s="65"/>
      <c r="E1285" s="65"/>
      <c r="F1285" s="65"/>
      <c r="G1285" s="65"/>
      <c r="H1285" s="65"/>
      <c r="I1285" s="65"/>
      <c r="J1285" s="65"/>
      <c r="K1285" s="65"/>
      <c r="L1285" s="65"/>
      <c r="M1285" s="65"/>
      <c r="N1285" s="65"/>
      <c r="O1285" s="65"/>
      <c r="P1285" s="65"/>
      <c r="Q1285" s="65"/>
      <c r="R1285" s="65"/>
      <c r="S1285" s="65"/>
      <c r="T1285" s="65"/>
    </row>
    <row r="1286" spans="3:20">
      <c r="C1286" s="65"/>
      <c r="D1286" s="65"/>
      <c r="E1286" s="65"/>
      <c r="F1286" s="65"/>
      <c r="G1286" s="65"/>
      <c r="H1286" s="65"/>
      <c r="I1286" s="65"/>
      <c r="J1286" s="65"/>
      <c r="K1286" s="65"/>
      <c r="L1286" s="65"/>
      <c r="M1286" s="65"/>
      <c r="N1286" s="65"/>
      <c r="O1286" s="65"/>
      <c r="P1286" s="65"/>
      <c r="Q1286" s="65"/>
      <c r="R1286" s="65"/>
      <c r="S1286" s="65"/>
      <c r="T1286" s="65"/>
    </row>
    <row r="1287" spans="3:20">
      <c r="C1287" s="65"/>
      <c r="D1287" s="65"/>
      <c r="E1287" s="65"/>
      <c r="F1287" s="65"/>
      <c r="G1287" s="65"/>
      <c r="H1287" s="65"/>
      <c r="I1287" s="65"/>
      <c r="J1287" s="65"/>
      <c r="K1287" s="65"/>
      <c r="L1287" s="65"/>
      <c r="M1287" s="65"/>
      <c r="N1287" s="65"/>
      <c r="O1287" s="65"/>
      <c r="P1287" s="65"/>
      <c r="Q1287" s="65"/>
      <c r="R1287" s="65"/>
      <c r="S1287" s="65"/>
      <c r="T1287" s="65"/>
    </row>
    <row r="1288" spans="3:20">
      <c r="C1288" s="65"/>
      <c r="D1288" s="65"/>
      <c r="E1288" s="65"/>
      <c r="F1288" s="65"/>
      <c r="G1288" s="65"/>
      <c r="H1288" s="65"/>
      <c r="I1288" s="65"/>
      <c r="J1288" s="65"/>
      <c r="K1288" s="65"/>
      <c r="L1288" s="65"/>
      <c r="M1288" s="65"/>
      <c r="N1288" s="65"/>
      <c r="O1288" s="65"/>
      <c r="P1288" s="65"/>
      <c r="Q1288" s="65"/>
      <c r="R1288" s="65"/>
      <c r="S1288" s="65"/>
      <c r="T1288" s="65"/>
    </row>
    <row r="1289" spans="3:20">
      <c r="C1289" s="65"/>
      <c r="D1289" s="65"/>
      <c r="E1289" s="65"/>
      <c r="F1289" s="65"/>
      <c r="G1289" s="65"/>
      <c r="H1289" s="65"/>
      <c r="I1289" s="65"/>
      <c r="J1289" s="65"/>
      <c r="K1289" s="65"/>
      <c r="L1289" s="65"/>
      <c r="M1289" s="65"/>
      <c r="N1289" s="65"/>
      <c r="O1289" s="65"/>
      <c r="P1289" s="65"/>
      <c r="Q1289" s="65"/>
      <c r="R1289" s="65"/>
      <c r="S1289" s="65"/>
      <c r="T1289" s="65"/>
    </row>
    <row r="1290" spans="3:20">
      <c r="C1290" s="65"/>
      <c r="D1290" s="65"/>
      <c r="E1290" s="65"/>
      <c r="F1290" s="65"/>
      <c r="G1290" s="65"/>
      <c r="H1290" s="65"/>
      <c r="I1290" s="65"/>
      <c r="J1290" s="65"/>
      <c r="K1290" s="65"/>
      <c r="L1290" s="65"/>
      <c r="M1290" s="65"/>
      <c r="N1290" s="65"/>
      <c r="O1290" s="65"/>
      <c r="P1290" s="65"/>
      <c r="Q1290" s="65"/>
      <c r="R1290" s="65"/>
      <c r="S1290" s="65"/>
      <c r="T1290" s="65"/>
    </row>
    <row r="1291" spans="3:20">
      <c r="C1291" s="65"/>
      <c r="D1291" s="65"/>
      <c r="E1291" s="65"/>
      <c r="F1291" s="65"/>
      <c r="G1291" s="65"/>
      <c r="H1291" s="65"/>
      <c r="I1291" s="65"/>
      <c r="J1291" s="65"/>
      <c r="K1291" s="65"/>
      <c r="L1291" s="65"/>
      <c r="M1291" s="65"/>
      <c r="N1291" s="65"/>
      <c r="O1291" s="65"/>
      <c r="P1291" s="65"/>
      <c r="Q1291" s="65"/>
      <c r="R1291" s="65"/>
      <c r="S1291" s="65"/>
      <c r="T1291" s="65"/>
    </row>
    <row r="1292" spans="3:20">
      <c r="C1292" s="65"/>
      <c r="D1292" s="65"/>
      <c r="E1292" s="65"/>
      <c r="F1292" s="65"/>
      <c r="G1292" s="65"/>
      <c r="H1292" s="65"/>
      <c r="I1292" s="65"/>
      <c r="J1292" s="65"/>
      <c r="K1292" s="65"/>
      <c r="L1292" s="65"/>
      <c r="M1292" s="65"/>
      <c r="N1292" s="65"/>
      <c r="O1292" s="65"/>
      <c r="P1292" s="65"/>
      <c r="Q1292" s="65"/>
      <c r="R1292" s="65"/>
      <c r="S1292" s="65"/>
      <c r="T1292" s="65"/>
    </row>
    <row r="1293" spans="3:20">
      <c r="C1293" s="65"/>
      <c r="D1293" s="65"/>
      <c r="E1293" s="65"/>
      <c r="F1293" s="65"/>
      <c r="G1293" s="65"/>
      <c r="H1293" s="65"/>
      <c r="I1293" s="65"/>
      <c r="J1293" s="65"/>
      <c r="K1293" s="65"/>
      <c r="L1293" s="65"/>
      <c r="M1293" s="65"/>
      <c r="N1293" s="65"/>
      <c r="O1293" s="65"/>
      <c r="P1293" s="65"/>
      <c r="Q1293" s="65"/>
      <c r="R1293" s="65"/>
      <c r="S1293" s="65"/>
      <c r="T1293" s="65"/>
    </row>
    <row r="1294" spans="3:20">
      <c r="C1294" s="65"/>
      <c r="D1294" s="65"/>
      <c r="E1294" s="65"/>
      <c r="F1294" s="65"/>
      <c r="G1294" s="65"/>
      <c r="H1294" s="65"/>
      <c r="I1294" s="65"/>
      <c r="J1294" s="65"/>
      <c r="K1294" s="65"/>
      <c r="L1294" s="65"/>
      <c r="M1294" s="65"/>
      <c r="N1294" s="65"/>
      <c r="O1294" s="65"/>
      <c r="P1294" s="65"/>
      <c r="Q1294" s="65"/>
      <c r="R1294" s="65"/>
      <c r="S1294" s="65"/>
      <c r="T1294" s="65"/>
    </row>
    <row r="1295" spans="3:20">
      <c r="C1295" s="65"/>
      <c r="D1295" s="65"/>
      <c r="E1295" s="65"/>
      <c r="F1295" s="65"/>
      <c r="G1295" s="65"/>
      <c r="H1295" s="65"/>
      <c r="I1295" s="65"/>
      <c r="J1295" s="65"/>
      <c r="K1295" s="65"/>
      <c r="L1295" s="65"/>
      <c r="M1295" s="65"/>
      <c r="N1295" s="65"/>
      <c r="O1295" s="65"/>
      <c r="P1295" s="65"/>
      <c r="Q1295" s="65"/>
      <c r="R1295" s="65"/>
      <c r="S1295" s="65"/>
      <c r="T1295" s="65"/>
    </row>
    <row r="1296" spans="3:20">
      <c r="C1296" s="65"/>
      <c r="D1296" s="65"/>
      <c r="E1296" s="65"/>
      <c r="F1296" s="65"/>
      <c r="G1296" s="65"/>
      <c r="H1296" s="65"/>
      <c r="I1296" s="65"/>
      <c r="J1296" s="65"/>
      <c r="K1296" s="65"/>
      <c r="L1296" s="65"/>
      <c r="M1296" s="65"/>
      <c r="N1296" s="65"/>
      <c r="O1296" s="65"/>
      <c r="P1296" s="65"/>
      <c r="Q1296" s="65"/>
      <c r="R1296" s="65"/>
      <c r="S1296" s="65"/>
      <c r="T1296" s="65"/>
    </row>
    <row r="1297" spans="3:20">
      <c r="C1297" s="65"/>
      <c r="D1297" s="65"/>
      <c r="E1297" s="65"/>
      <c r="F1297" s="65"/>
      <c r="G1297" s="65"/>
      <c r="H1297" s="65"/>
      <c r="I1297" s="65"/>
      <c r="J1297" s="65"/>
      <c r="K1297" s="65"/>
      <c r="L1297" s="65"/>
      <c r="M1297" s="65"/>
      <c r="N1297" s="65"/>
      <c r="O1297" s="65"/>
      <c r="P1297" s="65"/>
      <c r="Q1297" s="65"/>
      <c r="R1297" s="65"/>
      <c r="S1297" s="65"/>
      <c r="T1297" s="65"/>
    </row>
    <row r="1298" spans="3:20">
      <c r="C1298" s="65"/>
      <c r="D1298" s="65"/>
      <c r="E1298" s="65"/>
      <c r="F1298" s="65"/>
      <c r="G1298" s="65"/>
      <c r="H1298" s="65"/>
      <c r="I1298" s="65"/>
      <c r="J1298" s="65"/>
      <c r="K1298" s="65"/>
      <c r="L1298" s="65"/>
      <c r="M1298" s="65"/>
      <c r="N1298" s="65"/>
      <c r="O1298" s="65"/>
      <c r="P1298" s="65"/>
      <c r="Q1298" s="65"/>
      <c r="R1298" s="65"/>
      <c r="S1298" s="65"/>
      <c r="T1298" s="65"/>
    </row>
    <row r="1299" spans="3:20">
      <c r="C1299" s="65"/>
      <c r="D1299" s="65"/>
      <c r="E1299" s="65"/>
      <c r="F1299" s="65"/>
      <c r="G1299" s="65"/>
      <c r="H1299" s="65"/>
      <c r="I1299" s="65"/>
      <c r="J1299" s="65"/>
      <c r="K1299" s="65"/>
      <c r="L1299" s="65"/>
      <c r="M1299" s="65"/>
      <c r="N1299" s="65"/>
      <c r="O1299" s="65"/>
      <c r="P1299" s="65"/>
      <c r="Q1299" s="65"/>
      <c r="R1299" s="65"/>
      <c r="S1299" s="65"/>
      <c r="T1299" s="65"/>
    </row>
    <row r="1300" spans="3:20">
      <c r="C1300" s="65"/>
      <c r="D1300" s="65"/>
      <c r="E1300" s="65"/>
      <c r="F1300" s="65"/>
      <c r="G1300" s="65"/>
      <c r="H1300" s="65"/>
      <c r="I1300" s="65"/>
      <c r="J1300" s="65"/>
      <c r="K1300" s="65"/>
      <c r="L1300" s="65"/>
      <c r="M1300" s="65"/>
      <c r="N1300" s="65"/>
      <c r="O1300" s="65"/>
      <c r="P1300" s="65"/>
      <c r="Q1300" s="65"/>
      <c r="R1300" s="65"/>
      <c r="S1300" s="65"/>
      <c r="T1300" s="65"/>
    </row>
    <row r="1301" spans="3:20">
      <c r="C1301" s="65"/>
      <c r="D1301" s="65"/>
      <c r="E1301" s="65"/>
      <c r="F1301" s="65"/>
      <c r="G1301" s="65"/>
      <c r="H1301" s="65"/>
      <c r="I1301" s="65"/>
      <c r="J1301" s="65"/>
      <c r="K1301" s="65"/>
      <c r="L1301" s="65"/>
      <c r="M1301" s="65"/>
      <c r="N1301" s="65"/>
      <c r="O1301" s="65"/>
      <c r="P1301" s="65"/>
      <c r="Q1301" s="65"/>
      <c r="R1301" s="65"/>
      <c r="S1301" s="65"/>
      <c r="T1301" s="65"/>
    </row>
    <row r="1302" spans="3:20">
      <c r="C1302" s="65"/>
      <c r="D1302" s="65"/>
      <c r="E1302" s="65"/>
      <c r="F1302" s="65"/>
      <c r="G1302" s="65"/>
      <c r="H1302" s="65"/>
      <c r="I1302" s="65"/>
      <c r="J1302" s="65"/>
      <c r="K1302" s="65"/>
      <c r="L1302" s="65"/>
      <c r="M1302" s="65"/>
      <c r="N1302" s="65"/>
      <c r="O1302" s="65"/>
      <c r="P1302" s="65"/>
      <c r="Q1302" s="65"/>
      <c r="R1302" s="65"/>
      <c r="S1302" s="65"/>
      <c r="T1302" s="65"/>
    </row>
    <row r="1303" spans="3:20">
      <c r="C1303" s="65"/>
      <c r="D1303" s="65"/>
      <c r="E1303" s="65"/>
      <c r="F1303" s="65"/>
      <c r="G1303" s="65"/>
      <c r="H1303" s="65"/>
      <c r="I1303" s="65"/>
      <c r="J1303" s="65"/>
      <c r="K1303" s="65"/>
      <c r="L1303" s="65"/>
      <c r="M1303" s="65"/>
      <c r="N1303" s="65"/>
      <c r="O1303" s="65"/>
      <c r="P1303" s="65"/>
      <c r="Q1303" s="65"/>
      <c r="R1303" s="65"/>
      <c r="S1303" s="65"/>
      <c r="T1303" s="65"/>
    </row>
    <row r="1304" spans="3:20">
      <c r="C1304" s="65"/>
      <c r="D1304" s="65"/>
      <c r="E1304" s="65"/>
      <c r="F1304" s="65"/>
      <c r="G1304" s="65"/>
      <c r="H1304" s="65"/>
      <c r="I1304" s="65"/>
      <c r="J1304" s="65"/>
      <c r="K1304" s="65"/>
      <c r="L1304" s="65"/>
      <c r="M1304" s="65"/>
      <c r="N1304" s="65"/>
      <c r="O1304" s="65"/>
      <c r="P1304" s="65"/>
      <c r="Q1304" s="65"/>
      <c r="R1304" s="65"/>
      <c r="S1304" s="65"/>
      <c r="T1304" s="65"/>
    </row>
    <row r="1305" spans="3:20">
      <c r="C1305" s="65"/>
      <c r="D1305" s="65"/>
      <c r="E1305" s="65"/>
      <c r="F1305" s="65"/>
      <c r="G1305" s="65"/>
      <c r="H1305" s="65"/>
      <c r="I1305" s="65"/>
      <c r="J1305" s="65"/>
      <c r="K1305" s="65"/>
      <c r="L1305" s="65"/>
      <c r="M1305" s="65"/>
      <c r="N1305" s="65"/>
      <c r="O1305" s="65"/>
      <c r="P1305" s="65"/>
      <c r="Q1305" s="65"/>
      <c r="R1305" s="65"/>
      <c r="S1305" s="65"/>
      <c r="T1305" s="65"/>
    </row>
    <row r="1306" spans="3:20">
      <c r="C1306" s="65"/>
      <c r="D1306" s="65"/>
      <c r="E1306" s="65"/>
      <c r="F1306" s="65"/>
      <c r="G1306" s="65"/>
      <c r="H1306" s="65"/>
      <c r="I1306" s="65"/>
      <c r="J1306" s="65"/>
      <c r="K1306" s="65"/>
      <c r="L1306" s="65"/>
      <c r="M1306" s="65"/>
      <c r="N1306" s="65"/>
      <c r="O1306" s="65"/>
      <c r="P1306" s="65"/>
      <c r="Q1306" s="65"/>
      <c r="R1306" s="65"/>
      <c r="S1306" s="65"/>
      <c r="T1306" s="65"/>
    </row>
    <row r="1307" spans="3:20">
      <c r="C1307" s="65"/>
      <c r="D1307" s="65"/>
      <c r="E1307" s="65"/>
      <c r="F1307" s="65"/>
      <c r="G1307" s="65"/>
      <c r="H1307" s="65"/>
      <c r="I1307" s="65"/>
      <c r="J1307" s="65"/>
      <c r="K1307" s="65"/>
      <c r="L1307" s="65"/>
      <c r="M1307" s="65"/>
      <c r="N1307" s="65"/>
      <c r="O1307" s="65"/>
      <c r="P1307" s="65"/>
      <c r="Q1307" s="65"/>
      <c r="R1307" s="65"/>
      <c r="S1307" s="65"/>
      <c r="T1307" s="65"/>
    </row>
    <row r="1308" spans="3:20">
      <c r="C1308" s="65"/>
      <c r="D1308" s="65"/>
      <c r="E1308" s="65"/>
      <c r="F1308" s="65"/>
      <c r="G1308" s="65"/>
      <c r="H1308" s="65"/>
      <c r="I1308" s="65"/>
      <c r="J1308" s="65"/>
      <c r="K1308" s="65"/>
      <c r="L1308" s="65"/>
      <c r="M1308" s="65"/>
      <c r="N1308" s="65"/>
      <c r="O1308" s="65"/>
      <c r="P1308" s="65"/>
      <c r="Q1308" s="65"/>
      <c r="R1308" s="65"/>
      <c r="S1308" s="65"/>
      <c r="T1308" s="65"/>
    </row>
    <row r="1309" spans="3:20">
      <c r="C1309" s="65"/>
      <c r="D1309" s="65"/>
      <c r="E1309" s="65"/>
      <c r="F1309" s="65"/>
      <c r="G1309" s="65"/>
      <c r="H1309" s="65"/>
      <c r="I1309" s="65"/>
      <c r="J1309" s="65"/>
      <c r="K1309" s="65"/>
      <c r="L1309" s="65"/>
      <c r="M1309" s="65"/>
      <c r="N1309" s="65"/>
      <c r="O1309" s="65"/>
      <c r="P1309" s="65"/>
      <c r="Q1309" s="65"/>
      <c r="R1309" s="65"/>
      <c r="S1309" s="65"/>
      <c r="T1309" s="65"/>
    </row>
    <row r="1310" spans="3:20">
      <c r="C1310" s="65"/>
      <c r="D1310" s="65"/>
      <c r="E1310" s="65"/>
      <c r="F1310" s="65"/>
      <c r="G1310" s="65"/>
      <c r="H1310" s="65"/>
      <c r="I1310" s="65"/>
      <c r="J1310" s="65"/>
      <c r="K1310" s="65"/>
      <c r="L1310" s="65"/>
      <c r="M1310" s="65"/>
      <c r="N1310" s="65"/>
      <c r="O1310" s="65"/>
      <c r="P1310" s="65"/>
      <c r="Q1310" s="65"/>
      <c r="R1310" s="65"/>
      <c r="S1310" s="65"/>
      <c r="T1310" s="65"/>
    </row>
    <row r="1311" spans="3:20">
      <c r="C1311" s="65"/>
      <c r="D1311" s="65"/>
      <c r="E1311" s="65"/>
      <c r="F1311" s="65"/>
      <c r="G1311" s="65"/>
      <c r="H1311" s="65"/>
      <c r="I1311" s="65"/>
      <c r="J1311" s="65"/>
      <c r="K1311" s="65"/>
      <c r="L1311" s="65"/>
      <c r="M1311" s="65"/>
      <c r="N1311" s="65"/>
      <c r="O1311" s="65"/>
      <c r="P1311" s="65"/>
      <c r="Q1311" s="65"/>
      <c r="R1311" s="65"/>
      <c r="S1311" s="65"/>
      <c r="T1311" s="65"/>
    </row>
    <row r="1312" spans="3:20">
      <c r="C1312" s="65"/>
      <c r="D1312" s="65"/>
      <c r="E1312" s="65"/>
      <c r="F1312" s="65"/>
      <c r="G1312" s="65"/>
      <c r="H1312" s="65"/>
      <c r="I1312" s="65"/>
      <c r="J1312" s="65"/>
      <c r="K1312" s="65"/>
      <c r="L1312" s="65"/>
      <c r="M1312" s="65"/>
      <c r="N1312" s="65"/>
      <c r="O1312" s="65"/>
      <c r="P1312" s="65"/>
      <c r="Q1312" s="65"/>
      <c r="R1312" s="65"/>
      <c r="S1312" s="65"/>
      <c r="T1312" s="65"/>
    </row>
    <row r="1313" spans="3:20">
      <c r="C1313" s="65"/>
      <c r="D1313" s="65"/>
      <c r="E1313" s="65"/>
      <c r="F1313" s="65"/>
      <c r="G1313" s="65"/>
      <c r="H1313" s="65"/>
      <c r="I1313" s="65"/>
      <c r="J1313" s="65"/>
      <c r="K1313" s="65"/>
      <c r="L1313" s="65"/>
      <c r="M1313" s="65"/>
      <c r="N1313" s="65"/>
      <c r="O1313" s="65"/>
      <c r="P1313" s="65"/>
      <c r="Q1313" s="65"/>
      <c r="R1313" s="65"/>
      <c r="S1313" s="65"/>
      <c r="T1313" s="65"/>
    </row>
    <row r="1314" spans="3:20">
      <c r="C1314" s="65"/>
      <c r="D1314" s="65"/>
      <c r="E1314" s="65"/>
      <c r="F1314" s="65"/>
      <c r="G1314" s="65"/>
      <c r="H1314" s="65"/>
      <c r="I1314" s="65"/>
      <c r="J1314" s="65"/>
      <c r="K1314" s="65"/>
      <c r="L1314" s="65"/>
      <c r="M1314" s="65"/>
      <c r="N1314" s="65"/>
      <c r="O1314" s="65"/>
      <c r="P1314" s="65"/>
      <c r="Q1314" s="65"/>
      <c r="R1314" s="65"/>
      <c r="S1314" s="65"/>
      <c r="T1314" s="65"/>
    </row>
    <row r="1315" spans="3:20">
      <c r="C1315" s="65"/>
      <c r="D1315" s="65"/>
      <c r="E1315" s="65"/>
      <c r="F1315" s="65"/>
      <c r="G1315" s="65"/>
      <c r="H1315" s="65"/>
      <c r="I1315" s="65"/>
      <c r="J1315" s="65"/>
      <c r="K1315" s="65"/>
      <c r="L1315" s="65"/>
      <c r="M1315" s="65"/>
      <c r="N1315" s="65"/>
      <c r="O1315" s="65"/>
      <c r="P1315" s="65"/>
      <c r="Q1315" s="65"/>
      <c r="R1315" s="65"/>
      <c r="S1315" s="65"/>
      <c r="T1315" s="65"/>
    </row>
    <row r="1316" spans="3:20">
      <c r="C1316" s="65"/>
      <c r="D1316" s="65"/>
      <c r="E1316" s="65"/>
      <c r="F1316" s="65"/>
      <c r="G1316" s="65"/>
      <c r="H1316" s="65"/>
      <c r="I1316" s="65"/>
      <c r="J1316" s="65"/>
      <c r="K1316" s="65"/>
      <c r="L1316" s="65"/>
      <c r="M1316" s="65"/>
      <c r="N1316" s="65"/>
      <c r="O1316" s="65"/>
      <c r="P1316" s="65"/>
      <c r="Q1316" s="65"/>
      <c r="R1316" s="65"/>
      <c r="S1316" s="65"/>
      <c r="T1316" s="65"/>
    </row>
    <row r="1317" spans="3:20">
      <c r="C1317" s="65"/>
      <c r="D1317" s="65"/>
      <c r="E1317" s="65"/>
      <c r="F1317" s="65"/>
      <c r="G1317" s="65"/>
      <c r="H1317" s="65"/>
      <c r="I1317" s="65"/>
      <c r="J1317" s="65"/>
      <c r="K1317" s="65"/>
      <c r="L1317" s="65"/>
      <c r="M1317" s="65"/>
      <c r="N1317" s="65"/>
      <c r="O1317" s="65"/>
      <c r="P1317" s="65"/>
      <c r="Q1317" s="65"/>
      <c r="R1317" s="65"/>
      <c r="S1317" s="65"/>
      <c r="T1317" s="65"/>
    </row>
    <row r="1318" spans="3:20">
      <c r="C1318" s="65"/>
      <c r="D1318" s="65"/>
      <c r="E1318" s="65"/>
      <c r="F1318" s="65"/>
      <c r="G1318" s="65"/>
      <c r="H1318" s="65"/>
      <c r="I1318" s="65"/>
      <c r="J1318" s="65"/>
      <c r="K1318" s="65"/>
      <c r="L1318" s="65"/>
      <c r="M1318" s="65"/>
      <c r="N1318" s="65"/>
      <c r="O1318" s="65"/>
      <c r="P1318" s="65"/>
      <c r="Q1318" s="65"/>
      <c r="R1318" s="65"/>
      <c r="S1318" s="65"/>
      <c r="T1318" s="65"/>
    </row>
    <row r="1319" spans="3:20">
      <c r="C1319" s="65"/>
      <c r="D1319" s="65"/>
      <c r="E1319" s="65"/>
      <c r="F1319" s="65"/>
      <c r="G1319" s="65"/>
      <c r="H1319" s="65"/>
      <c r="I1319" s="65"/>
      <c r="J1319" s="65"/>
      <c r="K1319" s="65"/>
      <c r="L1319" s="65"/>
      <c r="M1319" s="65"/>
      <c r="N1319" s="65"/>
      <c r="O1319" s="65"/>
      <c r="P1319" s="65"/>
      <c r="Q1319" s="65"/>
      <c r="R1319" s="65"/>
      <c r="S1319" s="65"/>
      <c r="T1319" s="65"/>
    </row>
    <row r="1320" spans="3:20">
      <c r="C1320" s="65"/>
      <c r="D1320" s="65"/>
      <c r="E1320" s="65"/>
      <c r="F1320" s="65"/>
      <c r="G1320" s="65"/>
      <c r="H1320" s="65"/>
      <c r="I1320" s="65"/>
      <c r="J1320" s="65"/>
      <c r="K1320" s="65"/>
      <c r="L1320" s="65"/>
      <c r="M1320" s="65"/>
      <c r="N1320" s="65"/>
      <c r="O1320" s="65"/>
      <c r="P1320" s="65"/>
      <c r="Q1320" s="65"/>
      <c r="R1320" s="65"/>
      <c r="S1320" s="65"/>
      <c r="T1320" s="65"/>
    </row>
    <row r="1321" spans="3:20">
      <c r="C1321" s="65"/>
      <c r="D1321" s="65"/>
      <c r="E1321" s="65"/>
      <c r="F1321" s="65"/>
      <c r="G1321" s="65"/>
      <c r="H1321" s="65"/>
      <c r="I1321" s="65"/>
      <c r="J1321" s="65"/>
      <c r="K1321" s="65"/>
      <c r="L1321" s="65"/>
      <c r="M1321" s="65"/>
      <c r="N1321" s="65"/>
      <c r="O1321" s="65"/>
      <c r="P1321" s="65"/>
      <c r="Q1321" s="65"/>
      <c r="R1321" s="65"/>
      <c r="S1321" s="65"/>
      <c r="T1321" s="65"/>
    </row>
    <row r="1322" spans="3:20">
      <c r="C1322" s="65"/>
      <c r="D1322" s="65"/>
      <c r="E1322" s="65"/>
      <c r="F1322" s="65"/>
      <c r="G1322" s="65"/>
      <c r="H1322" s="65"/>
      <c r="I1322" s="65"/>
      <c r="J1322" s="65"/>
      <c r="K1322" s="65"/>
      <c r="L1322" s="65"/>
      <c r="M1322" s="65"/>
      <c r="N1322" s="65"/>
      <c r="O1322" s="65"/>
      <c r="P1322" s="65"/>
      <c r="Q1322" s="65"/>
      <c r="R1322" s="65"/>
      <c r="S1322" s="65"/>
      <c r="T1322" s="65"/>
    </row>
    <row r="1323" spans="3:20">
      <c r="C1323" s="65"/>
      <c r="D1323" s="65"/>
      <c r="E1323" s="65"/>
      <c r="F1323" s="65"/>
      <c r="G1323" s="65"/>
      <c r="H1323" s="65"/>
      <c r="I1323" s="65"/>
      <c r="J1323" s="65"/>
      <c r="K1323" s="65"/>
      <c r="L1323" s="65"/>
      <c r="M1323" s="65"/>
      <c r="N1323" s="65"/>
      <c r="O1323" s="65"/>
      <c r="P1323" s="65"/>
      <c r="Q1323" s="65"/>
      <c r="R1323" s="65"/>
      <c r="S1323" s="65"/>
      <c r="T1323" s="65"/>
    </row>
    <row r="1324" spans="3:20">
      <c r="C1324" s="65"/>
      <c r="D1324" s="65"/>
      <c r="E1324" s="65"/>
      <c r="F1324" s="65"/>
      <c r="G1324" s="65"/>
      <c r="H1324" s="65"/>
      <c r="I1324" s="65"/>
      <c r="J1324" s="65"/>
      <c r="K1324" s="65"/>
      <c r="L1324" s="65"/>
      <c r="M1324" s="65"/>
      <c r="N1324" s="65"/>
      <c r="O1324" s="65"/>
      <c r="P1324" s="65"/>
      <c r="Q1324" s="65"/>
      <c r="R1324" s="65"/>
      <c r="S1324" s="65"/>
      <c r="T1324" s="65"/>
    </row>
    <row r="1325" spans="3:20">
      <c r="C1325" s="65"/>
      <c r="D1325" s="65"/>
      <c r="E1325" s="65"/>
      <c r="F1325" s="65"/>
      <c r="G1325" s="65"/>
      <c r="H1325" s="65"/>
      <c r="I1325" s="65"/>
      <c r="J1325" s="65"/>
      <c r="K1325" s="65"/>
      <c r="L1325" s="65"/>
      <c r="M1325" s="65"/>
      <c r="N1325" s="65"/>
      <c r="O1325" s="65"/>
      <c r="P1325" s="65"/>
      <c r="Q1325" s="65"/>
      <c r="R1325" s="65"/>
      <c r="S1325" s="65"/>
      <c r="T1325" s="65"/>
    </row>
    <row r="1326" spans="3:20">
      <c r="C1326" s="65"/>
      <c r="D1326" s="65"/>
      <c r="E1326" s="65"/>
      <c r="F1326" s="65"/>
      <c r="G1326" s="65"/>
      <c r="H1326" s="65"/>
      <c r="I1326" s="65"/>
      <c r="J1326" s="65"/>
      <c r="K1326" s="65"/>
      <c r="L1326" s="65"/>
      <c r="M1326" s="65"/>
      <c r="N1326" s="65"/>
      <c r="O1326" s="65"/>
      <c r="P1326" s="65"/>
      <c r="Q1326" s="65"/>
      <c r="R1326" s="65"/>
      <c r="S1326" s="65"/>
      <c r="T1326" s="65"/>
    </row>
    <row r="1327" spans="3:20">
      <c r="C1327" s="65"/>
      <c r="D1327" s="65"/>
      <c r="E1327" s="65"/>
      <c r="F1327" s="65"/>
      <c r="G1327" s="65"/>
      <c r="H1327" s="65"/>
      <c r="I1327" s="65"/>
      <c r="J1327" s="65"/>
      <c r="K1327" s="65"/>
      <c r="L1327" s="65"/>
      <c r="M1327" s="65"/>
      <c r="N1327" s="65"/>
      <c r="O1327" s="65"/>
      <c r="P1327" s="65"/>
      <c r="Q1327" s="65"/>
      <c r="R1327" s="65"/>
      <c r="S1327" s="65"/>
      <c r="T1327" s="65"/>
    </row>
    <row r="1328" spans="3:20">
      <c r="C1328" s="65"/>
      <c r="D1328" s="65"/>
      <c r="E1328" s="65"/>
      <c r="F1328" s="65"/>
      <c r="G1328" s="65"/>
      <c r="H1328" s="65"/>
      <c r="I1328" s="65"/>
      <c r="J1328" s="65"/>
      <c r="K1328" s="65"/>
      <c r="L1328" s="65"/>
      <c r="M1328" s="65"/>
      <c r="N1328" s="65"/>
      <c r="O1328" s="65"/>
      <c r="P1328" s="65"/>
      <c r="Q1328" s="65"/>
      <c r="R1328" s="65"/>
      <c r="S1328" s="65"/>
      <c r="T1328" s="65"/>
    </row>
    <row r="1329" spans="3:20">
      <c r="C1329" s="65"/>
      <c r="D1329" s="65"/>
      <c r="E1329" s="65"/>
      <c r="F1329" s="65"/>
      <c r="G1329" s="65"/>
      <c r="H1329" s="65"/>
      <c r="I1329" s="65"/>
      <c r="J1329" s="65"/>
      <c r="K1329" s="65"/>
      <c r="L1329" s="65"/>
      <c r="M1329" s="65"/>
      <c r="N1329" s="65"/>
      <c r="O1329" s="65"/>
      <c r="P1329" s="65"/>
      <c r="Q1329" s="65"/>
      <c r="R1329" s="65"/>
      <c r="S1329" s="65"/>
      <c r="T1329" s="65"/>
    </row>
    <row r="1330" spans="3:20">
      <c r="C1330" s="65"/>
      <c r="D1330" s="65"/>
      <c r="E1330" s="65"/>
      <c r="F1330" s="65"/>
      <c r="G1330" s="65"/>
      <c r="H1330" s="65"/>
      <c r="I1330" s="65"/>
      <c r="J1330" s="65"/>
      <c r="K1330" s="65"/>
      <c r="L1330" s="65"/>
      <c r="M1330" s="65"/>
      <c r="N1330" s="65"/>
      <c r="O1330" s="65"/>
      <c r="P1330" s="65"/>
      <c r="Q1330" s="65"/>
      <c r="R1330" s="65"/>
      <c r="S1330" s="65"/>
      <c r="T1330" s="65"/>
    </row>
    <row r="1331" spans="3:20">
      <c r="C1331" s="65"/>
      <c r="D1331" s="65"/>
      <c r="E1331" s="65"/>
      <c r="F1331" s="65"/>
      <c r="G1331" s="65"/>
      <c r="H1331" s="65"/>
      <c r="I1331" s="65"/>
      <c r="J1331" s="65"/>
      <c r="K1331" s="65"/>
      <c r="L1331" s="65"/>
      <c r="M1331" s="65"/>
      <c r="N1331" s="65"/>
      <c r="O1331" s="65"/>
      <c r="P1331" s="65"/>
      <c r="Q1331" s="65"/>
      <c r="R1331" s="65"/>
      <c r="S1331" s="65"/>
      <c r="T1331" s="65"/>
    </row>
    <row r="1332" spans="3:20">
      <c r="C1332" s="65"/>
      <c r="D1332" s="65"/>
      <c r="E1332" s="65"/>
      <c r="F1332" s="65"/>
      <c r="G1332" s="65"/>
      <c r="H1332" s="65"/>
      <c r="I1332" s="65"/>
      <c r="J1332" s="65"/>
      <c r="K1332" s="65"/>
      <c r="L1332" s="65"/>
      <c r="M1332" s="65"/>
      <c r="N1332" s="65"/>
      <c r="O1332" s="65"/>
      <c r="P1332" s="65"/>
      <c r="Q1332" s="65"/>
      <c r="R1332" s="65"/>
      <c r="S1332" s="65"/>
      <c r="T1332" s="65"/>
    </row>
    <row r="1333" spans="3:20">
      <c r="C1333" s="65"/>
      <c r="D1333" s="65"/>
      <c r="E1333" s="65"/>
      <c r="F1333" s="65"/>
      <c r="G1333" s="65"/>
      <c r="H1333" s="65"/>
      <c r="I1333" s="65"/>
      <c r="J1333" s="65"/>
      <c r="K1333" s="65"/>
      <c r="L1333" s="65"/>
      <c r="M1333" s="65"/>
      <c r="N1333" s="65"/>
      <c r="O1333" s="65"/>
      <c r="P1333" s="65"/>
      <c r="Q1333" s="65"/>
      <c r="R1333" s="65"/>
      <c r="S1333" s="65"/>
      <c r="T1333" s="65"/>
    </row>
    <row r="1334" spans="3:20">
      <c r="C1334" s="65"/>
      <c r="D1334" s="65"/>
      <c r="E1334" s="65"/>
      <c r="F1334" s="65"/>
      <c r="G1334" s="65"/>
      <c r="H1334" s="65"/>
      <c r="I1334" s="65"/>
      <c r="J1334" s="65"/>
      <c r="K1334" s="65"/>
      <c r="L1334" s="65"/>
      <c r="M1334" s="65"/>
      <c r="N1334" s="65"/>
      <c r="O1334" s="65"/>
      <c r="P1334" s="65"/>
      <c r="Q1334" s="65"/>
      <c r="R1334" s="65"/>
      <c r="S1334" s="65"/>
      <c r="T1334" s="65"/>
    </row>
    <row r="1335" spans="3:20">
      <c r="C1335" s="65"/>
      <c r="D1335" s="65"/>
      <c r="E1335" s="65"/>
      <c r="F1335" s="65"/>
      <c r="G1335" s="65"/>
      <c r="H1335" s="65"/>
      <c r="I1335" s="65"/>
      <c r="J1335" s="65"/>
      <c r="K1335" s="65"/>
      <c r="L1335" s="65"/>
      <c r="M1335" s="65"/>
      <c r="N1335" s="65"/>
      <c r="O1335" s="65"/>
      <c r="P1335" s="65"/>
      <c r="Q1335" s="65"/>
      <c r="R1335" s="65"/>
      <c r="S1335" s="65"/>
      <c r="T1335" s="65"/>
    </row>
    <row r="1336" spans="3:20">
      <c r="C1336" s="65"/>
      <c r="D1336" s="65"/>
      <c r="E1336" s="65"/>
      <c r="F1336" s="65"/>
      <c r="G1336" s="65"/>
      <c r="H1336" s="65"/>
      <c r="I1336" s="65"/>
      <c r="J1336" s="65"/>
      <c r="K1336" s="65"/>
      <c r="L1336" s="65"/>
      <c r="M1336" s="65"/>
      <c r="N1336" s="65"/>
      <c r="O1336" s="65"/>
      <c r="P1336" s="65"/>
      <c r="Q1336" s="65"/>
      <c r="R1336" s="65"/>
      <c r="S1336" s="65"/>
      <c r="T1336" s="65"/>
    </row>
    <row r="1337" spans="3:20">
      <c r="C1337" s="65"/>
      <c r="D1337" s="65"/>
      <c r="E1337" s="65"/>
      <c r="F1337" s="65"/>
      <c r="G1337" s="65"/>
      <c r="H1337" s="65"/>
      <c r="I1337" s="65"/>
      <c r="J1337" s="65"/>
      <c r="K1337" s="65"/>
      <c r="L1337" s="65"/>
      <c r="M1337" s="65"/>
      <c r="N1337" s="65"/>
      <c r="O1337" s="65"/>
      <c r="P1337" s="65"/>
      <c r="Q1337" s="65"/>
      <c r="R1337" s="65"/>
      <c r="S1337" s="65"/>
      <c r="T1337" s="65"/>
    </row>
    <row r="1338" spans="3:20">
      <c r="C1338" s="65"/>
      <c r="D1338" s="65"/>
      <c r="E1338" s="65"/>
      <c r="F1338" s="65"/>
      <c r="G1338" s="65"/>
      <c r="H1338" s="65"/>
      <c r="I1338" s="65"/>
      <c r="J1338" s="65"/>
      <c r="K1338" s="65"/>
      <c r="L1338" s="65"/>
      <c r="M1338" s="65"/>
      <c r="N1338" s="65"/>
      <c r="O1338" s="65"/>
      <c r="P1338" s="65"/>
      <c r="Q1338" s="65"/>
      <c r="R1338" s="65"/>
      <c r="S1338" s="65"/>
      <c r="T1338" s="65"/>
    </row>
    <row r="1339" spans="3:20">
      <c r="C1339" s="65"/>
      <c r="D1339" s="65"/>
      <c r="E1339" s="65"/>
      <c r="F1339" s="65"/>
      <c r="G1339" s="65"/>
      <c r="H1339" s="65"/>
      <c r="I1339" s="65"/>
      <c r="J1339" s="65"/>
      <c r="K1339" s="65"/>
      <c r="L1339" s="65"/>
      <c r="M1339" s="65"/>
      <c r="N1339" s="65"/>
      <c r="O1339" s="65"/>
      <c r="P1339" s="65"/>
      <c r="Q1339" s="65"/>
      <c r="R1339" s="65"/>
      <c r="S1339" s="65"/>
      <c r="T1339" s="65"/>
    </row>
    <row r="1340" spans="3:20">
      <c r="C1340" s="65"/>
      <c r="D1340" s="65"/>
      <c r="E1340" s="65"/>
      <c r="F1340" s="65"/>
      <c r="G1340" s="65"/>
      <c r="H1340" s="65"/>
      <c r="I1340" s="65"/>
      <c r="J1340" s="65"/>
      <c r="K1340" s="65"/>
      <c r="L1340" s="65"/>
      <c r="M1340" s="65"/>
      <c r="N1340" s="65"/>
      <c r="O1340" s="65"/>
      <c r="P1340" s="65"/>
      <c r="Q1340" s="65"/>
      <c r="R1340" s="65"/>
      <c r="S1340" s="65"/>
      <c r="T1340" s="65"/>
    </row>
    <row r="1341" spans="3:20">
      <c r="C1341" s="65"/>
      <c r="D1341" s="65"/>
      <c r="E1341" s="65"/>
      <c r="F1341" s="65"/>
      <c r="G1341" s="65"/>
      <c r="H1341" s="65"/>
      <c r="I1341" s="65"/>
      <c r="J1341" s="65"/>
      <c r="K1341" s="65"/>
      <c r="L1341" s="65"/>
      <c r="M1341" s="65"/>
      <c r="N1341" s="65"/>
      <c r="O1341" s="65"/>
      <c r="P1341" s="65"/>
      <c r="Q1341" s="65"/>
      <c r="R1341" s="65"/>
      <c r="S1341" s="65"/>
      <c r="T1341" s="65"/>
    </row>
    <row r="1342" spans="3:20">
      <c r="C1342" s="65"/>
      <c r="D1342" s="65"/>
      <c r="E1342" s="65"/>
      <c r="F1342" s="65"/>
      <c r="G1342" s="65"/>
      <c r="H1342" s="65"/>
      <c r="I1342" s="65"/>
      <c r="J1342" s="65"/>
      <c r="K1342" s="65"/>
      <c r="L1342" s="65"/>
      <c r="M1342" s="65"/>
      <c r="N1342" s="65"/>
      <c r="O1342" s="65"/>
      <c r="P1342" s="65"/>
      <c r="Q1342" s="65"/>
      <c r="R1342" s="65"/>
      <c r="S1342" s="65"/>
      <c r="T1342" s="65"/>
    </row>
    <row r="1343" spans="3:20">
      <c r="C1343" s="65"/>
      <c r="D1343" s="65"/>
      <c r="E1343" s="65"/>
      <c r="F1343" s="65"/>
      <c r="G1343" s="65"/>
      <c r="H1343" s="65"/>
      <c r="I1343" s="65"/>
      <c r="J1343" s="65"/>
      <c r="K1343" s="65"/>
      <c r="L1343" s="65"/>
      <c r="M1343" s="65"/>
      <c r="N1343" s="65"/>
      <c r="O1343" s="65"/>
      <c r="P1343" s="65"/>
      <c r="Q1343" s="65"/>
      <c r="R1343" s="65"/>
      <c r="S1343" s="65"/>
      <c r="T1343" s="65"/>
    </row>
    <row r="1344" spans="3:20">
      <c r="C1344" s="65"/>
      <c r="D1344" s="65"/>
      <c r="E1344" s="65"/>
      <c r="F1344" s="65"/>
      <c r="G1344" s="65"/>
      <c r="H1344" s="65"/>
      <c r="I1344" s="65"/>
      <c r="J1344" s="65"/>
      <c r="K1344" s="65"/>
      <c r="L1344" s="65"/>
      <c r="M1344" s="65"/>
      <c r="N1344" s="65"/>
      <c r="O1344" s="65"/>
      <c r="P1344" s="65"/>
      <c r="Q1344" s="65"/>
      <c r="R1344" s="65"/>
      <c r="S1344" s="65"/>
      <c r="T1344" s="65"/>
    </row>
    <row r="1345" spans="3:20">
      <c r="C1345" s="65"/>
      <c r="D1345" s="65"/>
      <c r="E1345" s="65"/>
      <c r="F1345" s="65"/>
      <c r="G1345" s="65"/>
      <c r="H1345" s="65"/>
      <c r="I1345" s="65"/>
      <c r="J1345" s="65"/>
      <c r="K1345" s="65"/>
      <c r="L1345" s="65"/>
      <c r="M1345" s="65"/>
      <c r="N1345" s="65"/>
      <c r="O1345" s="65"/>
      <c r="P1345" s="65"/>
      <c r="Q1345" s="65"/>
      <c r="R1345" s="65"/>
      <c r="S1345" s="65"/>
      <c r="T1345" s="65"/>
    </row>
    <row r="1346" spans="3:20">
      <c r="C1346" s="65"/>
      <c r="D1346" s="65"/>
      <c r="E1346" s="65"/>
      <c r="F1346" s="65"/>
      <c r="G1346" s="65"/>
      <c r="H1346" s="65"/>
      <c r="I1346" s="65"/>
      <c r="J1346" s="65"/>
      <c r="K1346" s="65"/>
      <c r="L1346" s="65"/>
      <c r="M1346" s="65"/>
      <c r="N1346" s="65"/>
      <c r="O1346" s="65"/>
      <c r="P1346" s="65"/>
      <c r="Q1346" s="65"/>
      <c r="R1346" s="65"/>
      <c r="S1346" s="65"/>
      <c r="T1346" s="65"/>
    </row>
    <row r="1347" spans="3:20">
      <c r="C1347" s="65"/>
      <c r="D1347" s="65"/>
      <c r="E1347" s="65"/>
      <c r="F1347" s="65"/>
      <c r="G1347" s="65"/>
      <c r="H1347" s="65"/>
      <c r="I1347" s="65"/>
      <c r="J1347" s="65"/>
      <c r="K1347" s="65"/>
      <c r="L1347" s="65"/>
      <c r="M1347" s="65"/>
      <c r="N1347" s="65"/>
      <c r="O1347" s="65"/>
      <c r="P1347" s="65"/>
      <c r="Q1347" s="65"/>
      <c r="R1347" s="65"/>
      <c r="S1347" s="65"/>
      <c r="T1347" s="65"/>
    </row>
    <row r="1348" spans="3:20">
      <c r="C1348" s="65"/>
      <c r="D1348" s="65"/>
      <c r="E1348" s="65"/>
      <c r="F1348" s="65"/>
      <c r="G1348" s="65"/>
      <c r="H1348" s="65"/>
      <c r="I1348" s="65"/>
      <c r="J1348" s="65"/>
      <c r="K1348" s="65"/>
      <c r="L1348" s="65"/>
      <c r="M1348" s="65"/>
      <c r="N1348" s="65"/>
      <c r="O1348" s="65"/>
      <c r="P1348" s="65"/>
      <c r="Q1348" s="65"/>
      <c r="R1348" s="65"/>
      <c r="S1348" s="65"/>
      <c r="T1348" s="65"/>
    </row>
    <row r="1349" spans="3:20">
      <c r="C1349" s="65"/>
      <c r="D1349" s="65"/>
      <c r="E1349" s="65"/>
      <c r="F1349" s="65"/>
      <c r="G1349" s="65"/>
      <c r="H1349" s="65"/>
      <c r="I1349" s="65"/>
      <c r="J1349" s="65"/>
      <c r="K1349" s="65"/>
      <c r="L1349" s="65"/>
      <c r="M1349" s="65"/>
      <c r="N1349" s="65"/>
      <c r="O1349" s="65"/>
      <c r="P1349" s="65"/>
      <c r="Q1349" s="65"/>
      <c r="R1349" s="65"/>
      <c r="S1349" s="65"/>
      <c r="T1349" s="65"/>
    </row>
    <row r="1350" spans="3:20">
      <c r="C1350" s="65"/>
      <c r="D1350" s="65"/>
      <c r="E1350" s="65"/>
      <c r="F1350" s="65"/>
      <c r="G1350" s="65"/>
      <c r="H1350" s="65"/>
      <c r="I1350" s="65"/>
      <c r="J1350" s="65"/>
      <c r="K1350" s="65"/>
      <c r="L1350" s="65"/>
      <c r="M1350" s="65"/>
      <c r="N1350" s="65"/>
      <c r="O1350" s="65"/>
      <c r="P1350" s="65"/>
      <c r="Q1350" s="65"/>
      <c r="R1350" s="65"/>
      <c r="S1350" s="65"/>
      <c r="T1350" s="65"/>
    </row>
    <row r="1351" spans="3:20">
      <c r="C1351" s="65"/>
      <c r="D1351" s="65"/>
      <c r="E1351" s="65"/>
      <c r="F1351" s="65"/>
      <c r="G1351" s="65"/>
      <c r="H1351" s="65"/>
      <c r="I1351" s="65"/>
      <c r="J1351" s="65"/>
      <c r="K1351" s="65"/>
      <c r="L1351" s="65"/>
      <c r="M1351" s="65"/>
      <c r="N1351" s="65"/>
      <c r="O1351" s="65"/>
      <c r="P1351" s="65"/>
      <c r="Q1351" s="65"/>
      <c r="R1351" s="65"/>
      <c r="S1351" s="65"/>
      <c r="T1351" s="65"/>
    </row>
    <row r="1352" spans="3:20">
      <c r="C1352" s="65"/>
      <c r="D1352" s="65"/>
      <c r="E1352" s="65"/>
      <c r="F1352" s="65"/>
      <c r="G1352" s="65"/>
      <c r="H1352" s="65"/>
      <c r="I1352" s="65"/>
      <c r="J1352" s="65"/>
      <c r="K1352" s="65"/>
      <c r="L1352" s="65"/>
      <c r="M1352" s="65"/>
      <c r="N1352" s="65"/>
      <c r="O1352" s="65"/>
      <c r="P1352" s="65"/>
      <c r="Q1352" s="65"/>
      <c r="R1352" s="65"/>
      <c r="S1352" s="65"/>
      <c r="T1352" s="65"/>
    </row>
    <row r="1353" spans="3:20">
      <c r="C1353" s="65"/>
      <c r="D1353" s="65"/>
      <c r="E1353" s="65"/>
      <c r="F1353" s="65"/>
      <c r="G1353" s="65"/>
      <c r="H1353" s="65"/>
      <c r="I1353" s="65"/>
      <c r="J1353" s="65"/>
      <c r="K1353" s="65"/>
      <c r="L1353" s="65"/>
      <c r="M1353" s="65"/>
      <c r="N1353" s="65"/>
      <c r="O1353" s="65"/>
      <c r="P1353" s="65"/>
      <c r="Q1353" s="65"/>
      <c r="R1353" s="65"/>
      <c r="S1353" s="65"/>
      <c r="T1353" s="65"/>
    </row>
    <row r="1354" spans="3:20">
      <c r="C1354" s="65"/>
      <c r="D1354" s="65"/>
      <c r="E1354" s="65"/>
      <c r="F1354" s="65"/>
      <c r="G1354" s="65"/>
      <c r="H1354" s="65"/>
      <c r="I1354" s="65"/>
      <c r="J1354" s="65"/>
      <c r="K1354" s="65"/>
      <c r="L1354" s="65"/>
      <c r="M1354" s="65"/>
      <c r="N1354" s="65"/>
      <c r="O1354" s="65"/>
      <c r="P1354" s="65"/>
      <c r="Q1354" s="65"/>
      <c r="R1354" s="65"/>
      <c r="S1354" s="65"/>
      <c r="T1354" s="65"/>
    </row>
    <row r="1355" spans="3:20">
      <c r="C1355" s="65"/>
      <c r="D1355" s="65"/>
      <c r="E1355" s="65"/>
      <c r="F1355" s="65"/>
      <c r="G1355" s="65"/>
      <c r="H1355" s="65"/>
      <c r="I1355" s="65"/>
      <c r="J1355" s="65"/>
      <c r="K1355" s="65"/>
      <c r="L1355" s="65"/>
      <c r="M1355" s="65"/>
      <c r="N1355" s="65"/>
      <c r="O1355" s="65"/>
      <c r="P1355" s="65"/>
      <c r="Q1355" s="65"/>
      <c r="R1355" s="65"/>
      <c r="S1355" s="65"/>
      <c r="T1355" s="65"/>
    </row>
    <row r="1356" spans="3:20">
      <c r="C1356" s="65"/>
      <c r="D1356" s="65"/>
      <c r="E1356" s="65"/>
      <c r="F1356" s="65"/>
      <c r="G1356" s="65"/>
      <c r="H1356" s="65"/>
      <c r="I1356" s="65"/>
      <c r="J1356" s="65"/>
      <c r="K1356" s="65"/>
      <c r="L1356" s="65"/>
      <c r="M1356" s="65"/>
      <c r="N1356" s="65"/>
      <c r="O1356" s="65"/>
      <c r="P1356" s="65"/>
      <c r="Q1356" s="65"/>
      <c r="R1356" s="65"/>
      <c r="S1356" s="65"/>
      <c r="T1356" s="65"/>
    </row>
    <row r="1357" spans="3:20">
      <c r="C1357" s="65"/>
      <c r="D1357" s="65"/>
      <c r="E1357" s="65"/>
      <c r="F1357" s="65"/>
      <c r="G1357" s="65"/>
      <c r="H1357" s="65"/>
      <c r="I1357" s="65"/>
      <c r="J1357" s="65"/>
      <c r="K1357" s="65"/>
      <c r="L1357" s="65"/>
      <c r="M1357" s="65"/>
      <c r="N1357" s="65"/>
      <c r="O1357" s="65"/>
      <c r="P1357" s="65"/>
      <c r="Q1357" s="65"/>
      <c r="R1357" s="65"/>
      <c r="S1357" s="65"/>
      <c r="T1357" s="65"/>
    </row>
    <row r="1358" spans="3:20">
      <c r="C1358" s="65"/>
      <c r="D1358" s="65"/>
      <c r="E1358" s="65"/>
      <c r="F1358" s="65"/>
      <c r="G1358" s="65"/>
      <c r="H1358" s="65"/>
      <c r="I1358" s="65"/>
      <c r="J1358" s="65"/>
      <c r="K1358" s="65"/>
      <c r="L1358" s="65"/>
      <c r="M1358" s="65"/>
      <c r="N1358" s="65"/>
      <c r="O1358" s="65"/>
      <c r="P1358" s="65"/>
      <c r="Q1358" s="65"/>
      <c r="R1358" s="65"/>
      <c r="S1358" s="65"/>
      <c r="T1358" s="65"/>
    </row>
    <row r="1359" spans="3:20">
      <c r="C1359" s="65"/>
      <c r="D1359" s="65"/>
      <c r="E1359" s="65"/>
      <c r="F1359" s="65"/>
      <c r="G1359" s="65"/>
      <c r="H1359" s="65"/>
      <c r="I1359" s="65"/>
      <c r="J1359" s="65"/>
      <c r="K1359" s="65"/>
      <c r="L1359" s="65"/>
      <c r="M1359" s="65"/>
      <c r="N1359" s="65"/>
      <c r="O1359" s="65"/>
      <c r="P1359" s="65"/>
      <c r="Q1359" s="65"/>
      <c r="R1359" s="65"/>
      <c r="S1359" s="65"/>
      <c r="T1359" s="65"/>
    </row>
    <row r="1360" spans="3:20">
      <c r="C1360" s="65"/>
      <c r="D1360" s="65"/>
      <c r="E1360" s="65"/>
      <c r="F1360" s="65"/>
      <c r="G1360" s="65"/>
      <c r="H1360" s="65"/>
      <c r="I1360" s="65"/>
      <c r="J1360" s="65"/>
      <c r="K1360" s="65"/>
      <c r="L1360" s="65"/>
      <c r="M1360" s="65"/>
      <c r="N1360" s="65"/>
      <c r="O1360" s="65"/>
      <c r="P1360" s="65"/>
      <c r="Q1360" s="65"/>
      <c r="R1360" s="65"/>
      <c r="S1360" s="65"/>
      <c r="T1360" s="65"/>
    </row>
    <row r="1361" spans="3:20">
      <c r="C1361" s="65"/>
      <c r="D1361" s="65"/>
      <c r="E1361" s="65"/>
      <c r="F1361" s="65"/>
      <c r="G1361" s="65"/>
      <c r="H1361" s="65"/>
      <c r="I1361" s="65"/>
      <c r="J1361" s="65"/>
      <c r="K1361" s="65"/>
      <c r="L1361" s="65"/>
      <c r="M1361" s="65"/>
      <c r="N1361" s="65"/>
      <c r="O1361" s="65"/>
      <c r="P1361" s="65"/>
      <c r="Q1361" s="65"/>
      <c r="R1361" s="65"/>
      <c r="S1361" s="65"/>
      <c r="T1361" s="65"/>
    </row>
    <row r="1362" spans="3:20">
      <c r="C1362" s="65"/>
      <c r="D1362" s="65"/>
      <c r="E1362" s="65"/>
      <c r="F1362" s="65"/>
      <c r="G1362" s="65"/>
      <c r="H1362" s="65"/>
      <c r="I1362" s="65"/>
      <c r="J1362" s="65"/>
      <c r="K1362" s="65"/>
      <c r="L1362" s="65"/>
      <c r="M1362" s="65"/>
      <c r="N1362" s="65"/>
      <c r="O1362" s="65"/>
      <c r="P1362" s="65"/>
      <c r="Q1362" s="65"/>
      <c r="R1362" s="65"/>
      <c r="S1362" s="65"/>
      <c r="T1362" s="65"/>
    </row>
    <row r="1363" spans="3:20">
      <c r="C1363" s="65"/>
      <c r="D1363" s="65"/>
      <c r="E1363" s="65"/>
      <c r="F1363" s="65"/>
      <c r="G1363" s="65"/>
      <c r="H1363" s="65"/>
      <c r="I1363" s="65"/>
      <c r="J1363" s="65"/>
      <c r="K1363" s="65"/>
      <c r="L1363" s="65"/>
      <c r="M1363" s="65"/>
      <c r="N1363" s="65"/>
      <c r="O1363" s="65"/>
      <c r="P1363" s="65"/>
      <c r="Q1363" s="65"/>
      <c r="R1363" s="65"/>
      <c r="S1363" s="65"/>
      <c r="T1363" s="65"/>
    </row>
    <row r="1364" spans="3:20">
      <c r="C1364" s="65"/>
      <c r="D1364" s="65"/>
      <c r="E1364" s="65"/>
      <c r="F1364" s="65"/>
      <c r="G1364" s="65"/>
      <c r="H1364" s="65"/>
      <c r="I1364" s="65"/>
      <c r="J1364" s="65"/>
      <c r="K1364" s="65"/>
      <c r="L1364" s="65"/>
      <c r="M1364" s="65"/>
      <c r="N1364" s="65"/>
      <c r="O1364" s="65"/>
      <c r="P1364" s="65"/>
      <c r="Q1364" s="65"/>
      <c r="R1364" s="65"/>
      <c r="S1364" s="65"/>
      <c r="T1364" s="65"/>
    </row>
    <row r="1365" spans="3:20">
      <c r="C1365" s="65"/>
      <c r="D1365" s="65"/>
      <c r="E1365" s="65"/>
      <c r="F1365" s="65"/>
      <c r="G1365" s="65"/>
      <c r="H1365" s="65"/>
      <c r="I1365" s="65"/>
      <c r="J1365" s="65"/>
      <c r="K1365" s="65"/>
      <c r="L1365" s="65"/>
      <c r="M1365" s="65"/>
      <c r="N1365" s="65"/>
      <c r="O1365" s="65"/>
      <c r="P1365" s="65"/>
      <c r="Q1365" s="65"/>
      <c r="R1365" s="65"/>
      <c r="S1365" s="65"/>
      <c r="T1365" s="65"/>
    </row>
    <row r="1366" spans="3:20">
      <c r="C1366" s="65"/>
      <c r="D1366" s="65"/>
      <c r="E1366" s="65"/>
      <c r="F1366" s="65"/>
      <c r="G1366" s="65"/>
      <c r="H1366" s="65"/>
      <c r="I1366" s="65"/>
      <c r="J1366" s="65"/>
      <c r="K1366" s="65"/>
      <c r="L1366" s="65"/>
      <c r="M1366" s="65"/>
      <c r="N1366" s="65"/>
      <c r="O1366" s="65"/>
      <c r="P1366" s="65"/>
      <c r="Q1366" s="65"/>
      <c r="R1366" s="65"/>
      <c r="S1366" s="65"/>
      <c r="T1366" s="65"/>
    </row>
    <row r="1367" spans="3:20">
      <c r="C1367" s="65"/>
      <c r="D1367" s="65"/>
      <c r="E1367" s="65"/>
      <c r="F1367" s="65"/>
      <c r="G1367" s="65"/>
      <c r="H1367" s="65"/>
      <c r="I1367" s="65"/>
      <c r="J1367" s="65"/>
      <c r="K1367" s="65"/>
      <c r="L1367" s="65"/>
      <c r="M1367" s="65"/>
      <c r="N1367" s="65"/>
      <c r="O1367" s="65"/>
      <c r="P1367" s="65"/>
      <c r="Q1367" s="65"/>
      <c r="R1367" s="65"/>
      <c r="S1367" s="65"/>
      <c r="T1367" s="65"/>
    </row>
    <row r="1368" spans="3:20">
      <c r="C1368" s="65"/>
      <c r="D1368" s="65"/>
      <c r="E1368" s="65"/>
      <c r="F1368" s="65"/>
      <c r="G1368" s="65"/>
      <c r="H1368" s="65"/>
      <c r="I1368" s="65"/>
      <c r="J1368" s="65"/>
      <c r="K1368" s="65"/>
      <c r="L1368" s="65"/>
      <c r="M1368" s="65"/>
      <c r="N1368" s="65"/>
      <c r="O1368" s="65"/>
      <c r="P1368" s="65"/>
      <c r="Q1368" s="65"/>
      <c r="R1368" s="65"/>
      <c r="S1368" s="65"/>
      <c r="T1368" s="65"/>
    </row>
    <row r="1369" spans="3:20">
      <c r="C1369" s="65"/>
      <c r="D1369" s="65"/>
      <c r="E1369" s="65"/>
      <c r="F1369" s="65"/>
      <c r="G1369" s="65"/>
      <c r="H1369" s="65"/>
      <c r="I1369" s="65"/>
      <c r="J1369" s="65"/>
      <c r="K1369" s="65"/>
      <c r="L1369" s="65"/>
      <c r="M1369" s="65"/>
      <c r="N1369" s="65"/>
      <c r="O1369" s="65"/>
      <c r="P1369" s="65"/>
      <c r="Q1369" s="65"/>
      <c r="R1369" s="65"/>
      <c r="S1369" s="65"/>
      <c r="T1369" s="65"/>
    </row>
    <row r="1370" spans="3:20">
      <c r="C1370" s="65"/>
      <c r="D1370" s="65"/>
      <c r="E1370" s="65"/>
      <c r="F1370" s="65"/>
      <c r="G1370" s="65"/>
      <c r="H1370" s="65"/>
      <c r="I1370" s="65"/>
      <c r="J1370" s="65"/>
      <c r="K1370" s="65"/>
      <c r="L1370" s="65"/>
      <c r="M1370" s="65"/>
      <c r="N1370" s="65"/>
      <c r="O1370" s="65"/>
      <c r="P1370" s="65"/>
      <c r="Q1370" s="65"/>
      <c r="R1370" s="65"/>
      <c r="S1370" s="65"/>
      <c r="T1370" s="65"/>
    </row>
    <row r="1371" spans="3:20">
      <c r="C1371" s="65"/>
      <c r="D1371" s="65"/>
      <c r="E1371" s="65"/>
      <c r="F1371" s="65"/>
      <c r="G1371" s="65"/>
      <c r="H1371" s="65"/>
      <c r="I1371" s="65"/>
      <c r="J1371" s="65"/>
      <c r="K1371" s="65"/>
      <c r="L1371" s="65"/>
      <c r="M1371" s="65"/>
      <c r="N1371" s="65"/>
      <c r="O1371" s="65"/>
      <c r="P1371" s="65"/>
      <c r="Q1371" s="65"/>
      <c r="R1371" s="65"/>
      <c r="S1371" s="65"/>
      <c r="T1371" s="65"/>
    </row>
    <row r="1372" spans="3:20">
      <c r="C1372" s="65"/>
      <c r="D1372" s="65"/>
      <c r="E1372" s="65"/>
      <c r="F1372" s="65"/>
      <c r="G1372" s="65"/>
      <c r="H1372" s="65"/>
      <c r="I1372" s="65"/>
      <c r="J1372" s="65"/>
      <c r="K1372" s="65"/>
      <c r="L1372" s="65"/>
      <c r="M1372" s="65"/>
      <c r="N1372" s="65"/>
      <c r="O1372" s="65"/>
      <c r="P1372" s="65"/>
      <c r="Q1372" s="65"/>
      <c r="R1372" s="65"/>
      <c r="S1372" s="65"/>
      <c r="T1372" s="65"/>
    </row>
    <row r="1373" spans="3:20">
      <c r="C1373" s="65"/>
      <c r="D1373" s="65"/>
      <c r="E1373" s="65"/>
      <c r="F1373" s="65"/>
      <c r="G1373" s="65"/>
      <c r="H1373" s="65"/>
      <c r="I1373" s="65"/>
      <c r="J1373" s="65"/>
      <c r="K1373" s="65"/>
      <c r="L1373" s="65"/>
      <c r="M1373" s="65"/>
      <c r="N1373" s="65"/>
      <c r="O1373" s="65"/>
      <c r="P1373" s="65"/>
      <c r="Q1373" s="65"/>
      <c r="R1373" s="65"/>
      <c r="S1373" s="65"/>
      <c r="T1373" s="65"/>
    </row>
    <row r="1374" spans="3:20">
      <c r="C1374" s="65"/>
      <c r="D1374" s="65"/>
      <c r="E1374" s="65"/>
      <c r="F1374" s="65"/>
      <c r="G1374" s="65"/>
      <c r="H1374" s="65"/>
      <c r="I1374" s="65"/>
      <c r="J1374" s="65"/>
      <c r="K1374" s="65"/>
      <c r="L1374" s="65"/>
      <c r="M1374" s="65"/>
      <c r="N1374" s="65"/>
      <c r="O1374" s="65"/>
      <c r="P1374" s="65"/>
      <c r="Q1374" s="65"/>
      <c r="R1374" s="65"/>
      <c r="S1374" s="65"/>
      <c r="T1374" s="65"/>
    </row>
    <row r="1375" spans="3:20">
      <c r="C1375" s="65"/>
      <c r="D1375" s="65"/>
      <c r="E1375" s="65"/>
      <c r="F1375" s="65"/>
      <c r="G1375" s="65"/>
      <c r="H1375" s="65"/>
      <c r="I1375" s="65"/>
      <c r="J1375" s="65"/>
      <c r="K1375" s="65"/>
      <c r="L1375" s="65"/>
      <c r="M1375" s="65"/>
      <c r="N1375" s="65"/>
      <c r="O1375" s="65"/>
      <c r="P1375" s="65"/>
      <c r="Q1375" s="65"/>
      <c r="R1375" s="65"/>
      <c r="S1375" s="65"/>
      <c r="T1375" s="65"/>
    </row>
    <row r="1376" spans="3:20">
      <c r="C1376" s="65"/>
      <c r="D1376" s="65"/>
      <c r="E1376" s="65"/>
      <c r="F1376" s="65"/>
      <c r="G1376" s="65"/>
      <c r="H1376" s="65"/>
      <c r="I1376" s="65"/>
      <c r="J1376" s="65"/>
      <c r="K1376" s="65"/>
      <c r="L1376" s="65"/>
      <c r="M1376" s="65"/>
      <c r="N1376" s="65"/>
      <c r="O1376" s="65"/>
      <c r="P1376" s="65"/>
      <c r="Q1376" s="65"/>
      <c r="R1376" s="65"/>
      <c r="S1376" s="65"/>
      <c r="T1376" s="65"/>
    </row>
    <row r="1377" spans="3:20">
      <c r="C1377" s="65"/>
      <c r="D1377" s="65"/>
      <c r="E1377" s="65"/>
      <c r="F1377" s="65"/>
      <c r="G1377" s="65"/>
      <c r="H1377" s="65"/>
      <c r="I1377" s="65"/>
      <c r="J1377" s="65"/>
      <c r="K1377" s="65"/>
      <c r="L1377" s="65"/>
      <c r="M1377" s="65"/>
      <c r="N1377" s="65"/>
      <c r="O1377" s="65"/>
      <c r="P1377" s="65"/>
      <c r="Q1377" s="65"/>
      <c r="R1377" s="65"/>
      <c r="S1377" s="65"/>
      <c r="T1377" s="65"/>
    </row>
    <row r="1378" spans="3:20">
      <c r="C1378" s="65"/>
      <c r="D1378" s="65"/>
      <c r="E1378" s="65"/>
      <c r="F1378" s="65"/>
      <c r="G1378" s="65"/>
      <c r="H1378" s="65"/>
      <c r="I1378" s="65"/>
      <c r="J1378" s="65"/>
      <c r="K1378" s="65"/>
      <c r="L1378" s="65"/>
      <c r="M1378" s="65"/>
      <c r="N1378" s="65"/>
      <c r="O1378" s="65"/>
      <c r="P1378" s="65"/>
      <c r="Q1378" s="65"/>
      <c r="R1378" s="65"/>
      <c r="S1378" s="65"/>
      <c r="T1378" s="65"/>
    </row>
    <row r="1379" spans="3:20">
      <c r="C1379" s="65"/>
      <c r="D1379" s="65"/>
      <c r="E1379" s="65"/>
      <c r="F1379" s="65"/>
      <c r="G1379" s="65"/>
      <c r="H1379" s="65"/>
      <c r="I1379" s="65"/>
      <c r="J1379" s="65"/>
      <c r="K1379" s="65"/>
      <c r="L1379" s="65"/>
      <c r="M1379" s="65"/>
      <c r="N1379" s="65"/>
      <c r="O1379" s="65"/>
      <c r="P1379" s="65"/>
      <c r="Q1379" s="65"/>
      <c r="R1379" s="65"/>
      <c r="S1379" s="65"/>
      <c r="T1379" s="65"/>
    </row>
    <row r="1380" spans="3:20">
      <c r="C1380" s="65"/>
      <c r="D1380" s="65"/>
      <c r="E1380" s="65"/>
      <c r="F1380" s="65"/>
      <c r="G1380" s="65"/>
      <c r="H1380" s="65"/>
      <c r="I1380" s="65"/>
      <c r="J1380" s="65"/>
      <c r="K1380" s="65"/>
      <c r="L1380" s="65"/>
      <c r="M1380" s="65"/>
      <c r="N1380" s="65"/>
      <c r="O1380" s="65"/>
      <c r="P1380" s="65"/>
      <c r="Q1380" s="65"/>
      <c r="R1380" s="65"/>
      <c r="S1380" s="65"/>
      <c r="T1380" s="65"/>
    </row>
    <row r="1381" spans="3:20">
      <c r="C1381" s="65"/>
      <c r="D1381" s="65"/>
      <c r="E1381" s="65"/>
      <c r="F1381" s="65"/>
      <c r="G1381" s="65"/>
      <c r="H1381" s="65"/>
      <c r="I1381" s="65"/>
      <c r="J1381" s="65"/>
      <c r="K1381" s="65"/>
      <c r="L1381" s="65"/>
      <c r="M1381" s="65"/>
      <c r="N1381" s="65"/>
      <c r="O1381" s="65"/>
      <c r="P1381" s="65"/>
      <c r="Q1381" s="65"/>
      <c r="R1381" s="65"/>
      <c r="S1381" s="65"/>
      <c r="T1381" s="65"/>
    </row>
    <row r="1382" spans="3:20">
      <c r="C1382" s="65"/>
      <c r="D1382" s="65"/>
      <c r="E1382" s="65"/>
      <c r="F1382" s="65"/>
      <c r="G1382" s="65"/>
      <c r="H1382" s="65"/>
      <c r="I1382" s="65"/>
      <c r="J1382" s="65"/>
      <c r="K1382" s="65"/>
      <c r="L1382" s="65"/>
      <c r="M1382" s="65"/>
      <c r="N1382" s="65"/>
      <c r="O1382" s="65"/>
      <c r="P1382" s="65"/>
      <c r="Q1382" s="65"/>
      <c r="R1382" s="65"/>
      <c r="S1382" s="65"/>
      <c r="T1382" s="65"/>
    </row>
    <row r="1383" spans="3:20">
      <c r="C1383" s="65"/>
      <c r="D1383" s="65"/>
      <c r="E1383" s="65"/>
      <c r="F1383" s="65"/>
      <c r="G1383" s="65"/>
      <c r="H1383" s="65"/>
      <c r="I1383" s="65"/>
      <c r="J1383" s="65"/>
      <c r="K1383" s="65"/>
      <c r="L1383" s="65"/>
      <c r="M1383" s="65"/>
      <c r="N1383" s="65"/>
      <c r="O1383" s="65"/>
      <c r="P1383" s="65"/>
      <c r="Q1383" s="65"/>
      <c r="R1383" s="65"/>
      <c r="S1383" s="65"/>
      <c r="T1383" s="65"/>
    </row>
    <row r="1384" spans="3:20">
      <c r="C1384" s="65"/>
      <c r="D1384" s="65"/>
      <c r="E1384" s="65"/>
      <c r="F1384" s="65"/>
      <c r="G1384" s="65"/>
      <c r="H1384" s="65"/>
      <c r="I1384" s="65"/>
      <c r="J1384" s="65"/>
      <c r="K1384" s="65"/>
      <c r="L1384" s="65"/>
      <c r="M1384" s="65"/>
      <c r="N1384" s="65"/>
      <c r="O1384" s="65"/>
      <c r="P1384" s="65"/>
      <c r="Q1384" s="65"/>
      <c r="R1384" s="65"/>
      <c r="S1384" s="65"/>
      <c r="T1384" s="65"/>
    </row>
    <row r="1385" spans="3:20">
      <c r="C1385" s="65"/>
      <c r="D1385" s="65"/>
      <c r="E1385" s="65"/>
      <c r="F1385" s="65"/>
      <c r="G1385" s="65"/>
      <c r="H1385" s="65"/>
      <c r="I1385" s="65"/>
      <c r="J1385" s="65"/>
      <c r="K1385" s="65"/>
      <c r="L1385" s="65"/>
      <c r="M1385" s="65"/>
      <c r="N1385" s="65"/>
      <c r="O1385" s="65"/>
      <c r="P1385" s="65"/>
      <c r="Q1385" s="65"/>
      <c r="R1385" s="65"/>
      <c r="S1385" s="65"/>
      <c r="T1385" s="65"/>
    </row>
    <row r="1386" spans="3:20">
      <c r="C1386" s="65"/>
      <c r="D1386" s="65"/>
      <c r="E1386" s="65"/>
      <c r="F1386" s="65"/>
      <c r="G1386" s="65"/>
      <c r="H1386" s="65"/>
      <c r="I1386" s="65"/>
      <c r="J1386" s="65"/>
      <c r="K1386" s="65"/>
      <c r="L1386" s="65"/>
      <c r="M1386" s="65"/>
      <c r="N1386" s="65"/>
      <c r="O1386" s="65"/>
      <c r="P1386" s="65"/>
      <c r="Q1386" s="65"/>
      <c r="R1386" s="65"/>
      <c r="S1386" s="65"/>
      <c r="T1386" s="65"/>
    </row>
    <row r="1387" spans="3:20">
      <c r="C1387" s="65"/>
      <c r="D1387" s="65"/>
      <c r="E1387" s="65"/>
      <c r="F1387" s="65"/>
      <c r="G1387" s="65"/>
      <c r="H1387" s="65"/>
      <c r="I1387" s="65"/>
      <c r="J1387" s="65"/>
      <c r="K1387" s="65"/>
      <c r="L1387" s="65"/>
      <c r="M1387" s="65"/>
      <c r="N1387" s="65"/>
      <c r="O1387" s="65"/>
      <c r="P1387" s="65"/>
      <c r="Q1387" s="65"/>
      <c r="R1387" s="65"/>
      <c r="S1387" s="65"/>
      <c r="T1387" s="65"/>
    </row>
    <row r="1388" spans="3:20">
      <c r="C1388" s="65"/>
      <c r="D1388" s="65"/>
      <c r="E1388" s="65"/>
      <c r="F1388" s="65"/>
      <c r="G1388" s="65"/>
      <c r="H1388" s="65"/>
      <c r="I1388" s="65"/>
      <c r="J1388" s="65"/>
      <c r="K1388" s="65"/>
      <c r="L1388" s="65"/>
      <c r="M1388" s="65"/>
      <c r="N1388" s="65"/>
      <c r="O1388" s="65"/>
      <c r="P1388" s="65"/>
      <c r="Q1388" s="65"/>
      <c r="R1388" s="65"/>
      <c r="S1388" s="65"/>
      <c r="T1388" s="65"/>
    </row>
    <row r="1389" spans="3:20">
      <c r="C1389" s="65"/>
      <c r="D1389" s="65"/>
      <c r="E1389" s="65"/>
      <c r="F1389" s="65"/>
      <c r="G1389" s="65"/>
      <c r="H1389" s="65"/>
      <c r="I1389" s="65"/>
      <c r="J1389" s="65"/>
      <c r="K1389" s="65"/>
      <c r="L1389" s="65"/>
      <c r="M1389" s="65"/>
      <c r="N1389" s="65"/>
      <c r="O1389" s="65"/>
      <c r="P1389" s="65"/>
      <c r="Q1389" s="65"/>
      <c r="R1389" s="65"/>
      <c r="S1389" s="65"/>
      <c r="T1389" s="65"/>
    </row>
    <row r="1390" spans="3:20">
      <c r="C1390" s="65"/>
      <c r="D1390" s="65"/>
      <c r="E1390" s="65"/>
      <c r="F1390" s="65"/>
      <c r="G1390" s="65"/>
      <c r="H1390" s="65"/>
      <c r="I1390" s="65"/>
      <c r="J1390" s="65"/>
      <c r="K1390" s="65"/>
      <c r="L1390" s="65"/>
      <c r="M1390" s="65"/>
      <c r="N1390" s="65"/>
      <c r="O1390" s="65"/>
      <c r="P1390" s="65"/>
      <c r="Q1390" s="65"/>
      <c r="R1390" s="65"/>
      <c r="S1390" s="65"/>
      <c r="T1390" s="65"/>
    </row>
    <row r="1391" spans="3:20">
      <c r="C1391" s="65"/>
      <c r="D1391" s="65"/>
      <c r="E1391" s="65"/>
      <c r="F1391" s="65"/>
      <c r="G1391" s="65"/>
      <c r="H1391" s="65"/>
      <c r="I1391" s="65"/>
      <c r="J1391" s="65"/>
      <c r="K1391" s="65"/>
      <c r="L1391" s="65"/>
      <c r="M1391" s="65"/>
      <c r="N1391" s="65"/>
      <c r="O1391" s="65"/>
      <c r="P1391" s="65"/>
      <c r="Q1391" s="65"/>
      <c r="R1391" s="65"/>
      <c r="S1391" s="65"/>
      <c r="T1391" s="65"/>
    </row>
    <row r="1392" spans="3:20">
      <c r="C1392" s="65"/>
      <c r="D1392" s="65"/>
      <c r="E1392" s="65"/>
      <c r="F1392" s="65"/>
      <c r="G1392" s="65"/>
      <c r="H1392" s="65"/>
      <c r="I1392" s="65"/>
      <c r="J1392" s="65"/>
      <c r="K1392" s="65"/>
      <c r="L1392" s="65"/>
      <c r="M1392" s="65"/>
      <c r="N1392" s="65"/>
      <c r="O1392" s="65"/>
      <c r="P1392" s="65"/>
      <c r="Q1392" s="65"/>
      <c r="R1392" s="65"/>
      <c r="S1392" s="65"/>
      <c r="T1392" s="65"/>
    </row>
    <row r="1393" spans="3:20">
      <c r="C1393" s="65"/>
      <c r="D1393" s="65"/>
      <c r="E1393" s="65"/>
      <c r="F1393" s="65"/>
      <c r="G1393" s="65"/>
      <c r="H1393" s="65"/>
      <c r="I1393" s="65"/>
      <c r="J1393" s="65"/>
      <c r="K1393" s="65"/>
      <c r="L1393" s="65"/>
      <c r="M1393" s="65"/>
      <c r="N1393" s="65"/>
      <c r="O1393" s="65"/>
      <c r="P1393" s="65"/>
      <c r="Q1393" s="65"/>
      <c r="R1393" s="65"/>
      <c r="S1393" s="65"/>
      <c r="T1393" s="65"/>
    </row>
    <row r="1394" spans="3:20">
      <c r="C1394" s="65"/>
      <c r="D1394" s="65"/>
      <c r="E1394" s="65"/>
      <c r="F1394" s="65"/>
      <c r="G1394" s="65"/>
      <c r="H1394" s="65"/>
      <c r="I1394" s="65"/>
      <c r="J1394" s="65"/>
      <c r="K1394" s="65"/>
      <c r="L1394" s="65"/>
      <c r="M1394" s="65"/>
      <c r="N1394" s="65"/>
      <c r="O1394" s="65"/>
      <c r="P1394" s="65"/>
      <c r="Q1394" s="65"/>
      <c r="R1394" s="65"/>
      <c r="S1394" s="65"/>
      <c r="T1394" s="65"/>
    </row>
    <row r="1395" spans="3:20">
      <c r="C1395" s="65"/>
      <c r="D1395" s="65"/>
      <c r="E1395" s="65"/>
      <c r="F1395" s="65"/>
      <c r="G1395" s="65"/>
      <c r="H1395" s="65"/>
      <c r="I1395" s="65"/>
      <c r="J1395" s="65"/>
      <c r="K1395" s="65"/>
      <c r="L1395" s="65"/>
      <c r="M1395" s="65"/>
      <c r="N1395" s="65"/>
      <c r="O1395" s="65"/>
      <c r="P1395" s="65"/>
      <c r="Q1395" s="65"/>
      <c r="R1395" s="65"/>
      <c r="S1395" s="65"/>
      <c r="T1395" s="65"/>
    </row>
    <row r="1396" spans="3:20">
      <c r="C1396" s="65"/>
      <c r="D1396" s="65"/>
      <c r="E1396" s="65"/>
      <c r="F1396" s="65"/>
      <c r="G1396" s="65"/>
      <c r="H1396" s="65"/>
      <c r="I1396" s="65"/>
      <c r="J1396" s="65"/>
      <c r="K1396" s="65"/>
      <c r="L1396" s="65"/>
      <c r="M1396" s="65"/>
      <c r="N1396" s="65"/>
      <c r="O1396" s="65"/>
      <c r="P1396" s="65"/>
      <c r="Q1396" s="65"/>
      <c r="R1396" s="65"/>
      <c r="S1396" s="65"/>
      <c r="T1396" s="65"/>
    </row>
    <row r="1397" spans="3:20">
      <c r="C1397" s="65"/>
      <c r="D1397" s="65"/>
      <c r="E1397" s="65"/>
      <c r="F1397" s="65"/>
      <c r="G1397" s="65"/>
      <c r="H1397" s="65"/>
      <c r="I1397" s="65"/>
      <c r="J1397" s="65"/>
      <c r="K1397" s="65"/>
      <c r="L1397" s="65"/>
      <c r="M1397" s="65"/>
      <c r="N1397" s="65"/>
      <c r="O1397" s="65"/>
      <c r="P1397" s="65"/>
      <c r="Q1397" s="65"/>
      <c r="R1397" s="65"/>
      <c r="S1397" s="65"/>
      <c r="T1397" s="65"/>
    </row>
    <row r="1398" spans="3:20">
      <c r="C1398" s="65"/>
      <c r="D1398" s="65"/>
      <c r="E1398" s="65"/>
      <c r="F1398" s="65"/>
      <c r="G1398" s="65"/>
      <c r="H1398" s="65"/>
      <c r="I1398" s="65"/>
      <c r="J1398" s="65"/>
      <c r="K1398" s="65"/>
      <c r="L1398" s="65"/>
      <c r="M1398" s="65"/>
      <c r="N1398" s="65"/>
      <c r="O1398" s="65"/>
      <c r="P1398" s="65"/>
      <c r="Q1398" s="65"/>
      <c r="R1398" s="65"/>
      <c r="S1398" s="65"/>
      <c r="T1398" s="65"/>
    </row>
    <row r="1399" spans="3:20">
      <c r="C1399" s="65"/>
      <c r="D1399" s="65"/>
      <c r="E1399" s="65"/>
      <c r="F1399" s="65"/>
      <c r="G1399" s="65"/>
      <c r="H1399" s="65"/>
      <c r="I1399" s="65"/>
      <c r="J1399" s="65"/>
      <c r="K1399" s="65"/>
      <c r="L1399" s="65"/>
      <c r="M1399" s="65"/>
      <c r="N1399" s="65"/>
      <c r="O1399" s="65"/>
      <c r="P1399" s="65"/>
      <c r="Q1399" s="65"/>
      <c r="R1399" s="65"/>
      <c r="S1399" s="65"/>
      <c r="T1399" s="65"/>
    </row>
    <row r="1400" spans="3:20">
      <c r="C1400" s="65"/>
      <c r="D1400" s="65"/>
      <c r="E1400" s="65"/>
      <c r="F1400" s="65"/>
      <c r="G1400" s="65"/>
      <c r="H1400" s="65"/>
      <c r="I1400" s="65"/>
      <c r="J1400" s="65"/>
      <c r="K1400" s="65"/>
      <c r="L1400" s="65"/>
      <c r="M1400" s="65"/>
      <c r="N1400" s="65"/>
      <c r="O1400" s="65"/>
      <c r="P1400" s="65"/>
      <c r="Q1400" s="65"/>
      <c r="R1400" s="65"/>
      <c r="S1400" s="65"/>
      <c r="T1400" s="65"/>
    </row>
    <row r="1401" spans="3:20">
      <c r="C1401" s="65"/>
      <c r="D1401" s="65"/>
      <c r="E1401" s="65"/>
      <c r="F1401" s="65"/>
      <c r="G1401" s="65"/>
      <c r="H1401" s="65"/>
      <c r="I1401" s="65"/>
      <c r="J1401" s="65"/>
      <c r="K1401" s="65"/>
      <c r="L1401" s="65"/>
      <c r="M1401" s="65"/>
      <c r="N1401" s="65"/>
      <c r="O1401" s="65"/>
      <c r="P1401" s="65"/>
      <c r="Q1401" s="65"/>
      <c r="R1401" s="65"/>
      <c r="S1401" s="65"/>
      <c r="T1401" s="65"/>
    </row>
    <row r="1402" spans="3:20">
      <c r="C1402" s="65"/>
      <c r="D1402" s="65"/>
      <c r="E1402" s="65"/>
      <c r="F1402" s="65"/>
      <c r="G1402" s="65"/>
      <c r="H1402" s="65"/>
      <c r="I1402" s="65"/>
      <c r="J1402" s="65"/>
      <c r="K1402" s="65"/>
      <c r="L1402" s="65"/>
      <c r="M1402" s="65"/>
      <c r="N1402" s="65"/>
      <c r="O1402" s="65"/>
      <c r="P1402" s="65"/>
      <c r="Q1402" s="65"/>
      <c r="R1402" s="65"/>
      <c r="S1402" s="65"/>
      <c r="T1402" s="65"/>
    </row>
    <row r="1403" spans="3:20">
      <c r="C1403" s="65"/>
      <c r="D1403" s="65"/>
      <c r="E1403" s="65"/>
      <c r="F1403" s="65"/>
      <c r="G1403" s="65"/>
      <c r="H1403" s="65"/>
      <c r="I1403" s="65"/>
      <c r="J1403" s="65"/>
      <c r="K1403" s="65"/>
      <c r="L1403" s="65"/>
      <c r="M1403" s="65"/>
      <c r="N1403" s="65"/>
      <c r="O1403" s="65"/>
      <c r="P1403" s="65"/>
      <c r="Q1403" s="65"/>
      <c r="R1403" s="65"/>
      <c r="S1403" s="65"/>
      <c r="T1403" s="65"/>
    </row>
    <row r="1404" spans="3:20">
      <c r="C1404" s="65"/>
      <c r="D1404" s="65"/>
      <c r="E1404" s="65"/>
      <c r="F1404" s="65"/>
      <c r="G1404" s="65"/>
      <c r="H1404" s="65"/>
      <c r="I1404" s="65"/>
      <c r="J1404" s="65"/>
      <c r="K1404" s="65"/>
      <c r="L1404" s="65"/>
      <c r="M1404" s="65"/>
      <c r="N1404" s="65"/>
      <c r="O1404" s="65"/>
      <c r="P1404" s="65"/>
      <c r="Q1404" s="65"/>
      <c r="R1404" s="65"/>
      <c r="S1404" s="65"/>
      <c r="T1404" s="65"/>
    </row>
    <row r="1405" spans="3:20">
      <c r="C1405" s="65"/>
      <c r="D1405" s="65"/>
      <c r="E1405" s="65"/>
      <c r="F1405" s="65"/>
      <c r="G1405" s="65"/>
      <c r="H1405" s="65"/>
      <c r="I1405" s="65"/>
      <c r="J1405" s="65"/>
      <c r="K1405" s="65"/>
      <c r="L1405" s="65"/>
      <c r="M1405" s="65"/>
      <c r="N1405" s="65"/>
      <c r="O1405" s="65"/>
      <c r="P1405" s="65"/>
      <c r="Q1405" s="65"/>
      <c r="R1405" s="65"/>
      <c r="S1405" s="65"/>
      <c r="T1405" s="65"/>
    </row>
    <row r="1406" spans="3:20">
      <c r="C1406" s="65"/>
      <c r="D1406" s="65"/>
      <c r="E1406" s="65"/>
      <c r="F1406" s="65"/>
      <c r="G1406" s="65"/>
      <c r="H1406" s="65"/>
      <c r="I1406" s="65"/>
      <c r="J1406" s="65"/>
      <c r="K1406" s="65"/>
      <c r="L1406" s="65"/>
      <c r="M1406" s="65"/>
      <c r="N1406" s="65"/>
      <c r="O1406" s="65"/>
      <c r="P1406" s="65"/>
      <c r="Q1406" s="65"/>
      <c r="R1406" s="65"/>
      <c r="S1406" s="65"/>
      <c r="T1406" s="65"/>
    </row>
    <row r="1407" spans="3:20">
      <c r="C1407" s="65"/>
      <c r="D1407" s="65"/>
      <c r="E1407" s="65"/>
      <c r="F1407" s="65"/>
      <c r="G1407" s="65"/>
      <c r="H1407" s="65"/>
      <c r="I1407" s="65"/>
      <c r="J1407" s="65"/>
      <c r="K1407" s="65"/>
      <c r="L1407" s="65"/>
      <c r="M1407" s="65"/>
      <c r="N1407" s="65"/>
      <c r="O1407" s="65"/>
      <c r="P1407" s="65"/>
      <c r="Q1407" s="65"/>
      <c r="R1407" s="65"/>
      <c r="S1407" s="65"/>
      <c r="T1407" s="65"/>
    </row>
    <row r="1408" spans="3:20">
      <c r="C1408" s="65"/>
      <c r="D1408" s="65"/>
      <c r="E1408" s="65"/>
      <c r="F1408" s="65"/>
      <c r="G1408" s="65"/>
      <c r="H1408" s="65"/>
      <c r="I1408" s="65"/>
      <c r="J1408" s="65"/>
      <c r="K1408" s="65"/>
      <c r="L1408" s="65"/>
      <c r="M1408" s="65"/>
      <c r="N1408" s="65"/>
      <c r="O1408" s="65"/>
      <c r="P1408" s="65"/>
      <c r="Q1408" s="65"/>
      <c r="R1408" s="65"/>
      <c r="S1408" s="65"/>
      <c r="T1408" s="65"/>
    </row>
    <row r="1409" spans="3:20">
      <c r="C1409" s="65"/>
      <c r="D1409" s="65"/>
      <c r="E1409" s="65"/>
      <c r="F1409" s="65"/>
      <c r="G1409" s="65"/>
      <c r="H1409" s="65"/>
      <c r="I1409" s="65"/>
      <c r="J1409" s="65"/>
      <c r="K1409" s="65"/>
      <c r="L1409" s="65"/>
      <c r="M1409" s="65"/>
      <c r="N1409" s="65"/>
      <c r="O1409" s="65"/>
      <c r="P1409" s="65"/>
      <c r="Q1409" s="65"/>
      <c r="R1409" s="65"/>
      <c r="S1409" s="65"/>
      <c r="T1409" s="65"/>
    </row>
    <row r="1410" spans="3:20">
      <c r="C1410" s="65"/>
      <c r="D1410" s="65"/>
      <c r="E1410" s="65"/>
      <c r="F1410" s="65"/>
      <c r="G1410" s="65"/>
      <c r="H1410" s="65"/>
      <c r="I1410" s="65"/>
      <c r="J1410" s="65"/>
      <c r="K1410" s="65"/>
      <c r="L1410" s="65"/>
      <c r="M1410" s="65"/>
      <c r="N1410" s="65"/>
      <c r="O1410" s="65"/>
      <c r="P1410" s="65"/>
      <c r="Q1410" s="65"/>
      <c r="R1410" s="65"/>
      <c r="S1410" s="65"/>
      <c r="T1410" s="65"/>
    </row>
    <row r="1411" spans="3:20">
      <c r="C1411" s="65"/>
      <c r="D1411" s="65"/>
      <c r="E1411" s="65"/>
      <c r="F1411" s="65"/>
      <c r="G1411" s="65"/>
      <c r="H1411" s="65"/>
      <c r="I1411" s="65"/>
      <c r="J1411" s="65"/>
      <c r="K1411" s="65"/>
      <c r="L1411" s="65"/>
      <c r="M1411" s="65"/>
      <c r="N1411" s="65"/>
      <c r="O1411" s="65"/>
      <c r="P1411" s="65"/>
      <c r="Q1411" s="65"/>
      <c r="R1411" s="65"/>
      <c r="S1411" s="65"/>
      <c r="T1411" s="65"/>
    </row>
    <row r="1412" spans="3:20">
      <c r="C1412" s="65"/>
      <c r="D1412" s="65"/>
      <c r="E1412" s="65"/>
      <c r="F1412" s="65"/>
      <c r="G1412" s="65"/>
      <c r="H1412" s="65"/>
      <c r="I1412" s="65"/>
      <c r="J1412" s="65"/>
      <c r="K1412" s="65"/>
      <c r="L1412" s="65"/>
      <c r="M1412" s="65"/>
      <c r="N1412" s="65"/>
      <c r="O1412" s="65"/>
      <c r="P1412" s="65"/>
      <c r="Q1412" s="65"/>
      <c r="R1412" s="65"/>
      <c r="S1412" s="65"/>
      <c r="T1412" s="65"/>
    </row>
    <row r="1413" spans="3:20">
      <c r="C1413" s="65"/>
      <c r="D1413" s="65"/>
      <c r="E1413" s="65"/>
      <c r="F1413" s="65"/>
      <c r="G1413" s="65"/>
      <c r="H1413" s="65"/>
      <c r="I1413" s="65"/>
      <c r="J1413" s="65"/>
      <c r="K1413" s="65"/>
      <c r="L1413" s="65"/>
      <c r="M1413" s="65"/>
      <c r="N1413" s="65"/>
      <c r="O1413" s="65"/>
      <c r="P1413" s="65"/>
      <c r="Q1413" s="65"/>
      <c r="R1413" s="65"/>
      <c r="S1413" s="65"/>
      <c r="T1413" s="65"/>
    </row>
    <row r="1414" spans="3:20">
      <c r="C1414" s="65"/>
      <c r="D1414" s="65"/>
      <c r="E1414" s="65"/>
      <c r="F1414" s="65"/>
      <c r="G1414" s="65"/>
      <c r="H1414" s="65"/>
      <c r="I1414" s="65"/>
      <c r="J1414" s="65"/>
      <c r="K1414" s="65"/>
      <c r="L1414" s="65"/>
      <c r="M1414" s="65"/>
      <c r="N1414" s="65"/>
      <c r="O1414" s="65"/>
      <c r="P1414" s="65"/>
      <c r="Q1414" s="65"/>
      <c r="R1414" s="65"/>
      <c r="S1414" s="65"/>
      <c r="T1414" s="65"/>
    </row>
    <row r="1415" spans="3:20">
      <c r="C1415" s="65"/>
      <c r="D1415" s="65"/>
      <c r="E1415" s="65"/>
      <c r="F1415" s="65"/>
      <c r="G1415" s="65"/>
      <c r="H1415" s="65"/>
      <c r="I1415" s="65"/>
      <c r="J1415" s="65"/>
      <c r="K1415" s="65"/>
      <c r="L1415" s="65"/>
      <c r="M1415" s="65"/>
      <c r="N1415" s="65"/>
      <c r="O1415" s="65"/>
      <c r="P1415" s="65"/>
      <c r="Q1415" s="65"/>
      <c r="R1415" s="65"/>
      <c r="S1415" s="65"/>
      <c r="T1415" s="65"/>
    </row>
    <row r="1416" spans="3:20">
      <c r="C1416" s="65"/>
      <c r="D1416" s="65"/>
      <c r="E1416" s="65"/>
      <c r="F1416" s="65"/>
      <c r="G1416" s="65"/>
      <c r="H1416" s="65"/>
      <c r="I1416" s="65"/>
      <c r="J1416" s="65"/>
      <c r="K1416" s="65"/>
      <c r="L1416" s="65"/>
      <c r="M1416" s="65"/>
      <c r="N1416" s="65"/>
      <c r="O1416" s="65"/>
      <c r="P1416" s="65"/>
      <c r="Q1416" s="65"/>
      <c r="R1416" s="65"/>
      <c r="S1416" s="65"/>
      <c r="T1416" s="65"/>
    </row>
    <row r="1417" spans="3:20">
      <c r="C1417" s="65"/>
      <c r="D1417" s="65"/>
      <c r="E1417" s="65"/>
      <c r="F1417" s="65"/>
      <c r="G1417" s="65"/>
      <c r="H1417" s="65"/>
      <c r="I1417" s="65"/>
      <c r="J1417" s="65"/>
      <c r="K1417" s="65"/>
      <c r="L1417" s="65"/>
      <c r="M1417" s="65"/>
      <c r="N1417" s="65"/>
      <c r="O1417" s="65"/>
      <c r="P1417" s="65"/>
      <c r="Q1417" s="65"/>
      <c r="R1417" s="65"/>
      <c r="S1417" s="65"/>
      <c r="T1417" s="65"/>
    </row>
    <row r="1418" spans="3:20">
      <c r="C1418" s="65"/>
      <c r="D1418" s="65"/>
      <c r="E1418" s="65"/>
      <c r="F1418" s="65"/>
      <c r="G1418" s="65"/>
      <c r="H1418" s="65"/>
      <c r="I1418" s="65"/>
      <c r="J1418" s="65"/>
      <c r="K1418" s="65"/>
      <c r="L1418" s="65"/>
      <c r="M1418" s="65"/>
      <c r="N1418" s="65"/>
      <c r="O1418" s="65"/>
      <c r="P1418" s="65"/>
      <c r="Q1418" s="65"/>
      <c r="R1418" s="65"/>
      <c r="S1418" s="65"/>
      <c r="T1418" s="65"/>
    </row>
    <row r="1419" spans="3:20">
      <c r="C1419" s="65"/>
      <c r="D1419" s="65"/>
      <c r="E1419" s="65"/>
      <c r="F1419" s="65"/>
      <c r="G1419" s="65"/>
      <c r="H1419" s="65"/>
      <c r="I1419" s="65"/>
      <c r="J1419" s="65"/>
      <c r="K1419" s="65"/>
      <c r="L1419" s="65"/>
      <c r="M1419" s="65"/>
      <c r="N1419" s="65"/>
      <c r="O1419" s="65"/>
      <c r="P1419" s="65"/>
      <c r="Q1419" s="65"/>
      <c r="R1419" s="65"/>
      <c r="S1419" s="65"/>
      <c r="T1419" s="65"/>
    </row>
    <row r="1420" spans="3:20">
      <c r="C1420" s="65"/>
      <c r="D1420" s="65"/>
      <c r="E1420" s="65"/>
      <c r="F1420" s="65"/>
      <c r="G1420" s="65"/>
      <c r="H1420" s="65"/>
      <c r="I1420" s="65"/>
      <c r="J1420" s="65"/>
      <c r="K1420" s="65"/>
      <c r="L1420" s="65"/>
      <c r="M1420" s="65"/>
      <c r="N1420" s="65"/>
      <c r="O1420" s="65"/>
      <c r="P1420" s="65"/>
      <c r="Q1420" s="65"/>
      <c r="R1420" s="65"/>
      <c r="S1420" s="65"/>
      <c r="T1420" s="65"/>
    </row>
    <row r="1421" spans="3:20">
      <c r="C1421" s="65"/>
      <c r="D1421" s="65"/>
      <c r="E1421" s="65"/>
      <c r="F1421" s="65"/>
      <c r="G1421" s="65"/>
      <c r="H1421" s="65"/>
      <c r="I1421" s="65"/>
      <c r="J1421" s="65"/>
      <c r="K1421" s="65"/>
      <c r="L1421" s="65"/>
      <c r="M1421" s="65"/>
      <c r="N1421" s="65"/>
      <c r="O1421" s="65"/>
      <c r="P1421" s="65"/>
      <c r="Q1421" s="65"/>
      <c r="R1421" s="65"/>
      <c r="S1421" s="65"/>
      <c r="T1421" s="65"/>
    </row>
    <row r="1422" spans="3:20">
      <c r="C1422" s="65"/>
      <c r="D1422" s="65"/>
      <c r="E1422" s="65"/>
      <c r="F1422" s="65"/>
      <c r="G1422" s="65"/>
      <c r="H1422" s="65"/>
      <c r="I1422" s="65"/>
      <c r="J1422" s="65"/>
      <c r="K1422" s="65"/>
      <c r="L1422" s="65"/>
      <c r="M1422" s="65"/>
      <c r="N1422" s="65"/>
      <c r="O1422" s="65"/>
      <c r="P1422" s="65"/>
      <c r="Q1422" s="65"/>
      <c r="R1422" s="65"/>
      <c r="S1422" s="65"/>
      <c r="T1422" s="65"/>
    </row>
    <row r="1423" spans="3:20">
      <c r="C1423" s="65"/>
      <c r="D1423" s="65"/>
      <c r="E1423" s="65"/>
      <c r="F1423" s="65"/>
      <c r="G1423" s="65"/>
      <c r="H1423" s="65"/>
      <c r="I1423" s="65"/>
      <c r="J1423" s="65"/>
      <c r="K1423" s="65"/>
      <c r="L1423" s="65"/>
      <c r="M1423" s="65"/>
      <c r="N1423" s="65"/>
      <c r="O1423" s="65"/>
      <c r="P1423" s="65"/>
      <c r="Q1423" s="65"/>
      <c r="R1423" s="65"/>
      <c r="S1423" s="65"/>
      <c r="T1423" s="65"/>
    </row>
    <row r="1424" spans="3:20">
      <c r="C1424" s="65"/>
      <c r="D1424" s="65"/>
      <c r="E1424" s="65"/>
      <c r="F1424" s="65"/>
      <c r="G1424" s="65"/>
      <c r="H1424" s="65"/>
      <c r="I1424" s="65"/>
      <c r="J1424" s="65"/>
      <c r="K1424" s="65"/>
      <c r="L1424" s="65"/>
      <c r="M1424" s="65"/>
      <c r="N1424" s="65"/>
      <c r="O1424" s="65"/>
      <c r="P1424" s="65"/>
      <c r="Q1424" s="65"/>
      <c r="R1424" s="65"/>
      <c r="S1424" s="65"/>
      <c r="T1424" s="65"/>
    </row>
    <row r="1425" spans="3:20">
      <c r="C1425" s="65"/>
      <c r="D1425" s="65"/>
      <c r="E1425" s="65"/>
      <c r="F1425" s="65"/>
      <c r="G1425" s="65"/>
      <c r="H1425" s="65"/>
      <c r="I1425" s="65"/>
      <c r="J1425" s="65"/>
      <c r="K1425" s="65"/>
      <c r="L1425" s="65"/>
      <c r="M1425" s="65"/>
      <c r="N1425" s="65"/>
      <c r="O1425" s="65"/>
      <c r="P1425" s="65"/>
      <c r="Q1425" s="65"/>
      <c r="R1425" s="65"/>
      <c r="S1425" s="65"/>
      <c r="T1425" s="65"/>
    </row>
    <row r="1426" spans="3:20">
      <c r="C1426" s="65"/>
      <c r="D1426" s="65"/>
      <c r="E1426" s="65"/>
      <c r="F1426" s="65"/>
      <c r="G1426" s="65"/>
      <c r="H1426" s="65"/>
      <c r="I1426" s="65"/>
      <c r="J1426" s="65"/>
      <c r="K1426" s="65"/>
      <c r="L1426" s="65"/>
      <c r="M1426" s="65"/>
      <c r="N1426" s="65"/>
      <c r="O1426" s="65"/>
      <c r="P1426" s="65"/>
      <c r="Q1426" s="65"/>
      <c r="R1426" s="65"/>
      <c r="S1426" s="65"/>
      <c r="T1426" s="65"/>
    </row>
    <row r="1427" spans="3:20">
      <c r="C1427" s="65"/>
      <c r="D1427" s="65"/>
      <c r="E1427" s="65"/>
      <c r="F1427" s="65"/>
      <c r="G1427" s="65"/>
      <c r="H1427" s="65"/>
      <c r="I1427" s="65"/>
      <c r="J1427" s="65"/>
      <c r="K1427" s="65"/>
      <c r="L1427" s="65"/>
      <c r="M1427" s="65"/>
      <c r="N1427" s="65"/>
      <c r="O1427" s="65"/>
      <c r="P1427" s="65"/>
      <c r="Q1427" s="65"/>
      <c r="R1427" s="65"/>
      <c r="S1427" s="65"/>
      <c r="T1427" s="65"/>
    </row>
    <row r="1428" spans="3:20">
      <c r="C1428" s="65"/>
      <c r="D1428" s="65"/>
      <c r="E1428" s="65"/>
      <c r="F1428" s="65"/>
      <c r="G1428" s="65"/>
      <c r="H1428" s="65"/>
      <c r="I1428" s="65"/>
      <c r="J1428" s="65"/>
      <c r="K1428" s="65"/>
      <c r="L1428" s="65"/>
      <c r="M1428" s="65"/>
      <c r="N1428" s="65"/>
      <c r="O1428" s="65"/>
      <c r="P1428" s="65"/>
      <c r="Q1428" s="65"/>
      <c r="R1428" s="65"/>
      <c r="S1428" s="65"/>
      <c r="T1428" s="65"/>
    </row>
    <row r="1429" spans="3:20">
      <c r="C1429" s="65"/>
      <c r="D1429" s="65"/>
      <c r="E1429" s="65"/>
      <c r="F1429" s="65"/>
      <c r="G1429" s="65"/>
      <c r="H1429" s="65"/>
      <c r="I1429" s="65"/>
      <c r="J1429" s="65"/>
      <c r="K1429" s="65"/>
      <c r="L1429" s="65"/>
      <c r="M1429" s="65"/>
      <c r="N1429" s="65"/>
      <c r="O1429" s="65"/>
      <c r="P1429" s="65"/>
      <c r="Q1429" s="65"/>
      <c r="R1429" s="65"/>
      <c r="S1429" s="65"/>
      <c r="T1429" s="65"/>
    </row>
    <row r="1430" spans="3:20">
      <c r="C1430" s="65"/>
      <c r="D1430" s="65"/>
      <c r="E1430" s="65"/>
      <c r="F1430" s="65"/>
      <c r="G1430" s="65"/>
      <c r="H1430" s="65"/>
      <c r="I1430" s="65"/>
      <c r="J1430" s="65"/>
      <c r="K1430" s="65"/>
      <c r="L1430" s="65"/>
      <c r="M1430" s="65"/>
      <c r="N1430" s="65"/>
      <c r="O1430" s="65"/>
      <c r="P1430" s="65"/>
      <c r="Q1430" s="65"/>
      <c r="R1430" s="65"/>
      <c r="S1430" s="65"/>
      <c r="T1430" s="65"/>
    </row>
    <row r="1431" spans="3:20">
      <c r="C1431" s="65"/>
      <c r="D1431" s="65"/>
      <c r="E1431" s="65"/>
      <c r="F1431" s="65"/>
      <c r="G1431" s="65"/>
      <c r="H1431" s="65"/>
      <c r="I1431" s="65"/>
      <c r="J1431" s="65"/>
      <c r="K1431" s="65"/>
      <c r="L1431" s="65"/>
      <c r="M1431" s="65"/>
      <c r="N1431" s="65"/>
      <c r="O1431" s="65"/>
      <c r="P1431" s="65"/>
      <c r="Q1431" s="65"/>
      <c r="R1431" s="65"/>
      <c r="S1431" s="65"/>
      <c r="T1431" s="65"/>
    </row>
    <row r="1432" spans="3:20">
      <c r="C1432" s="65"/>
      <c r="D1432" s="65"/>
      <c r="E1432" s="65"/>
      <c r="F1432" s="65"/>
      <c r="G1432" s="65"/>
      <c r="H1432" s="65"/>
      <c r="I1432" s="65"/>
      <c r="J1432" s="65"/>
      <c r="K1432" s="65"/>
      <c r="L1432" s="65"/>
      <c r="M1432" s="65"/>
      <c r="N1432" s="65"/>
      <c r="O1432" s="65"/>
      <c r="P1432" s="65"/>
      <c r="Q1432" s="65"/>
      <c r="R1432" s="65"/>
      <c r="S1432" s="65"/>
      <c r="T1432" s="65"/>
    </row>
    <row r="1433" spans="3:20">
      <c r="C1433" s="65"/>
      <c r="D1433" s="65"/>
      <c r="E1433" s="65"/>
      <c r="F1433" s="65"/>
      <c r="G1433" s="65"/>
      <c r="H1433" s="65"/>
      <c r="I1433" s="65"/>
      <c r="J1433" s="65"/>
      <c r="K1433" s="65"/>
      <c r="L1433" s="65"/>
      <c r="M1433" s="65"/>
      <c r="N1433" s="65"/>
      <c r="O1433" s="65"/>
      <c r="P1433" s="65"/>
      <c r="Q1433" s="65"/>
      <c r="R1433" s="65"/>
      <c r="S1433" s="65"/>
      <c r="T1433" s="65"/>
    </row>
    <row r="1434" spans="3:20">
      <c r="C1434" s="65"/>
      <c r="D1434" s="65"/>
      <c r="E1434" s="65"/>
      <c r="F1434" s="65"/>
      <c r="G1434" s="65"/>
      <c r="H1434" s="65"/>
      <c r="I1434" s="65"/>
      <c r="J1434" s="65"/>
      <c r="K1434" s="65"/>
      <c r="L1434" s="65"/>
      <c r="M1434" s="65"/>
      <c r="N1434" s="65"/>
      <c r="O1434" s="65"/>
      <c r="P1434" s="65"/>
      <c r="Q1434" s="65"/>
      <c r="R1434" s="65"/>
      <c r="S1434" s="65"/>
      <c r="T1434" s="65"/>
    </row>
    <row r="1435" spans="3:20">
      <c r="C1435" s="65"/>
      <c r="D1435" s="65"/>
      <c r="E1435" s="65"/>
      <c r="F1435" s="65"/>
      <c r="G1435" s="65"/>
      <c r="H1435" s="65"/>
      <c r="I1435" s="65"/>
      <c r="J1435" s="65"/>
      <c r="K1435" s="65"/>
      <c r="L1435" s="65"/>
      <c r="M1435" s="65"/>
      <c r="N1435" s="65"/>
      <c r="O1435" s="65"/>
      <c r="P1435" s="65"/>
      <c r="Q1435" s="65"/>
      <c r="R1435" s="65"/>
      <c r="S1435" s="65"/>
      <c r="T1435" s="65"/>
    </row>
    <row r="1436" spans="3:20">
      <c r="C1436" s="65"/>
      <c r="D1436" s="65"/>
      <c r="E1436" s="65"/>
      <c r="F1436" s="65"/>
      <c r="G1436" s="65"/>
      <c r="H1436" s="65"/>
      <c r="I1436" s="65"/>
      <c r="J1436" s="65"/>
      <c r="K1436" s="65"/>
      <c r="L1436" s="65"/>
      <c r="M1436" s="65"/>
      <c r="N1436" s="65"/>
      <c r="O1436" s="65"/>
      <c r="P1436" s="65"/>
      <c r="Q1436" s="65"/>
      <c r="R1436" s="65"/>
      <c r="S1436" s="65"/>
      <c r="T1436" s="65"/>
    </row>
    <row r="1437" spans="3:20">
      <c r="C1437" s="65"/>
      <c r="D1437" s="65"/>
      <c r="E1437" s="65"/>
      <c r="F1437" s="65"/>
      <c r="G1437" s="65"/>
      <c r="H1437" s="65"/>
      <c r="I1437" s="65"/>
      <c r="J1437" s="65"/>
      <c r="K1437" s="65"/>
      <c r="L1437" s="65"/>
      <c r="M1437" s="65"/>
      <c r="N1437" s="65"/>
      <c r="O1437" s="65"/>
      <c r="P1437" s="65"/>
      <c r="Q1437" s="65"/>
      <c r="R1437" s="65"/>
      <c r="S1437" s="65"/>
      <c r="T1437" s="65"/>
    </row>
    <row r="1438" spans="3:20">
      <c r="C1438" s="65"/>
      <c r="D1438" s="65"/>
      <c r="E1438" s="65"/>
      <c r="F1438" s="65"/>
      <c r="G1438" s="65"/>
      <c r="H1438" s="65"/>
      <c r="I1438" s="65"/>
      <c r="J1438" s="65"/>
      <c r="K1438" s="65"/>
      <c r="L1438" s="65"/>
      <c r="M1438" s="65"/>
      <c r="N1438" s="65"/>
      <c r="O1438" s="65"/>
      <c r="P1438" s="65"/>
      <c r="Q1438" s="65"/>
      <c r="R1438" s="65"/>
      <c r="S1438" s="65"/>
      <c r="T1438" s="65"/>
    </row>
    <row r="1439" spans="3:20">
      <c r="C1439" s="65"/>
      <c r="D1439" s="65"/>
      <c r="E1439" s="65"/>
      <c r="F1439" s="65"/>
      <c r="G1439" s="65"/>
      <c r="H1439" s="65"/>
      <c r="I1439" s="65"/>
      <c r="J1439" s="65"/>
      <c r="K1439" s="65"/>
      <c r="L1439" s="65"/>
      <c r="M1439" s="65"/>
      <c r="N1439" s="65"/>
      <c r="O1439" s="65"/>
      <c r="P1439" s="65"/>
      <c r="Q1439" s="65"/>
      <c r="R1439" s="65"/>
      <c r="S1439" s="65"/>
      <c r="T1439" s="65"/>
    </row>
    <row r="1440" spans="3:20">
      <c r="C1440" s="65"/>
      <c r="D1440" s="65"/>
      <c r="E1440" s="65"/>
      <c r="F1440" s="65"/>
      <c r="G1440" s="65"/>
      <c r="H1440" s="65"/>
      <c r="I1440" s="65"/>
      <c r="J1440" s="65"/>
      <c r="K1440" s="65"/>
      <c r="L1440" s="65"/>
      <c r="M1440" s="65"/>
      <c r="N1440" s="65"/>
      <c r="O1440" s="65"/>
      <c r="P1440" s="65"/>
      <c r="Q1440" s="65"/>
      <c r="R1440" s="65"/>
      <c r="S1440" s="65"/>
      <c r="T1440" s="65"/>
    </row>
    <row r="1441" spans="3:20">
      <c r="C1441" s="65"/>
      <c r="D1441" s="65"/>
      <c r="E1441" s="65"/>
      <c r="F1441" s="65"/>
      <c r="G1441" s="65"/>
      <c r="H1441" s="65"/>
      <c r="I1441" s="65"/>
      <c r="J1441" s="65"/>
      <c r="K1441" s="65"/>
      <c r="L1441" s="65"/>
      <c r="M1441" s="65"/>
      <c r="N1441" s="65"/>
      <c r="O1441" s="65"/>
      <c r="P1441" s="65"/>
      <c r="Q1441" s="65"/>
      <c r="R1441" s="65"/>
      <c r="S1441" s="65"/>
      <c r="T1441" s="65"/>
    </row>
    <row r="1442" spans="3:20">
      <c r="C1442" s="65"/>
      <c r="D1442" s="65"/>
      <c r="E1442" s="65"/>
      <c r="F1442" s="65"/>
      <c r="G1442" s="65"/>
      <c r="H1442" s="65"/>
      <c r="I1442" s="65"/>
      <c r="J1442" s="65"/>
      <c r="K1442" s="65"/>
      <c r="L1442" s="65"/>
      <c r="M1442" s="65"/>
      <c r="N1442" s="65"/>
      <c r="O1442" s="65"/>
      <c r="P1442" s="65"/>
      <c r="Q1442" s="65"/>
      <c r="R1442" s="65"/>
      <c r="S1442" s="65"/>
      <c r="T1442" s="65"/>
    </row>
    <row r="1443" spans="3:20">
      <c r="C1443" s="65"/>
      <c r="D1443" s="65"/>
      <c r="E1443" s="65"/>
      <c r="F1443" s="65"/>
      <c r="G1443" s="65"/>
      <c r="H1443" s="65"/>
      <c r="I1443" s="65"/>
      <c r="J1443" s="65"/>
      <c r="K1443" s="65"/>
      <c r="L1443" s="65"/>
      <c r="M1443" s="65"/>
      <c r="N1443" s="65"/>
      <c r="O1443" s="65"/>
      <c r="P1443" s="65"/>
      <c r="Q1443" s="65"/>
      <c r="R1443" s="65"/>
      <c r="S1443" s="65"/>
      <c r="T1443" s="65"/>
    </row>
    <row r="1444" spans="3:20">
      <c r="C1444" s="65"/>
      <c r="D1444" s="65"/>
      <c r="E1444" s="65"/>
      <c r="F1444" s="65"/>
      <c r="G1444" s="65"/>
      <c r="H1444" s="65"/>
      <c r="I1444" s="65"/>
      <c r="J1444" s="65"/>
      <c r="K1444" s="65"/>
      <c r="L1444" s="65"/>
      <c r="M1444" s="65"/>
      <c r="N1444" s="65"/>
      <c r="O1444" s="65"/>
      <c r="P1444" s="65"/>
      <c r="Q1444" s="65"/>
      <c r="R1444" s="65"/>
      <c r="S1444" s="65"/>
      <c r="T1444" s="65"/>
    </row>
    <row r="1445" spans="3:20">
      <c r="C1445" s="65"/>
      <c r="D1445" s="65"/>
      <c r="E1445" s="65"/>
      <c r="F1445" s="65"/>
      <c r="G1445" s="65"/>
      <c r="H1445" s="65"/>
      <c r="I1445" s="65"/>
      <c r="J1445" s="65"/>
      <c r="K1445" s="65"/>
      <c r="L1445" s="65"/>
      <c r="M1445" s="65"/>
      <c r="N1445" s="65"/>
      <c r="O1445" s="65"/>
      <c r="P1445" s="65"/>
      <c r="Q1445" s="65"/>
      <c r="R1445" s="65"/>
      <c r="S1445" s="65"/>
      <c r="T1445" s="65"/>
    </row>
    <row r="1446" spans="3:20">
      <c r="C1446" s="65"/>
      <c r="D1446" s="65"/>
      <c r="E1446" s="65"/>
      <c r="F1446" s="65"/>
      <c r="G1446" s="65"/>
      <c r="H1446" s="65"/>
      <c r="I1446" s="65"/>
      <c r="J1446" s="65"/>
      <c r="K1446" s="65"/>
      <c r="L1446" s="65"/>
      <c r="M1446" s="65"/>
      <c r="N1446" s="65"/>
      <c r="O1446" s="65"/>
      <c r="P1446" s="65"/>
      <c r="Q1446" s="65"/>
      <c r="R1446" s="65"/>
      <c r="S1446" s="65"/>
      <c r="T1446" s="65"/>
    </row>
    <row r="1447" spans="3:20">
      <c r="C1447" s="65"/>
      <c r="D1447" s="65"/>
      <c r="E1447" s="65"/>
      <c r="F1447" s="65"/>
      <c r="G1447" s="65"/>
      <c r="H1447" s="65"/>
      <c r="I1447" s="65"/>
      <c r="J1447" s="65"/>
      <c r="K1447" s="65"/>
      <c r="L1447" s="65"/>
      <c r="M1447" s="65"/>
      <c r="N1447" s="65"/>
      <c r="O1447" s="65"/>
      <c r="P1447" s="65"/>
      <c r="Q1447" s="65"/>
      <c r="R1447" s="65"/>
      <c r="S1447" s="65"/>
      <c r="T1447" s="65"/>
    </row>
    <row r="1448" spans="3:20">
      <c r="C1448" s="65"/>
      <c r="D1448" s="65"/>
      <c r="E1448" s="65"/>
      <c r="F1448" s="65"/>
      <c r="G1448" s="65"/>
      <c r="H1448" s="65"/>
      <c r="I1448" s="65"/>
      <c r="J1448" s="65"/>
      <c r="K1448" s="65"/>
      <c r="L1448" s="65"/>
      <c r="M1448" s="65"/>
      <c r="N1448" s="65"/>
      <c r="O1448" s="65"/>
      <c r="P1448" s="65"/>
      <c r="Q1448" s="65"/>
      <c r="R1448" s="65"/>
      <c r="S1448" s="65"/>
      <c r="T1448" s="65"/>
    </row>
    <row r="1449" spans="3:20">
      <c r="C1449" s="65"/>
      <c r="D1449" s="65"/>
      <c r="E1449" s="65"/>
      <c r="F1449" s="65"/>
      <c r="G1449" s="65"/>
      <c r="H1449" s="65"/>
      <c r="I1449" s="65"/>
      <c r="J1449" s="65"/>
      <c r="K1449" s="65"/>
      <c r="L1449" s="65"/>
      <c r="M1449" s="65"/>
      <c r="N1449" s="65"/>
      <c r="O1449" s="65"/>
      <c r="P1449" s="65"/>
      <c r="Q1449" s="65"/>
      <c r="R1449" s="65"/>
      <c r="S1449" s="65"/>
      <c r="T1449" s="65"/>
    </row>
    <row r="1450" spans="3:20">
      <c r="C1450" s="65"/>
      <c r="D1450" s="65"/>
      <c r="E1450" s="65"/>
      <c r="F1450" s="65"/>
      <c r="G1450" s="65"/>
      <c r="H1450" s="65"/>
      <c r="I1450" s="65"/>
      <c r="J1450" s="65"/>
      <c r="K1450" s="65"/>
      <c r="L1450" s="65"/>
      <c r="M1450" s="65"/>
      <c r="N1450" s="65"/>
      <c r="O1450" s="65"/>
      <c r="P1450" s="65"/>
      <c r="Q1450" s="65"/>
      <c r="R1450" s="65"/>
      <c r="S1450" s="65"/>
      <c r="T1450" s="65"/>
    </row>
    <row r="1451" spans="3:20">
      <c r="C1451" s="65"/>
      <c r="D1451" s="65"/>
      <c r="E1451" s="65"/>
      <c r="F1451" s="65"/>
      <c r="G1451" s="65"/>
      <c r="H1451" s="65"/>
      <c r="I1451" s="65"/>
      <c r="J1451" s="65"/>
      <c r="K1451" s="65"/>
      <c r="L1451" s="65"/>
      <c r="M1451" s="65"/>
      <c r="N1451" s="65"/>
      <c r="O1451" s="65"/>
      <c r="P1451" s="65"/>
      <c r="Q1451" s="65"/>
      <c r="R1451" s="65"/>
      <c r="S1451" s="65"/>
      <c r="T1451" s="65"/>
    </row>
    <row r="1452" spans="3:20">
      <c r="C1452" s="65"/>
      <c r="D1452" s="65"/>
      <c r="E1452" s="65"/>
      <c r="F1452" s="65"/>
      <c r="G1452" s="65"/>
      <c r="H1452" s="65"/>
      <c r="I1452" s="65"/>
      <c r="J1452" s="65"/>
      <c r="K1452" s="65"/>
      <c r="L1452" s="65"/>
      <c r="M1452" s="65"/>
      <c r="N1452" s="65"/>
      <c r="O1452" s="65"/>
      <c r="P1452" s="65"/>
      <c r="Q1452" s="65"/>
      <c r="R1452" s="65"/>
      <c r="S1452" s="65"/>
      <c r="T1452" s="65"/>
    </row>
    <row r="1453" spans="3:20">
      <c r="C1453" s="65"/>
      <c r="D1453" s="65"/>
      <c r="E1453" s="65"/>
      <c r="F1453" s="65"/>
      <c r="G1453" s="65"/>
      <c r="H1453" s="65"/>
      <c r="I1453" s="65"/>
      <c r="J1453" s="65"/>
      <c r="K1453" s="65"/>
      <c r="L1453" s="65"/>
      <c r="M1453" s="65"/>
      <c r="N1453" s="65"/>
      <c r="O1453" s="65"/>
      <c r="P1453" s="65"/>
      <c r="Q1453" s="65"/>
      <c r="R1453" s="65"/>
      <c r="S1453" s="65"/>
      <c r="T1453" s="65"/>
    </row>
    <row r="1454" spans="3:20">
      <c r="C1454" s="65"/>
      <c r="D1454" s="65"/>
      <c r="E1454" s="65"/>
      <c r="F1454" s="65"/>
      <c r="G1454" s="65"/>
      <c r="H1454" s="65"/>
      <c r="I1454" s="65"/>
      <c r="J1454" s="65"/>
      <c r="K1454" s="65"/>
      <c r="L1454" s="65"/>
      <c r="M1454" s="65"/>
      <c r="N1454" s="65"/>
      <c r="O1454" s="65"/>
      <c r="P1454" s="65"/>
      <c r="Q1454" s="65"/>
      <c r="R1454" s="65"/>
      <c r="S1454" s="65"/>
      <c r="T1454" s="65"/>
    </row>
    <row r="1455" spans="3:20">
      <c r="C1455" s="65"/>
      <c r="D1455" s="65"/>
      <c r="E1455" s="65"/>
      <c r="F1455" s="65"/>
      <c r="G1455" s="65"/>
      <c r="H1455" s="65"/>
      <c r="I1455" s="65"/>
      <c r="J1455" s="65"/>
      <c r="K1455" s="65"/>
      <c r="L1455" s="65"/>
      <c r="M1455" s="65"/>
      <c r="N1455" s="65"/>
      <c r="O1455" s="65"/>
      <c r="P1455" s="65"/>
      <c r="Q1455" s="65"/>
      <c r="R1455" s="65"/>
      <c r="S1455" s="65"/>
      <c r="T1455" s="65"/>
    </row>
    <row r="1456" spans="3:20">
      <c r="C1456" s="65"/>
      <c r="D1456" s="65"/>
      <c r="E1456" s="65"/>
      <c r="F1456" s="65"/>
      <c r="G1456" s="65"/>
      <c r="H1456" s="65"/>
      <c r="I1456" s="65"/>
      <c r="J1456" s="65"/>
      <c r="K1456" s="65"/>
      <c r="L1456" s="65"/>
      <c r="M1456" s="65"/>
      <c r="N1456" s="65"/>
      <c r="O1456" s="65"/>
      <c r="P1456" s="65"/>
      <c r="Q1456" s="65"/>
      <c r="R1456" s="65"/>
      <c r="S1456" s="65"/>
      <c r="T1456" s="65"/>
    </row>
    <row r="1457" spans="3:20">
      <c r="C1457" s="65"/>
      <c r="D1457" s="65"/>
      <c r="E1457" s="65"/>
      <c r="F1457" s="65"/>
      <c r="G1457" s="65"/>
      <c r="H1457" s="65"/>
      <c r="I1457" s="65"/>
      <c r="J1457" s="65"/>
      <c r="K1457" s="65"/>
      <c r="L1457" s="65"/>
      <c r="M1457" s="65"/>
      <c r="N1457" s="65"/>
      <c r="O1457" s="65"/>
      <c r="P1457" s="65"/>
      <c r="Q1457" s="65"/>
      <c r="R1457" s="65"/>
      <c r="S1457" s="65"/>
      <c r="T1457" s="65"/>
    </row>
    <row r="1458" spans="3:20">
      <c r="C1458" s="65"/>
      <c r="D1458" s="65"/>
      <c r="E1458" s="65"/>
      <c r="F1458" s="65"/>
      <c r="G1458" s="65"/>
      <c r="H1458" s="65"/>
      <c r="I1458" s="65"/>
      <c r="J1458" s="65"/>
      <c r="K1458" s="65"/>
      <c r="L1458" s="65"/>
      <c r="M1458" s="65"/>
      <c r="N1458" s="65"/>
      <c r="O1458" s="65"/>
      <c r="P1458" s="65"/>
      <c r="Q1458" s="65"/>
      <c r="R1458" s="65"/>
      <c r="S1458" s="65"/>
      <c r="T1458" s="65"/>
    </row>
    <row r="1459" spans="3:20">
      <c r="C1459" s="65"/>
      <c r="D1459" s="65"/>
      <c r="E1459" s="65"/>
      <c r="F1459" s="65"/>
      <c r="G1459" s="65"/>
      <c r="H1459" s="65"/>
      <c r="I1459" s="65"/>
      <c r="J1459" s="65"/>
      <c r="K1459" s="65"/>
      <c r="L1459" s="65"/>
      <c r="M1459" s="65"/>
      <c r="N1459" s="65"/>
      <c r="O1459" s="65"/>
      <c r="P1459" s="65"/>
      <c r="Q1459" s="65"/>
      <c r="R1459" s="65"/>
      <c r="S1459" s="65"/>
      <c r="T1459" s="65"/>
    </row>
    <row r="1460" spans="3:20">
      <c r="C1460" s="65"/>
      <c r="D1460" s="65"/>
      <c r="E1460" s="65"/>
      <c r="F1460" s="65"/>
      <c r="G1460" s="65"/>
      <c r="H1460" s="65"/>
      <c r="I1460" s="65"/>
      <c r="J1460" s="65"/>
      <c r="K1460" s="65"/>
      <c r="L1460" s="65"/>
      <c r="M1460" s="65"/>
      <c r="N1460" s="65"/>
      <c r="O1460" s="65"/>
      <c r="P1460" s="65"/>
      <c r="Q1460" s="65"/>
      <c r="R1460" s="65"/>
      <c r="S1460" s="65"/>
      <c r="T1460" s="65"/>
    </row>
    <row r="1461" spans="3:20">
      <c r="C1461" s="65"/>
      <c r="D1461" s="65"/>
      <c r="E1461" s="65"/>
      <c r="F1461" s="65"/>
      <c r="G1461" s="65"/>
      <c r="H1461" s="65"/>
      <c r="I1461" s="65"/>
      <c r="J1461" s="65"/>
      <c r="K1461" s="65"/>
      <c r="L1461" s="65"/>
      <c r="M1461" s="65"/>
      <c r="N1461" s="65"/>
      <c r="O1461" s="65"/>
      <c r="P1461" s="65"/>
      <c r="Q1461" s="65"/>
      <c r="R1461" s="65"/>
      <c r="S1461" s="65"/>
      <c r="T1461" s="65"/>
    </row>
    <row r="1462" spans="3:20">
      <c r="C1462" s="65"/>
      <c r="D1462" s="65"/>
      <c r="E1462" s="65"/>
      <c r="F1462" s="65"/>
      <c r="G1462" s="65"/>
      <c r="H1462" s="65"/>
      <c r="I1462" s="65"/>
      <c r="J1462" s="65"/>
      <c r="K1462" s="65"/>
      <c r="L1462" s="65"/>
      <c r="M1462" s="65"/>
      <c r="N1462" s="65"/>
      <c r="O1462" s="65"/>
      <c r="P1462" s="65"/>
      <c r="Q1462" s="65"/>
      <c r="R1462" s="65"/>
      <c r="S1462" s="65"/>
      <c r="T1462" s="65"/>
    </row>
    <row r="1463" spans="3:20">
      <c r="C1463" s="65"/>
      <c r="D1463" s="65"/>
      <c r="E1463" s="65"/>
      <c r="F1463" s="65"/>
      <c r="G1463" s="65"/>
      <c r="H1463" s="65"/>
      <c r="I1463" s="65"/>
      <c r="J1463" s="65"/>
      <c r="K1463" s="65"/>
      <c r="L1463" s="65"/>
      <c r="M1463" s="65"/>
      <c r="N1463" s="65"/>
      <c r="O1463" s="65"/>
      <c r="P1463" s="65"/>
      <c r="Q1463" s="65"/>
      <c r="R1463" s="65"/>
      <c r="S1463" s="65"/>
      <c r="T1463" s="65"/>
    </row>
    <row r="1464" spans="3:20">
      <c r="C1464" s="65"/>
      <c r="D1464" s="65"/>
      <c r="E1464" s="65"/>
      <c r="F1464" s="65"/>
      <c r="G1464" s="65"/>
      <c r="H1464" s="65"/>
      <c r="I1464" s="65"/>
      <c r="J1464" s="65"/>
      <c r="K1464" s="65"/>
      <c r="L1464" s="65"/>
      <c r="M1464" s="65"/>
      <c r="N1464" s="65"/>
      <c r="O1464" s="65"/>
      <c r="P1464" s="65"/>
      <c r="Q1464" s="65"/>
      <c r="R1464" s="65"/>
      <c r="S1464" s="65"/>
      <c r="T1464" s="65"/>
    </row>
    <row r="1465" spans="3:20">
      <c r="C1465" s="65"/>
      <c r="D1465" s="65"/>
      <c r="E1465" s="65"/>
      <c r="F1465" s="65"/>
      <c r="G1465" s="65"/>
      <c r="H1465" s="65"/>
      <c r="I1465" s="65"/>
      <c r="J1465" s="65"/>
      <c r="K1465" s="65"/>
      <c r="L1465" s="65"/>
      <c r="M1465" s="65"/>
      <c r="N1465" s="65"/>
      <c r="O1465" s="65"/>
      <c r="P1465" s="65"/>
      <c r="Q1465" s="65"/>
      <c r="R1465" s="65"/>
      <c r="S1465" s="65"/>
      <c r="T1465" s="65"/>
    </row>
    <row r="1466" spans="3:20">
      <c r="C1466" s="65"/>
      <c r="D1466" s="65"/>
      <c r="E1466" s="65"/>
      <c r="F1466" s="65"/>
      <c r="G1466" s="65"/>
      <c r="H1466" s="65"/>
      <c r="I1466" s="65"/>
      <c r="J1466" s="65"/>
      <c r="K1466" s="65"/>
      <c r="L1466" s="65"/>
      <c r="M1466" s="65"/>
      <c r="N1466" s="65"/>
      <c r="O1466" s="65"/>
      <c r="P1466" s="65"/>
      <c r="Q1466" s="65"/>
      <c r="R1466" s="65"/>
      <c r="S1466" s="65"/>
      <c r="T1466" s="65"/>
    </row>
    <row r="1467" spans="3:20">
      <c r="C1467" s="65"/>
      <c r="D1467" s="65"/>
      <c r="E1467" s="65"/>
      <c r="F1467" s="65"/>
      <c r="G1467" s="65"/>
      <c r="H1467" s="65"/>
      <c r="I1467" s="65"/>
      <c r="J1467" s="65"/>
      <c r="K1467" s="65"/>
      <c r="L1467" s="65"/>
      <c r="M1467" s="65"/>
      <c r="N1467" s="65"/>
      <c r="O1467" s="65"/>
      <c r="P1467" s="65"/>
      <c r="Q1467" s="65"/>
      <c r="R1467" s="65"/>
      <c r="S1467" s="65"/>
      <c r="T1467" s="65"/>
    </row>
    <row r="1468" spans="3:20">
      <c r="C1468" s="65"/>
      <c r="D1468" s="65"/>
      <c r="E1468" s="65"/>
      <c r="F1468" s="65"/>
      <c r="G1468" s="65"/>
      <c r="H1468" s="65"/>
      <c r="I1468" s="65"/>
      <c r="J1468" s="65"/>
      <c r="K1468" s="65"/>
      <c r="L1468" s="65"/>
      <c r="M1468" s="65"/>
      <c r="N1468" s="65"/>
      <c r="O1468" s="65"/>
      <c r="P1468" s="65"/>
      <c r="Q1468" s="65"/>
      <c r="R1468" s="65"/>
      <c r="S1468" s="65"/>
      <c r="T1468" s="65"/>
    </row>
    <row r="1469" spans="3:20">
      <c r="C1469" s="65"/>
      <c r="D1469" s="65"/>
      <c r="E1469" s="65"/>
      <c r="F1469" s="65"/>
      <c r="G1469" s="65"/>
      <c r="H1469" s="65"/>
      <c r="I1469" s="65"/>
      <c r="J1469" s="65"/>
      <c r="K1469" s="65"/>
      <c r="L1469" s="65"/>
      <c r="M1469" s="65"/>
      <c r="N1469" s="65"/>
      <c r="O1469" s="65"/>
      <c r="P1469" s="65"/>
      <c r="Q1469" s="65"/>
      <c r="R1469" s="65"/>
      <c r="S1469" s="65"/>
      <c r="T1469" s="65"/>
    </row>
    <row r="1470" spans="3:20">
      <c r="C1470" s="65"/>
      <c r="D1470" s="65"/>
      <c r="E1470" s="65"/>
      <c r="F1470" s="65"/>
      <c r="G1470" s="65"/>
      <c r="H1470" s="65"/>
      <c r="I1470" s="65"/>
      <c r="J1470" s="65"/>
      <c r="K1470" s="65"/>
      <c r="L1470" s="65"/>
      <c r="M1470" s="65"/>
      <c r="N1470" s="65"/>
      <c r="O1470" s="65"/>
      <c r="P1470" s="65"/>
      <c r="Q1470" s="65"/>
      <c r="R1470" s="65"/>
      <c r="S1470" s="65"/>
      <c r="T1470" s="65"/>
    </row>
    <row r="1471" spans="3:20">
      <c r="C1471" s="65"/>
      <c r="D1471" s="65"/>
      <c r="E1471" s="65"/>
      <c r="F1471" s="65"/>
      <c r="G1471" s="65"/>
      <c r="H1471" s="65"/>
      <c r="I1471" s="65"/>
      <c r="J1471" s="65"/>
      <c r="K1471" s="65"/>
      <c r="L1471" s="65"/>
      <c r="M1471" s="65"/>
      <c r="N1471" s="65"/>
      <c r="O1471" s="65"/>
      <c r="P1471" s="65"/>
      <c r="Q1471" s="65"/>
      <c r="R1471" s="65"/>
      <c r="S1471" s="65"/>
      <c r="T1471" s="65"/>
    </row>
    <row r="1472" spans="3:20">
      <c r="C1472" s="65"/>
      <c r="D1472" s="65"/>
      <c r="E1472" s="65"/>
      <c r="F1472" s="65"/>
      <c r="G1472" s="65"/>
      <c r="H1472" s="65"/>
      <c r="I1472" s="65"/>
      <c r="J1472" s="65"/>
      <c r="K1472" s="65"/>
      <c r="L1472" s="65"/>
      <c r="M1472" s="65"/>
      <c r="N1472" s="65"/>
      <c r="O1472" s="65"/>
      <c r="P1472" s="65"/>
      <c r="Q1472" s="65"/>
      <c r="R1472" s="65"/>
      <c r="S1472" s="65"/>
      <c r="T1472" s="65"/>
    </row>
    <row r="1473" spans="3:20">
      <c r="C1473" s="65"/>
      <c r="D1473" s="65"/>
      <c r="E1473" s="65"/>
      <c r="F1473" s="65"/>
      <c r="G1473" s="65"/>
      <c r="H1473" s="65"/>
      <c r="I1473" s="65"/>
      <c r="J1473" s="65"/>
      <c r="K1473" s="65"/>
      <c r="L1473" s="65"/>
      <c r="M1473" s="65"/>
      <c r="N1473" s="65"/>
      <c r="O1473" s="65"/>
      <c r="P1473" s="65"/>
      <c r="Q1473" s="65"/>
      <c r="R1473" s="65"/>
      <c r="S1473" s="65"/>
      <c r="T1473" s="65"/>
    </row>
    <row r="1474" spans="3:20">
      <c r="C1474" s="65"/>
      <c r="D1474" s="65"/>
      <c r="E1474" s="65"/>
      <c r="F1474" s="65"/>
      <c r="G1474" s="65"/>
      <c r="H1474" s="65"/>
      <c r="I1474" s="65"/>
      <c r="J1474" s="65"/>
      <c r="K1474" s="65"/>
      <c r="L1474" s="65"/>
      <c r="M1474" s="65"/>
      <c r="N1474" s="65"/>
      <c r="O1474" s="65"/>
      <c r="P1474" s="65"/>
      <c r="Q1474" s="65"/>
      <c r="R1474" s="65"/>
      <c r="S1474" s="65"/>
      <c r="T1474" s="65"/>
    </row>
    <row r="1475" spans="3:20">
      <c r="C1475" s="65"/>
      <c r="D1475" s="65"/>
      <c r="E1475" s="65"/>
      <c r="F1475" s="65"/>
      <c r="G1475" s="65"/>
      <c r="H1475" s="65"/>
      <c r="I1475" s="65"/>
      <c r="J1475" s="65"/>
      <c r="K1475" s="65"/>
      <c r="L1475" s="65"/>
      <c r="M1475" s="65"/>
      <c r="N1475" s="65"/>
      <c r="O1475" s="65"/>
      <c r="P1475" s="65"/>
      <c r="Q1475" s="65"/>
      <c r="R1475" s="65"/>
      <c r="S1475" s="65"/>
      <c r="T1475" s="65"/>
    </row>
    <row r="1476" spans="3:20">
      <c r="C1476" s="65"/>
      <c r="D1476" s="65"/>
      <c r="E1476" s="65"/>
      <c r="F1476" s="65"/>
      <c r="G1476" s="65"/>
      <c r="H1476" s="65"/>
      <c r="I1476" s="65"/>
      <c r="J1476" s="65"/>
      <c r="K1476" s="65"/>
      <c r="L1476" s="65"/>
      <c r="M1476" s="65"/>
      <c r="N1476" s="65"/>
      <c r="O1476" s="65"/>
      <c r="P1476" s="65"/>
      <c r="Q1476" s="65"/>
      <c r="R1476" s="65"/>
      <c r="S1476" s="65"/>
      <c r="T1476" s="65"/>
    </row>
    <row r="1477" spans="3:20">
      <c r="C1477" s="65"/>
      <c r="D1477" s="65"/>
      <c r="E1477" s="65"/>
      <c r="F1477" s="65"/>
      <c r="G1477" s="65"/>
      <c r="H1477" s="65"/>
      <c r="I1477" s="65"/>
      <c r="J1477" s="65"/>
      <c r="K1477" s="65"/>
      <c r="L1477" s="65"/>
      <c r="M1477" s="65"/>
      <c r="N1477" s="65"/>
      <c r="O1477" s="65"/>
      <c r="P1477" s="65"/>
      <c r="Q1477" s="65"/>
      <c r="R1477" s="65"/>
      <c r="S1477" s="65"/>
      <c r="T1477" s="65"/>
    </row>
    <row r="1478" spans="3:20">
      <c r="C1478" s="65"/>
      <c r="D1478" s="65"/>
      <c r="E1478" s="65"/>
      <c r="F1478" s="65"/>
      <c r="G1478" s="65"/>
      <c r="H1478" s="65"/>
      <c r="I1478" s="65"/>
      <c r="J1478" s="65"/>
      <c r="K1478" s="65"/>
      <c r="L1478" s="65"/>
      <c r="M1478" s="65"/>
      <c r="N1478" s="65"/>
      <c r="O1478" s="65"/>
      <c r="P1478" s="65"/>
      <c r="Q1478" s="65"/>
      <c r="R1478" s="65"/>
      <c r="S1478" s="65"/>
      <c r="T1478" s="65"/>
    </row>
    <row r="1479" spans="3:20">
      <c r="C1479" s="65"/>
      <c r="D1479" s="65"/>
      <c r="E1479" s="65"/>
      <c r="F1479" s="65"/>
      <c r="G1479" s="65"/>
      <c r="H1479" s="65"/>
      <c r="I1479" s="65"/>
      <c r="J1479" s="65"/>
      <c r="K1479" s="65"/>
      <c r="L1479" s="65"/>
      <c r="M1479" s="65"/>
      <c r="N1479" s="65"/>
      <c r="O1479" s="65"/>
      <c r="P1479" s="65"/>
      <c r="Q1479" s="65"/>
      <c r="R1479" s="65"/>
      <c r="S1479" s="65"/>
      <c r="T1479" s="65"/>
    </row>
    <row r="1480" spans="3:20">
      <c r="C1480" s="65"/>
      <c r="D1480" s="65"/>
      <c r="E1480" s="65"/>
      <c r="F1480" s="65"/>
      <c r="G1480" s="65"/>
      <c r="H1480" s="65"/>
      <c r="I1480" s="65"/>
      <c r="J1480" s="65"/>
      <c r="K1480" s="65"/>
      <c r="L1480" s="65"/>
      <c r="M1480" s="65"/>
      <c r="N1480" s="65"/>
      <c r="O1480" s="65"/>
      <c r="P1480" s="65"/>
      <c r="Q1480" s="65"/>
      <c r="R1480" s="65"/>
      <c r="S1480" s="65"/>
      <c r="T1480" s="65"/>
    </row>
    <row r="1481" spans="3:20">
      <c r="C1481" s="65"/>
      <c r="D1481" s="65"/>
      <c r="E1481" s="65"/>
      <c r="F1481" s="65"/>
      <c r="G1481" s="65"/>
      <c r="H1481" s="65"/>
      <c r="I1481" s="65"/>
      <c r="J1481" s="65"/>
      <c r="K1481" s="65"/>
      <c r="L1481" s="65"/>
      <c r="M1481" s="65"/>
      <c r="N1481" s="65"/>
      <c r="O1481" s="65"/>
      <c r="P1481" s="65"/>
      <c r="Q1481" s="65"/>
      <c r="R1481" s="65"/>
      <c r="S1481" s="65"/>
      <c r="T1481" s="65"/>
    </row>
    <row r="1482" spans="3:20">
      <c r="C1482" s="65"/>
      <c r="D1482" s="65"/>
      <c r="E1482" s="65"/>
      <c r="F1482" s="65"/>
      <c r="G1482" s="65"/>
      <c r="H1482" s="65"/>
      <c r="I1482" s="65"/>
      <c r="J1482" s="65"/>
      <c r="K1482" s="65"/>
      <c r="L1482" s="65"/>
      <c r="M1482" s="65"/>
      <c r="N1482" s="65"/>
      <c r="O1482" s="65"/>
      <c r="P1482" s="65"/>
      <c r="Q1482" s="65"/>
      <c r="R1482" s="65"/>
      <c r="S1482" s="65"/>
      <c r="T1482" s="65"/>
    </row>
    <row r="1483" spans="3:20">
      <c r="C1483" s="65"/>
      <c r="D1483" s="65"/>
      <c r="E1483" s="65"/>
      <c r="F1483" s="65"/>
      <c r="G1483" s="65"/>
      <c r="H1483" s="65"/>
      <c r="I1483" s="65"/>
      <c r="J1483" s="65"/>
      <c r="K1483" s="65"/>
      <c r="L1483" s="65"/>
      <c r="M1483" s="65"/>
      <c r="N1483" s="65"/>
      <c r="O1483" s="65"/>
      <c r="P1483" s="65"/>
      <c r="Q1483" s="65"/>
      <c r="R1483" s="65"/>
      <c r="S1483" s="65"/>
      <c r="T1483" s="65"/>
    </row>
    <row r="1484" spans="3:20">
      <c r="C1484" s="65"/>
      <c r="D1484" s="65"/>
      <c r="E1484" s="65"/>
      <c r="F1484" s="65"/>
      <c r="G1484" s="65"/>
      <c r="H1484" s="65"/>
      <c r="I1484" s="65"/>
      <c r="J1484" s="65"/>
      <c r="K1484" s="65"/>
      <c r="L1484" s="65"/>
      <c r="M1484" s="65"/>
      <c r="N1484" s="65"/>
      <c r="O1484" s="65"/>
      <c r="P1484" s="65"/>
      <c r="Q1484" s="65"/>
      <c r="R1484" s="65"/>
      <c r="S1484" s="65"/>
      <c r="T1484" s="65"/>
    </row>
    <row r="1485" spans="3:20">
      <c r="C1485" s="65"/>
      <c r="D1485" s="65"/>
      <c r="E1485" s="65"/>
      <c r="F1485" s="65"/>
      <c r="G1485" s="65"/>
      <c r="H1485" s="65"/>
      <c r="I1485" s="65"/>
      <c r="J1485" s="65"/>
      <c r="K1485" s="65"/>
      <c r="L1485" s="65"/>
      <c r="M1485" s="65"/>
      <c r="N1485" s="65"/>
      <c r="O1485" s="65"/>
      <c r="P1485" s="65"/>
      <c r="Q1485" s="65"/>
      <c r="R1485" s="65"/>
      <c r="S1485" s="65"/>
      <c r="T1485" s="65"/>
    </row>
    <row r="1486" spans="3:20">
      <c r="C1486" s="65"/>
      <c r="D1486" s="65"/>
      <c r="E1486" s="65"/>
      <c r="F1486" s="65"/>
      <c r="G1486" s="65"/>
      <c r="H1486" s="65"/>
      <c r="I1486" s="65"/>
      <c r="J1486" s="65"/>
      <c r="K1486" s="65"/>
      <c r="L1486" s="65"/>
      <c r="M1486" s="65"/>
      <c r="N1486" s="65"/>
      <c r="O1486" s="65"/>
      <c r="P1486" s="65"/>
      <c r="Q1486" s="65"/>
      <c r="R1486" s="65"/>
      <c r="S1486" s="65"/>
      <c r="T1486" s="65"/>
    </row>
    <row r="1487" spans="3:20">
      <c r="C1487" s="65"/>
      <c r="D1487" s="65"/>
      <c r="E1487" s="65"/>
      <c r="F1487" s="65"/>
      <c r="G1487" s="65"/>
      <c r="H1487" s="65"/>
      <c r="I1487" s="65"/>
      <c r="J1487" s="65"/>
      <c r="K1487" s="65"/>
      <c r="L1487" s="65"/>
      <c r="M1487" s="65"/>
      <c r="N1487" s="65"/>
      <c r="O1487" s="65"/>
      <c r="P1487" s="65"/>
      <c r="Q1487" s="65"/>
      <c r="R1487" s="65"/>
      <c r="S1487" s="65"/>
      <c r="T1487" s="65"/>
    </row>
    <row r="1488" spans="3:20">
      <c r="C1488" s="65"/>
      <c r="D1488" s="65"/>
      <c r="E1488" s="65"/>
      <c r="F1488" s="65"/>
      <c r="G1488" s="65"/>
      <c r="H1488" s="65"/>
      <c r="I1488" s="65"/>
      <c r="J1488" s="65"/>
      <c r="K1488" s="65"/>
      <c r="L1488" s="65"/>
      <c r="M1488" s="65"/>
      <c r="N1488" s="65"/>
      <c r="O1488" s="65"/>
      <c r="P1488" s="65"/>
      <c r="Q1488" s="65"/>
      <c r="R1488" s="65"/>
      <c r="S1488" s="65"/>
      <c r="T1488" s="65"/>
    </row>
    <row r="1489" spans="3:20">
      <c r="C1489" s="65"/>
      <c r="D1489" s="65"/>
      <c r="E1489" s="65"/>
      <c r="F1489" s="65"/>
      <c r="G1489" s="65"/>
      <c r="H1489" s="65"/>
      <c r="I1489" s="65"/>
      <c r="J1489" s="65"/>
      <c r="K1489" s="65"/>
      <c r="L1489" s="65"/>
      <c r="M1489" s="65"/>
      <c r="N1489" s="65"/>
      <c r="O1489" s="65"/>
      <c r="P1489" s="65"/>
      <c r="Q1489" s="65"/>
      <c r="R1489" s="65"/>
      <c r="S1489" s="65"/>
      <c r="T1489" s="65"/>
    </row>
    <row r="1490" spans="3:20">
      <c r="C1490" s="65"/>
      <c r="D1490" s="65"/>
      <c r="E1490" s="65"/>
      <c r="F1490" s="65"/>
      <c r="G1490" s="65"/>
      <c r="H1490" s="65"/>
      <c r="I1490" s="65"/>
      <c r="J1490" s="65"/>
      <c r="K1490" s="65"/>
      <c r="L1490" s="65"/>
      <c r="M1490" s="65"/>
      <c r="N1490" s="65"/>
      <c r="O1490" s="65"/>
      <c r="P1490" s="65"/>
      <c r="Q1490" s="65"/>
      <c r="R1490" s="65"/>
      <c r="S1490" s="65"/>
      <c r="T1490" s="65"/>
    </row>
    <row r="1491" spans="3:20">
      <c r="C1491" s="65"/>
      <c r="D1491" s="65"/>
      <c r="E1491" s="65"/>
      <c r="F1491" s="65"/>
      <c r="G1491" s="65"/>
      <c r="H1491" s="65"/>
      <c r="I1491" s="65"/>
      <c r="J1491" s="65"/>
      <c r="K1491" s="65"/>
      <c r="L1491" s="65"/>
      <c r="M1491" s="65"/>
      <c r="N1491" s="65"/>
      <c r="O1491" s="65"/>
      <c r="P1491" s="65"/>
      <c r="Q1491" s="65"/>
      <c r="R1491" s="65"/>
      <c r="S1491" s="65"/>
      <c r="T1491" s="65"/>
    </row>
    <row r="1492" spans="3:20">
      <c r="C1492" s="65"/>
      <c r="D1492" s="65"/>
      <c r="E1492" s="65"/>
      <c r="F1492" s="65"/>
      <c r="G1492" s="65"/>
      <c r="H1492" s="65"/>
      <c r="I1492" s="65"/>
      <c r="J1492" s="65"/>
      <c r="K1492" s="65"/>
      <c r="L1492" s="65"/>
      <c r="M1492" s="65"/>
      <c r="N1492" s="65"/>
      <c r="O1492" s="65"/>
      <c r="P1492" s="65"/>
      <c r="Q1492" s="65"/>
      <c r="R1492" s="65"/>
      <c r="S1492" s="65"/>
      <c r="T1492" s="65"/>
    </row>
    <row r="1493" spans="3:20">
      <c r="C1493" s="65"/>
      <c r="D1493" s="65"/>
      <c r="E1493" s="65"/>
      <c r="F1493" s="65"/>
      <c r="G1493" s="65"/>
      <c r="H1493" s="65"/>
      <c r="I1493" s="65"/>
      <c r="J1493" s="65"/>
      <c r="K1493" s="65"/>
      <c r="L1493" s="65"/>
      <c r="M1493" s="65"/>
      <c r="N1493" s="65"/>
      <c r="O1493" s="65"/>
      <c r="P1493" s="65"/>
      <c r="Q1493" s="65"/>
      <c r="R1493" s="65"/>
      <c r="S1493" s="65"/>
      <c r="T1493" s="65"/>
    </row>
    <row r="1494" spans="3:20">
      <c r="C1494" s="65"/>
      <c r="D1494" s="65"/>
      <c r="E1494" s="65"/>
      <c r="F1494" s="65"/>
      <c r="G1494" s="65"/>
      <c r="H1494" s="65"/>
      <c r="I1494" s="65"/>
      <c r="J1494" s="65"/>
      <c r="K1494" s="65"/>
      <c r="L1494" s="65"/>
      <c r="M1494" s="65"/>
      <c r="N1494" s="65"/>
      <c r="O1494" s="65"/>
      <c r="P1494" s="65"/>
      <c r="Q1494" s="65"/>
      <c r="R1494" s="65"/>
      <c r="S1494" s="65"/>
      <c r="T1494" s="65"/>
    </row>
    <row r="1495" spans="3:20">
      <c r="C1495" s="65"/>
      <c r="D1495" s="65"/>
      <c r="E1495" s="65"/>
      <c r="F1495" s="65"/>
      <c r="G1495" s="65"/>
      <c r="H1495" s="65"/>
      <c r="I1495" s="65"/>
      <c r="J1495" s="65"/>
      <c r="K1495" s="65"/>
      <c r="L1495" s="65"/>
      <c r="M1495" s="65"/>
      <c r="N1495" s="65"/>
      <c r="O1495" s="65"/>
      <c r="P1495" s="65"/>
      <c r="Q1495" s="65"/>
      <c r="R1495" s="65"/>
      <c r="S1495" s="65"/>
      <c r="T1495" s="65"/>
    </row>
    <row r="1496" spans="3:20">
      <c r="C1496" s="65"/>
      <c r="D1496" s="65"/>
      <c r="E1496" s="65"/>
      <c r="F1496" s="65"/>
      <c r="G1496" s="65"/>
      <c r="H1496" s="65"/>
      <c r="I1496" s="65"/>
      <c r="J1496" s="65"/>
      <c r="K1496" s="65"/>
      <c r="L1496" s="65"/>
      <c r="M1496" s="65"/>
      <c r="N1496" s="65"/>
      <c r="O1496" s="65"/>
      <c r="P1496" s="65"/>
      <c r="Q1496" s="65"/>
      <c r="R1496" s="65"/>
      <c r="S1496" s="65"/>
      <c r="T1496" s="65"/>
    </row>
    <row r="1497" spans="3:20">
      <c r="C1497" s="65"/>
      <c r="D1497" s="65"/>
      <c r="E1497" s="65"/>
      <c r="F1497" s="65"/>
      <c r="G1497" s="65"/>
      <c r="H1497" s="65"/>
      <c r="I1497" s="65"/>
      <c r="J1497" s="65"/>
      <c r="K1497" s="65"/>
      <c r="L1497" s="65"/>
      <c r="M1497" s="65"/>
      <c r="N1497" s="65"/>
      <c r="O1497" s="65"/>
      <c r="P1497" s="65"/>
      <c r="Q1497" s="65"/>
      <c r="R1497" s="65"/>
      <c r="S1497" s="65"/>
      <c r="T1497" s="65"/>
    </row>
    <row r="1498" spans="3:20">
      <c r="C1498" s="65"/>
      <c r="D1498" s="65"/>
      <c r="E1498" s="65"/>
      <c r="F1498" s="65"/>
      <c r="G1498" s="65"/>
      <c r="H1498" s="65"/>
      <c r="I1498" s="65"/>
      <c r="J1498" s="65"/>
      <c r="K1498" s="65"/>
      <c r="L1498" s="65"/>
      <c r="M1498" s="65"/>
      <c r="N1498" s="65"/>
      <c r="O1498" s="65"/>
      <c r="P1498" s="65"/>
      <c r="Q1498" s="65"/>
      <c r="R1498" s="65"/>
      <c r="S1498" s="65"/>
      <c r="T1498" s="65"/>
    </row>
    <row r="1499" spans="3:20">
      <c r="C1499" s="65"/>
      <c r="D1499" s="65"/>
      <c r="E1499" s="65"/>
      <c r="F1499" s="65"/>
      <c r="G1499" s="65"/>
      <c r="H1499" s="65"/>
      <c r="I1499" s="65"/>
      <c r="J1499" s="65"/>
      <c r="K1499" s="65"/>
      <c r="L1499" s="65"/>
      <c r="M1499" s="65"/>
      <c r="N1499" s="65"/>
      <c r="O1499" s="65"/>
      <c r="P1499" s="65"/>
      <c r="Q1499" s="65"/>
      <c r="R1499" s="65"/>
      <c r="S1499" s="65"/>
      <c r="T1499" s="65"/>
    </row>
    <row r="1500" spans="3:20">
      <c r="C1500" s="65"/>
      <c r="D1500" s="65"/>
      <c r="E1500" s="65"/>
      <c r="F1500" s="65"/>
      <c r="G1500" s="65"/>
      <c r="H1500" s="65"/>
      <c r="I1500" s="65"/>
      <c r="J1500" s="65"/>
      <c r="K1500" s="65"/>
      <c r="L1500" s="65"/>
      <c r="M1500" s="65"/>
      <c r="N1500" s="65"/>
      <c r="O1500" s="65"/>
      <c r="P1500" s="65"/>
      <c r="Q1500" s="65"/>
      <c r="R1500" s="65"/>
      <c r="S1500" s="65"/>
      <c r="T1500" s="65"/>
    </row>
    <row r="1501" spans="3:20">
      <c r="C1501" s="65"/>
      <c r="D1501" s="65"/>
      <c r="E1501" s="65"/>
      <c r="F1501" s="65"/>
      <c r="G1501" s="65"/>
      <c r="H1501" s="65"/>
      <c r="I1501" s="65"/>
      <c r="J1501" s="65"/>
      <c r="K1501" s="65"/>
      <c r="L1501" s="65"/>
      <c r="M1501" s="65"/>
      <c r="N1501" s="65"/>
      <c r="O1501" s="65"/>
      <c r="P1501" s="65"/>
      <c r="Q1501" s="65"/>
      <c r="R1501" s="65"/>
      <c r="S1501" s="65"/>
      <c r="T1501" s="65"/>
    </row>
    <row r="1502" spans="3:20">
      <c r="C1502" s="65"/>
      <c r="D1502" s="65"/>
      <c r="E1502" s="65"/>
      <c r="F1502" s="65"/>
      <c r="G1502" s="65"/>
      <c r="H1502" s="65"/>
      <c r="I1502" s="65"/>
      <c r="J1502" s="65"/>
      <c r="K1502" s="65"/>
      <c r="L1502" s="65"/>
      <c r="M1502" s="65"/>
      <c r="N1502" s="65"/>
      <c r="O1502" s="65"/>
      <c r="P1502" s="65"/>
      <c r="Q1502" s="65"/>
      <c r="R1502" s="65"/>
      <c r="S1502" s="65"/>
      <c r="T1502" s="65"/>
    </row>
    <row r="1503" spans="3:20">
      <c r="C1503" s="65"/>
      <c r="D1503" s="65"/>
      <c r="E1503" s="65"/>
      <c r="F1503" s="65"/>
      <c r="G1503" s="65"/>
      <c r="H1503" s="65"/>
      <c r="I1503" s="65"/>
      <c r="J1503" s="65"/>
      <c r="K1503" s="65"/>
      <c r="L1503" s="65"/>
      <c r="M1503" s="65"/>
      <c r="N1503" s="65"/>
      <c r="O1503" s="65"/>
      <c r="P1503" s="65"/>
      <c r="Q1503" s="65"/>
      <c r="R1503" s="65"/>
      <c r="S1503" s="65"/>
      <c r="T1503" s="65"/>
    </row>
    <row r="1504" spans="3:20">
      <c r="C1504" s="65"/>
      <c r="D1504" s="65"/>
      <c r="E1504" s="65"/>
      <c r="F1504" s="65"/>
      <c r="G1504" s="65"/>
      <c r="H1504" s="65"/>
      <c r="I1504" s="65"/>
      <c r="J1504" s="65"/>
      <c r="K1504" s="65"/>
      <c r="L1504" s="65"/>
      <c r="M1504" s="65"/>
      <c r="N1504" s="65"/>
      <c r="O1504" s="65"/>
      <c r="P1504" s="65"/>
      <c r="Q1504" s="65"/>
      <c r="R1504" s="65"/>
      <c r="S1504" s="65"/>
      <c r="T1504" s="65"/>
    </row>
    <row r="1505" spans="3:20">
      <c r="C1505" s="65"/>
      <c r="D1505" s="65"/>
      <c r="E1505" s="65"/>
      <c r="F1505" s="65"/>
      <c r="G1505" s="65"/>
      <c r="H1505" s="65"/>
      <c r="I1505" s="65"/>
      <c r="J1505" s="65"/>
      <c r="K1505" s="65"/>
      <c r="L1505" s="65"/>
      <c r="M1505" s="65"/>
      <c r="N1505" s="65"/>
      <c r="O1505" s="65"/>
      <c r="P1505" s="65"/>
      <c r="Q1505" s="65"/>
      <c r="R1505" s="65"/>
      <c r="S1505" s="65"/>
      <c r="T1505" s="65"/>
    </row>
    <row r="1506" spans="3:20">
      <c r="C1506" s="65"/>
      <c r="D1506" s="65"/>
      <c r="E1506" s="65"/>
      <c r="F1506" s="65"/>
      <c r="G1506" s="65"/>
      <c r="H1506" s="65"/>
      <c r="I1506" s="65"/>
      <c r="J1506" s="65"/>
      <c r="K1506" s="65"/>
      <c r="L1506" s="65"/>
      <c r="M1506" s="65"/>
      <c r="N1506" s="65"/>
      <c r="O1506" s="65"/>
      <c r="P1506" s="65"/>
      <c r="Q1506" s="65"/>
      <c r="R1506" s="65"/>
      <c r="S1506" s="65"/>
      <c r="T1506" s="65"/>
    </row>
    <row r="1507" spans="3:20">
      <c r="C1507" s="65"/>
      <c r="D1507" s="65"/>
      <c r="E1507" s="65"/>
      <c r="F1507" s="65"/>
      <c r="G1507" s="65"/>
      <c r="H1507" s="65"/>
      <c r="I1507" s="65"/>
      <c r="J1507" s="65"/>
      <c r="K1507" s="65"/>
      <c r="L1507" s="65"/>
      <c r="M1507" s="65"/>
      <c r="N1507" s="65"/>
      <c r="O1507" s="65"/>
      <c r="P1507" s="65"/>
      <c r="Q1507" s="65"/>
      <c r="R1507" s="65"/>
      <c r="S1507" s="65"/>
      <c r="T1507" s="65"/>
    </row>
    <row r="1508" spans="3:20">
      <c r="C1508" s="65"/>
      <c r="D1508" s="65"/>
      <c r="E1508" s="65"/>
      <c r="F1508" s="65"/>
      <c r="G1508" s="65"/>
      <c r="H1508" s="65"/>
      <c r="I1508" s="65"/>
      <c r="J1508" s="65"/>
      <c r="K1508" s="65"/>
      <c r="L1508" s="65"/>
      <c r="M1508" s="65"/>
      <c r="N1508" s="65"/>
      <c r="O1508" s="65"/>
      <c r="P1508" s="65"/>
      <c r="Q1508" s="65"/>
      <c r="R1508" s="65"/>
      <c r="S1508" s="65"/>
      <c r="T1508" s="65"/>
    </row>
    <row r="1509" spans="3:20">
      <c r="C1509" s="65"/>
      <c r="D1509" s="65"/>
      <c r="E1509" s="65"/>
      <c r="F1509" s="65"/>
      <c r="G1509" s="65"/>
      <c r="H1509" s="65"/>
      <c r="I1509" s="65"/>
      <c r="J1509" s="65"/>
      <c r="K1509" s="65"/>
      <c r="L1509" s="65"/>
      <c r="M1509" s="65"/>
      <c r="N1509" s="65"/>
      <c r="O1509" s="65"/>
      <c r="P1509" s="65"/>
      <c r="Q1509" s="65"/>
      <c r="R1509" s="65"/>
      <c r="S1509" s="65"/>
      <c r="T1509" s="65"/>
    </row>
    <row r="1510" spans="3:20">
      <c r="C1510" s="65"/>
      <c r="D1510" s="65"/>
      <c r="E1510" s="65"/>
      <c r="F1510" s="65"/>
      <c r="G1510" s="65"/>
      <c r="H1510" s="65"/>
      <c r="I1510" s="65"/>
      <c r="J1510" s="65"/>
      <c r="K1510" s="65"/>
      <c r="L1510" s="65"/>
      <c r="M1510" s="65"/>
      <c r="N1510" s="65"/>
      <c r="O1510" s="65"/>
      <c r="P1510" s="65"/>
      <c r="Q1510" s="65"/>
      <c r="R1510" s="65"/>
      <c r="S1510" s="65"/>
      <c r="T1510" s="65"/>
    </row>
    <row r="1511" spans="3:20">
      <c r="C1511" s="65"/>
      <c r="D1511" s="65"/>
      <c r="E1511" s="65"/>
      <c r="F1511" s="65"/>
      <c r="G1511" s="65"/>
      <c r="H1511" s="65"/>
      <c r="I1511" s="65"/>
      <c r="J1511" s="65"/>
      <c r="K1511" s="65"/>
      <c r="L1511" s="65"/>
      <c r="M1511" s="65"/>
      <c r="N1511" s="65"/>
      <c r="O1511" s="65"/>
      <c r="P1511" s="65"/>
      <c r="Q1511" s="65"/>
      <c r="R1511" s="65"/>
      <c r="S1511" s="65"/>
      <c r="T1511" s="65"/>
    </row>
    <row r="1512" spans="3:20">
      <c r="C1512" s="65"/>
      <c r="D1512" s="65"/>
      <c r="E1512" s="65"/>
      <c r="F1512" s="65"/>
      <c r="G1512" s="65"/>
      <c r="H1512" s="65"/>
      <c r="I1512" s="65"/>
      <c r="J1512" s="65"/>
      <c r="K1512" s="65"/>
      <c r="L1512" s="65"/>
      <c r="M1512" s="65"/>
      <c r="N1512" s="65"/>
      <c r="O1512" s="65"/>
      <c r="P1512" s="65"/>
      <c r="Q1512" s="65"/>
      <c r="R1512" s="65"/>
      <c r="S1512" s="65"/>
      <c r="T1512" s="65"/>
    </row>
    <row r="1513" spans="3:20">
      <c r="C1513" s="65"/>
      <c r="D1513" s="65"/>
      <c r="E1513" s="65"/>
      <c r="F1513" s="65"/>
      <c r="G1513" s="65"/>
      <c r="H1513" s="65"/>
      <c r="I1513" s="65"/>
      <c r="J1513" s="65"/>
      <c r="K1513" s="65"/>
      <c r="L1513" s="65"/>
      <c r="M1513" s="65"/>
      <c r="N1513" s="65"/>
      <c r="O1513" s="65"/>
      <c r="P1513" s="65"/>
      <c r="Q1513" s="65"/>
      <c r="R1513" s="65"/>
      <c r="S1513" s="65"/>
      <c r="T1513" s="65"/>
    </row>
    <row r="1514" spans="3:20">
      <c r="C1514" s="65"/>
      <c r="D1514" s="65"/>
      <c r="E1514" s="65"/>
      <c r="F1514" s="65"/>
      <c r="G1514" s="65"/>
      <c r="H1514" s="65"/>
      <c r="I1514" s="65"/>
      <c r="J1514" s="65"/>
      <c r="K1514" s="65"/>
      <c r="L1514" s="65"/>
      <c r="M1514" s="65"/>
      <c r="N1514" s="65"/>
      <c r="O1514" s="65"/>
      <c r="P1514" s="65"/>
      <c r="Q1514" s="65"/>
      <c r="R1514" s="65"/>
      <c r="S1514" s="65"/>
      <c r="T1514" s="65"/>
    </row>
    <row r="1515" spans="3:20">
      <c r="C1515" s="65"/>
      <c r="D1515" s="65"/>
      <c r="E1515" s="65"/>
      <c r="F1515" s="65"/>
      <c r="G1515" s="65"/>
      <c r="H1515" s="65"/>
      <c r="I1515" s="65"/>
      <c r="J1515" s="65"/>
      <c r="K1515" s="65"/>
      <c r="L1515" s="65"/>
      <c r="M1515" s="65"/>
      <c r="N1515" s="65"/>
      <c r="O1515" s="65"/>
      <c r="P1515" s="65"/>
      <c r="Q1515" s="65"/>
      <c r="R1515" s="65"/>
      <c r="S1515" s="65"/>
      <c r="T1515" s="65"/>
    </row>
    <row r="1516" spans="3:20">
      <c r="C1516" s="65"/>
      <c r="D1516" s="65"/>
      <c r="E1516" s="65"/>
      <c r="F1516" s="65"/>
      <c r="G1516" s="65"/>
      <c r="H1516" s="65"/>
      <c r="I1516" s="65"/>
      <c r="J1516" s="65"/>
      <c r="K1516" s="65"/>
      <c r="L1516" s="65"/>
      <c r="M1516" s="65"/>
      <c r="N1516" s="65"/>
      <c r="O1516" s="65"/>
      <c r="P1516" s="65"/>
      <c r="Q1516" s="65"/>
      <c r="R1516" s="65"/>
      <c r="S1516" s="65"/>
      <c r="T1516" s="65"/>
    </row>
    <row r="1517" spans="3:20">
      <c r="C1517" s="65"/>
      <c r="D1517" s="65"/>
      <c r="E1517" s="65"/>
      <c r="F1517" s="65"/>
      <c r="G1517" s="65"/>
      <c r="H1517" s="65"/>
      <c r="I1517" s="65"/>
      <c r="J1517" s="65"/>
      <c r="K1517" s="65"/>
      <c r="L1517" s="65"/>
      <c r="M1517" s="65"/>
      <c r="N1517" s="65"/>
      <c r="O1517" s="65"/>
      <c r="P1517" s="65"/>
      <c r="Q1517" s="65"/>
      <c r="R1517" s="65"/>
      <c r="S1517" s="65"/>
      <c r="T1517" s="65"/>
    </row>
    <row r="1518" spans="3:20">
      <c r="C1518" s="65"/>
      <c r="D1518" s="65"/>
      <c r="E1518" s="65"/>
      <c r="F1518" s="65"/>
      <c r="G1518" s="65"/>
      <c r="H1518" s="65"/>
      <c r="I1518" s="65"/>
      <c r="J1518" s="65"/>
      <c r="K1518" s="65"/>
      <c r="L1518" s="65"/>
      <c r="M1518" s="65"/>
      <c r="N1518" s="65"/>
      <c r="O1518" s="65"/>
      <c r="P1518" s="65"/>
      <c r="Q1518" s="65"/>
      <c r="R1518" s="65"/>
      <c r="S1518" s="65"/>
      <c r="T1518" s="65"/>
    </row>
    <row r="1519" spans="3:20">
      <c r="C1519" s="65"/>
      <c r="D1519" s="65"/>
      <c r="E1519" s="65"/>
      <c r="F1519" s="65"/>
      <c r="G1519" s="65"/>
      <c r="H1519" s="65"/>
      <c r="I1519" s="65"/>
      <c r="J1519" s="65"/>
      <c r="K1519" s="65"/>
      <c r="L1519" s="65"/>
      <c r="M1519" s="65"/>
      <c r="N1519" s="65"/>
      <c r="O1519" s="65"/>
      <c r="P1519" s="65"/>
      <c r="Q1519" s="65"/>
      <c r="R1519" s="65"/>
      <c r="S1519" s="65"/>
      <c r="T1519" s="65"/>
    </row>
    <row r="1520" spans="3:20">
      <c r="C1520" s="65"/>
      <c r="D1520" s="65"/>
      <c r="E1520" s="65"/>
      <c r="F1520" s="65"/>
      <c r="G1520" s="65"/>
      <c r="H1520" s="65"/>
      <c r="I1520" s="65"/>
      <c r="J1520" s="65"/>
      <c r="K1520" s="65"/>
      <c r="L1520" s="65"/>
      <c r="M1520" s="65"/>
      <c r="N1520" s="65"/>
      <c r="O1520" s="65"/>
      <c r="P1520" s="65"/>
      <c r="Q1520" s="65"/>
      <c r="R1520" s="65"/>
      <c r="S1520" s="65"/>
      <c r="T1520" s="65"/>
    </row>
    <row r="1521" spans="3:20">
      <c r="C1521" s="65"/>
      <c r="D1521" s="65"/>
      <c r="E1521" s="65"/>
      <c r="F1521" s="65"/>
      <c r="G1521" s="65"/>
      <c r="H1521" s="65"/>
      <c r="I1521" s="65"/>
      <c r="J1521" s="65"/>
      <c r="K1521" s="65"/>
      <c r="L1521" s="65"/>
      <c r="M1521" s="65"/>
      <c r="N1521" s="65"/>
      <c r="O1521" s="65"/>
      <c r="P1521" s="65"/>
      <c r="Q1521" s="65"/>
      <c r="R1521" s="65"/>
      <c r="S1521" s="65"/>
      <c r="T1521" s="65"/>
    </row>
    <row r="1522" spans="3:20">
      <c r="C1522" s="65"/>
      <c r="D1522" s="65"/>
      <c r="E1522" s="65"/>
      <c r="F1522" s="65"/>
      <c r="G1522" s="65"/>
      <c r="H1522" s="65"/>
      <c r="I1522" s="65"/>
      <c r="J1522" s="65"/>
      <c r="K1522" s="65"/>
      <c r="L1522" s="65"/>
      <c r="M1522" s="65"/>
      <c r="N1522" s="65"/>
      <c r="O1522" s="65"/>
      <c r="P1522" s="65"/>
      <c r="Q1522" s="65"/>
      <c r="R1522" s="65"/>
      <c r="S1522" s="65"/>
      <c r="T1522" s="65"/>
    </row>
    <row r="1523" spans="3:20">
      <c r="C1523" s="65"/>
      <c r="D1523" s="65"/>
      <c r="E1523" s="65"/>
      <c r="F1523" s="65"/>
      <c r="G1523" s="65"/>
      <c r="H1523" s="65"/>
      <c r="I1523" s="65"/>
      <c r="J1523" s="65"/>
      <c r="K1523" s="65"/>
      <c r="L1523" s="65"/>
      <c r="M1523" s="65"/>
      <c r="N1523" s="65"/>
      <c r="O1523" s="65"/>
      <c r="P1523" s="65"/>
      <c r="Q1523" s="65"/>
      <c r="R1523" s="65"/>
      <c r="S1523" s="65"/>
      <c r="T1523" s="65"/>
    </row>
    <row r="1524" spans="3:20">
      <c r="C1524" s="65"/>
      <c r="D1524" s="65"/>
      <c r="E1524" s="65"/>
      <c r="F1524" s="65"/>
      <c r="G1524" s="65"/>
      <c r="H1524" s="65"/>
      <c r="I1524" s="65"/>
      <c r="J1524" s="65"/>
      <c r="K1524" s="65"/>
      <c r="L1524" s="65"/>
      <c r="M1524" s="65"/>
      <c r="N1524" s="65"/>
      <c r="O1524" s="65"/>
      <c r="P1524" s="65"/>
      <c r="Q1524" s="65"/>
      <c r="R1524" s="65"/>
      <c r="S1524" s="65"/>
      <c r="T1524" s="65"/>
    </row>
    <row r="1525" spans="3:20">
      <c r="C1525" s="65"/>
      <c r="D1525" s="65"/>
      <c r="E1525" s="65"/>
      <c r="F1525" s="65"/>
      <c r="G1525" s="65"/>
      <c r="H1525" s="65"/>
      <c r="I1525" s="65"/>
      <c r="J1525" s="65"/>
      <c r="K1525" s="65"/>
      <c r="L1525" s="65"/>
      <c r="M1525" s="65"/>
      <c r="N1525" s="65"/>
      <c r="O1525" s="65"/>
      <c r="P1525" s="65"/>
      <c r="Q1525" s="65"/>
      <c r="R1525" s="65"/>
      <c r="S1525" s="65"/>
      <c r="T1525" s="65"/>
    </row>
    <row r="1526" spans="3:20">
      <c r="C1526" s="65"/>
      <c r="D1526" s="65"/>
      <c r="E1526" s="65"/>
      <c r="F1526" s="65"/>
      <c r="G1526" s="65"/>
      <c r="H1526" s="65"/>
      <c r="I1526" s="65"/>
      <c r="J1526" s="65"/>
      <c r="K1526" s="65"/>
      <c r="L1526" s="65"/>
      <c r="M1526" s="65"/>
      <c r="N1526" s="65"/>
      <c r="O1526" s="65"/>
      <c r="P1526" s="65"/>
      <c r="Q1526" s="65"/>
      <c r="R1526" s="65"/>
      <c r="S1526" s="65"/>
      <c r="T1526" s="65"/>
    </row>
    <row r="1527" spans="3:20">
      <c r="C1527" s="65"/>
      <c r="D1527" s="65"/>
      <c r="E1527" s="65"/>
      <c r="F1527" s="65"/>
      <c r="G1527" s="65"/>
      <c r="H1527" s="65"/>
      <c r="I1527" s="65"/>
      <c r="J1527" s="65"/>
      <c r="K1527" s="65"/>
      <c r="L1527" s="65"/>
      <c r="M1527" s="65"/>
      <c r="N1527" s="65"/>
      <c r="O1527" s="65"/>
      <c r="P1527" s="65"/>
      <c r="Q1527" s="65"/>
      <c r="R1527" s="65"/>
      <c r="S1527" s="65"/>
      <c r="T1527" s="65"/>
    </row>
    <row r="1528" spans="3:20">
      <c r="C1528" s="65"/>
      <c r="D1528" s="65"/>
      <c r="E1528" s="65"/>
      <c r="F1528" s="65"/>
      <c r="G1528" s="65"/>
      <c r="H1528" s="65"/>
      <c r="I1528" s="65"/>
      <c r="J1528" s="65"/>
      <c r="K1528" s="65"/>
      <c r="L1528" s="65"/>
      <c r="M1528" s="65"/>
      <c r="N1528" s="65"/>
      <c r="O1528" s="65"/>
      <c r="P1528" s="65"/>
      <c r="Q1528" s="65"/>
      <c r="R1528" s="65"/>
      <c r="S1528" s="65"/>
      <c r="T1528" s="65"/>
    </row>
    <row r="1529" spans="3:20">
      <c r="C1529" s="65"/>
      <c r="D1529" s="65"/>
      <c r="E1529" s="65"/>
      <c r="F1529" s="65"/>
      <c r="G1529" s="65"/>
      <c r="H1529" s="65"/>
      <c r="I1529" s="65"/>
      <c r="J1529" s="65"/>
      <c r="K1529" s="65"/>
      <c r="L1529" s="65"/>
      <c r="M1529" s="65"/>
      <c r="N1529" s="65"/>
      <c r="O1529" s="65"/>
      <c r="P1529" s="65"/>
      <c r="Q1529" s="65"/>
      <c r="R1529" s="65"/>
      <c r="S1529" s="65"/>
      <c r="T1529" s="65"/>
    </row>
    <row r="1530" spans="3:20">
      <c r="C1530" s="65"/>
      <c r="D1530" s="65"/>
      <c r="E1530" s="65"/>
      <c r="F1530" s="65"/>
      <c r="G1530" s="65"/>
      <c r="H1530" s="65"/>
      <c r="I1530" s="65"/>
      <c r="J1530" s="65"/>
      <c r="K1530" s="65"/>
      <c r="L1530" s="65"/>
      <c r="M1530" s="65"/>
      <c r="N1530" s="65"/>
      <c r="O1530" s="65"/>
      <c r="P1530" s="65"/>
      <c r="Q1530" s="65"/>
      <c r="R1530" s="65"/>
      <c r="S1530" s="65"/>
      <c r="T1530" s="65"/>
    </row>
    <row r="1531" spans="3:20">
      <c r="C1531" s="65"/>
      <c r="D1531" s="65"/>
      <c r="E1531" s="65"/>
      <c r="F1531" s="65"/>
      <c r="G1531" s="65"/>
      <c r="H1531" s="65"/>
      <c r="I1531" s="65"/>
      <c r="J1531" s="65"/>
      <c r="K1531" s="65"/>
      <c r="L1531" s="65"/>
      <c r="M1531" s="65"/>
      <c r="N1531" s="65"/>
      <c r="O1531" s="65"/>
      <c r="P1531" s="65"/>
      <c r="Q1531" s="65"/>
      <c r="R1531" s="65"/>
      <c r="S1531" s="65"/>
      <c r="T1531" s="65"/>
    </row>
    <row r="1532" spans="3:20">
      <c r="C1532" s="65"/>
      <c r="D1532" s="65"/>
      <c r="E1532" s="65"/>
      <c r="F1532" s="65"/>
      <c r="G1532" s="65"/>
      <c r="H1532" s="65"/>
      <c r="I1532" s="65"/>
      <c r="J1532" s="65"/>
      <c r="K1532" s="65"/>
      <c r="L1532" s="65"/>
      <c r="M1532" s="65"/>
      <c r="N1532" s="65"/>
      <c r="O1532" s="65"/>
      <c r="P1532" s="65"/>
      <c r="Q1532" s="65"/>
      <c r="R1532" s="65"/>
      <c r="S1532" s="65"/>
      <c r="T1532" s="65"/>
    </row>
    <row r="1533" spans="3:20">
      <c r="C1533" s="65"/>
      <c r="D1533" s="65"/>
      <c r="E1533" s="65"/>
      <c r="F1533" s="65"/>
      <c r="G1533" s="65"/>
      <c r="H1533" s="65"/>
      <c r="I1533" s="65"/>
      <c r="J1533" s="65"/>
      <c r="K1533" s="65"/>
      <c r="L1533" s="65"/>
      <c r="M1533" s="65"/>
      <c r="N1533" s="65"/>
      <c r="O1533" s="65"/>
      <c r="P1533" s="65"/>
      <c r="Q1533" s="65"/>
      <c r="R1533" s="65"/>
      <c r="S1533" s="65"/>
      <c r="T1533" s="65"/>
    </row>
    <row r="1534" spans="3:20">
      <c r="C1534" s="65"/>
      <c r="D1534" s="65"/>
      <c r="E1534" s="65"/>
      <c r="F1534" s="65"/>
      <c r="G1534" s="65"/>
      <c r="H1534" s="65"/>
      <c r="I1534" s="65"/>
      <c r="J1534" s="65"/>
      <c r="K1534" s="65"/>
      <c r="L1534" s="65"/>
      <c r="M1534" s="65"/>
      <c r="N1534" s="65"/>
      <c r="O1534" s="65"/>
      <c r="P1534" s="65"/>
      <c r="Q1534" s="65"/>
      <c r="R1534" s="65"/>
      <c r="S1534" s="65"/>
      <c r="T1534" s="65"/>
    </row>
    <row r="1535" spans="3:20">
      <c r="C1535" s="65"/>
      <c r="D1535" s="65"/>
      <c r="E1535" s="65"/>
      <c r="F1535" s="65"/>
      <c r="G1535" s="65"/>
      <c r="H1535" s="65"/>
      <c r="I1535" s="65"/>
      <c r="J1535" s="65"/>
      <c r="K1535" s="65"/>
      <c r="L1535" s="65"/>
      <c r="M1535" s="65"/>
      <c r="N1535" s="65"/>
      <c r="O1535" s="65"/>
      <c r="P1535" s="65"/>
      <c r="Q1535" s="65"/>
      <c r="R1535" s="65"/>
      <c r="S1535" s="65"/>
      <c r="T1535" s="65"/>
    </row>
    <row r="1536" spans="3:20">
      <c r="C1536" s="65"/>
      <c r="D1536" s="65"/>
      <c r="E1536" s="65"/>
      <c r="F1536" s="65"/>
      <c r="G1536" s="65"/>
      <c r="H1536" s="65"/>
      <c r="I1536" s="65"/>
      <c r="J1536" s="65"/>
      <c r="K1536" s="65"/>
      <c r="L1536" s="65"/>
      <c r="M1536" s="65"/>
      <c r="N1536" s="65"/>
      <c r="O1536" s="65"/>
      <c r="P1536" s="65"/>
      <c r="Q1536" s="65"/>
      <c r="R1536" s="65"/>
      <c r="S1536" s="65"/>
      <c r="T1536" s="65"/>
    </row>
    <row r="1537" spans="3:20">
      <c r="C1537" s="65"/>
      <c r="D1537" s="65"/>
      <c r="E1537" s="65"/>
      <c r="F1537" s="65"/>
      <c r="G1537" s="65"/>
      <c r="H1537" s="65"/>
      <c r="I1537" s="65"/>
      <c r="J1537" s="65"/>
      <c r="K1537" s="65"/>
      <c r="L1537" s="65"/>
      <c r="M1537" s="65"/>
      <c r="N1537" s="65"/>
      <c r="O1537" s="65"/>
      <c r="P1537" s="65"/>
      <c r="Q1537" s="65"/>
      <c r="R1537" s="65"/>
      <c r="S1537" s="65"/>
      <c r="T1537" s="65"/>
    </row>
    <row r="1538" spans="3:20">
      <c r="C1538" s="65"/>
      <c r="D1538" s="65"/>
      <c r="E1538" s="65"/>
      <c r="F1538" s="65"/>
      <c r="G1538" s="65"/>
      <c r="H1538" s="65"/>
      <c r="I1538" s="65"/>
      <c r="J1538" s="65"/>
      <c r="K1538" s="65"/>
      <c r="L1538" s="65"/>
      <c r="M1538" s="65"/>
      <c r="N1538" s="65"/>
      <c r="O1538" s="65"/>
      <c r="P1538" s="65"/>
      <c r="Q1538" s="65"/>
      <c r="R1538" s="65"/>
      <c r="S1538" s="65"/>
      <c r="T1538" s="65"/>
    </row>
    <row r="1539" spans="3:20">
      <c r="C1539" s="65"/>
      <c r="D1539" s="65"/>
      <c r="E1539" s="65"/>
      <c r="F1539" s="65"/>
      <c r="G1539" s="65"/>
      <c r="H1539" s="65"/>
      <c r="I1539" s="65"/>
      <c r="J1539" s="65"/>
      <c r="K1539" s="65"/>
      <c r="L1539" s="65"/>
      <c r="M1539" s="65"/>
      <c r="N1539" s="65"/>
      <c r="O1539" s="65"/>
      <c r="P1539" s="65"/>
      <c r="Q1539" s="65"/>
      <c r="R1539" s="65"/>
      <c r="S1539" s="65"/>
      <c r="T1539" s="65"/>
    </row>
    <row r="1540" spans="3:20">
      <c r="C1540" s="65"/>
      <c r="D1540" s="65"/>
      <c r="E1540" s="65"/>
      <c r="F1540" s="65"/>
      <c r="G1540" s="65"/>
      <c r="H1540" s="65"/>
      <c r="I1540" s="65"/>
      <c r="J1540" s="65"/>
      <c r="K1540" s="65"/>
      <c r="L1540" s="65"/>
      <c r="M1540" s="65"/>
      <c r="N1540" s="65"/>
      <c r="O1540" s="65"/>
      <c r="P1540" s="65"/>
      <c r="Q1540" s="65"/>
      <c r="R1540" s="65"/>
      <c r="S1540" s="65"/>
      <c r="T1540" s="65"/>
    </row>
    <row r="1541" spans="3:20">
      <c r="C1541" s="65"/>
      <c r="D1541" s="65"/>
      <c r="E1541" s="65"/>
      <c r="F1541" s="65"/>
      <c r="G1541" s="65"/>
      <c r="H1541" s="65"/>
      <c r="I1541" s="65"/>
      <c r="J1541" s="65"/>
      <c r="K1541" s="65"/>
      <c r="L1541" s="65"/>
      <c r="M1541" s="65"/>
      <c r="N1541" s="65"/>
      <c r="O1541" s="65"/>
      <c r="P1541" s="65"/>
      <c r="Q1541" s="65"/>
      <c r="R1541" s="65"/>
      <c r="S1541" s="65"/>
      <c r="T1541" s="65"/>
    </row>
    <row r="1542" spans="3:20">
      <c r="C1542" s="65"/>
      <c r="D1542" s="65"/>
      <c r="E1542" s="65"/>
      <c r="F1542" s="65"/>
      <c r="G1542" s="65"/>
      <c r="H1542" s="65"/>
      <c r="I1542" s="65"/>
      <c r="J1542" s="65"/>
      <c r="K1542" s="65"/>
      <c r="L1542" s="65"/>
      <c r="M1542" s="65"/>
      <c r="N1542" s="65"/>
      <c r="O1542" s="65"/>
      <c r="P1542" s="65"/>
      <c r="Q1542" s="65"/>
      <c r="R1542" s="65"/>
      <c r="S1542" s="65"/>
      <c r="T1542" s="65"/>
    </row>
    <row r="1543" spans="3:20">
      <c r="C1543" s="65"/>
      <c r="D1543" s="65"/>
      <c r="E1543" s="65"/>
      <c r="F1543" s="65"/>
      <c r="G1543" s="65"/>
      <c r="H1543" s="65"/>
      <c r="I1543" s="65"/>
      <c r="J1543" s="65"/>
      <c r="K1543" s="65"/>
      <c r="L1543" s="65"/>
      <c r="M1543" s="65"/>
      <c r="N1543" s="65"/>
      <c r="O1543" s="65"/>
      <c r="P1543" s="65"/>
      <c r="Q1543" s="65"/>
      <c r="R1543" s="65"/>
      <c r="S1543" s="65"/>
      <c r="T1543" s="65"/>
    </row>
    <row r="1544" spans="3:20">
      <c r="C1544" s="65"/>
      <c r="D1544" s="65"/>
      <c r="E1544" s="65"/>
      <c r="F1544" s="65"/>
      <c r="G1544" s="65"/>
      <c r="H1544" s="65"/>
      <c r="I1544" s="65"/>
      <c r="J1544" s="65"/>
      <c r="K1544" s="65"/>
      <c r="L1544" s="65"/>
      <c r="M1544" s="65"/>
      <c r="N1544" s="65"/>
      <c r="O1544" s="65"/>
      <c r="P1544" s="65"/>
      <c r="Q1544" s="65"/>
      <c r="R1544" s="65"/>
      <c r="S1544" s="65"/>
      <c r="T1544" s="65"/>
    </row>
    <row r="1545" spans="3:20">
      <c r="C1545" s="65"/>
      <c r="D1545" s="65"/>
      <c r="E1545" s="65"/>
      <c r="F1545" s="65"/>
      <c r="G1545" s="65"/>
      <c r="H1545" s="65"/>
      <c r="I1545" s="65"/>
      <c r="J1545" s="65"/>
      <c r="K1545" s="65"/>
      <c r="L1545" s="65"/>
      <c r="M1545" s="65"/>
      <c r="N1545" s="65"/>
      <c r="O1545" s="65"/>
      <c r="P1545" s="65"/>
      <c r="Q1545" s="65"/>
      <c r="R1545" s="65"/>
      <c r="S1545" s="65"/>
      <c r="T1545" s="65"/>
    </row>
    <row r="1546" spans="3:20">
      <c r="C1546" s="65"/>
      <c r="D1546" s="65"/>
      <c r="E1546" s="65"/>
      <c r="F1546" s="65"/>
      <c r="G1546" s="65"/>
      <c r="H1546" s="65"/>
      <c r="I1546" s="65"/>
      <c r="J1546" s="65"/>
      <c r="K1546" s="65"/>
      <c r="L1546" s="65"/>
      <c r="M1546" s="65"/>
      <c r="N1546" s="65"/>
      <c r="O1546" s="65"/>
      <c r="P1546" s="65"/>
      <c r="Q1546" s="65"/>
      <c r="R1546" s="65"/>
      <c r="S1546" s="65"/>
      <c r="T1546" s="65"/>
    </row>
    <row r="1547" spans="3:20">
      <c r="C1547" s="65"/>
      <c r="D1547" s="65"/>
      <c r="E1547" s="65"/>
      <c r="F1547" s="65"/>
      <c r="G1547" s="65"/>
      <c r="H1547" s="65"/>
      <c r="I1547" s="65"/>
      <c r="J1547" s="65"/>
      <c r="K1547" s="65"/>
      <c r="L1547" s="65"/>
      <c r="M1547" s="65"/>
      <c r="N1547" s="65"/>
      <c r="O1547" s="65"/>
      <c r="P1547" s="65"/>
      <c r="Q1547" s="65"/>
      <c r="R1547" s="65"/>
      <c r="S1547" s="65"/>
      <c r="T1547" s="65"/>
    </row>
    <row r="1548" spans="3:20">
      <c r="C1548" s="65"/>
      <c r="D1548" s="65"/>
      <c r="E1548" s="65"/>
      <c r="F1548" s="65"/>
      <c r="G1548" s="65"/>
      <c r="H1548" s="65"/>
      <c r="I1548" s="65"/>
      <c r="J1548" s="65"/>
      <c r="K1548" s="65"/>
      <c r="L1548" s="65"/>
      <c r="M1548" s="65"/>
      <c r="N1548" s="65"/>
      <c r="O1548" s="65"/>
      <c r="P1548" s="65"/>
      <c r="Q1548" s="65"/>
      <c r="R1548" s="65"/>
      <c r="S1548" s="65"/>
      <c r="T1548" s="65"/>
    </row>
    <row r="1549" spans="3:20">
      <c r="C1549" s="65"/>
      <c r="D1549" s="65"/>
      <c r="E1549" s="65"/>
      <c r="F1549" s="65"/>
      <c r="G1549" s="65"/>
      <c r="H1549" s="65"/>
      <c r="I1549" s="65"/>
      <c r="J1549" s="65"/>
      <c r="K1549" s="65"/>
      <c r="L1549" s="65"/>
      <c r="M1549" s="65"/>
      <c r="N1549" s="65"/>
      <c r="O1549" s="65"/>
      <c r="P1549" s="65"/>
      <c r="Q1549" s="65"/>
      <c r="R1549" s="65"/>
      <c r="S1549" s="65"/>
      <c r="T1549" s="65"/>
    </row>
    <row r="1550" spans="3:20">
      <c r="C1550" s="65"/>
      <c r="D1550" s="65"/>
      <c r="E1550" s="65"/>
      <c r="F1550" s="65"/>
      <c r="G1550" s="65"/>
      <c r="H1550" s="65"/>
      <c r="I1550" s="65"/>
      <c r="J1550" s="65"/>
      <c r="K1550" s="65"/>
      <c r="L1550" s="65"/>
      <c r="M1550" s="65"/>
      <c r="N1550" s="65"/>
      <c r="O1550" s="65"/>
      <c r="P1550" s="65"/>
      <c r="Q1550" s="65"/>
      <c r="R1550" s="65"/>
      <c r="S1550" s="65"/>
      <c r="T1550" s="65"/>
    </row>
    <row r="1551" spans="3:20">
      <c r="C1551" s="65"/>
      <c r="D1551" s="65"/>
      <c r="E1551" s="65"/>
      <c r="F1551" s="65"/>
      <c r="G1551" s="65"/>
      <c r="H1551" s="65"/>
      <c r="I1551" s="65"/>
      <c r="J1551" s="65"/>
      <c r="K1551" s="65"/>
      <c r="L1551" s="65"/>
      <c r="M1551" s="65"/>
      <c r="N1551" s="65"/>
      <c r="O1551" s="65"/>
      <c r="P1551" s="65"/>
      <c r="Q1551" s="65"/>
      <c r="R1551" s="65"/>
      <c r="S1551" s="65"/>
      <c r="T1551" s="65"/>
    </row>
    <row r="1552" spans="3:20">
      <c r="C1552" s="65"/>
      <c r="D1552" s="65"/>
      <c r="E1552" s="65"/>
      <c r="F1552" s="65"/>
      <c r="G1552" s="65"/>
      <c r="H1552" s="65"/>
      <c r="I1552" s="65"/>
      <c r="J1552" s="65"/>
      <c r="K1552" s="65"/>
      <c r="L1552" s="65"/>
      <c r="M1552" s="65"/>
      <c r="N1552" s="65"/>
      <c r="O1552" s="65"/>
      <c r="P1552" s="65"/>
      <c r="Q1552" s="65"/>
      <c r="R1552" s="65"/>
      <c r="S1552" s="65"/>
      <c r="T1552" s="65"/>
    </row>
    <row r="1553" spans="3:20">
      <c r="C1553" s="65"/>
      <c r="D1553" s="65"/>
      <c r="E1553" s="65"/>
      <c r="F1553" s="65"/>
      <c r="G1553" s="65"/>
      <c r="H1553" s="65"/>
      <c r="I1553" s="65"/>
      <c r="J1553" s="65"/>
      <c r="K1553" s="65"/>
      <c r="L1553" s="65"/>
      <c r="M1553" s="65"/>
      <c r="N1553" s="65"/>
      <c r="O1553" s="65"/>
      <c r="P1553" s="65"/>
      <c r="Q1553" s="65"/>
      <c r="R1553" s="65"/>
      <c r="S1553" s="65"/>
      <c r="T1553" s="65"/>
    </row>
    <row r="1554" spans="3:20">
      <c r="C1554" s="65"/>
      <c r="D1554" s="65"/>
      <c r="E1554" s="65"/>
      <c r="F1554" s="65"/>
      <c r="G1554" s="65"/>
      <c r="H1554" s="65"/>
      <c r="I1554" s="65"/>
      <c r="J1554" s="65"/>
      <c r="K1554" s="65"/>
      <c r="L1554" s="65"/>
      <c r="M1554" s="65"/>
      <c r="N1554" s="65"/>
      <c r="O1554" s="65"/>
      <c r="P1554" s="65"/>
      <c r="Q1554" s="65"/>
      <c r="R1554" s="65"/>
      <c r="S1554" s="65"/>
      <c r="T1554" s="65"/>
    </row>
    <row r="1555" spans="3:20">
      <c r="C1555" s="65"/>
      <c r="D1555" s="65"/>
      <c r="E1555" s="65"/>
      <c r="F1555" s="65"/>
      <c r="G1555" s="65"/>
      <c r="H1555" s="65"/>
      <c r="I1555" s="65"/>
      <c r="J1555" s="65"/>
      <c r="K1555" s="65"/>
      <c r="L1555" s="65"/>
      <c r="M1555" s="65"/>
      <c r="N1555" s="65"/>
      <c r="O1555" s="65"/>
      <c r="P1555" s="65"/>
      <c r="Q1555" s="65"/>
      <c r="R1555" s="65"/>
      <c r="S1555" s="65"/>
      <c r="T1555" s="65"/>
    </row>
    <row r="1556" spans="3:20">
      <c r="C1556" s="65"/>
      <c r="D1556" s="65"/>
      <c r="E1556" s="65"/>
      <c r="F1556" s="65"/>
      <c r="G1556" s="65"/>
      <c r="H1556" s="65"/>
      <c r="I1556" s="65"/>
      <c r="J1556" s="65"/>
      <c r="K1556" s="65"/>
      <c r="L1556" s="65"/>
      <c r="M1556" s="65"/>
      <c r="N1556" s="65"/>
      <c r="O1556" s="65"/>
      <c r="P1556" s="65"/>
      <c r="Q1556" s="65"/>
      <c r="R1556" s="65"/>
      <c r="S1556" s="65"/>
      <c r="T1556" s="65"/>
    </row>
    <row r="1557" spans="3:20">
      <c r="C1557" s="65"/>
      <c r="D1557" s="65"/>
      <c r="E1557" s="65"/>
      <c r="F1557" s="65"/>
      <c r="G1557" s="65"/>
      <c r="H1557" s="65"/>
      <c r="I1557" s="65"/>
      <c r="J1557" s="65"/>
      <c r="K1557" s="65"/>
      <c r="L1557" s="65"/>
      <c r="M1557" s="65"/>
      <c r="N1557" s="65"/>
      <c r="O1557" s="65"/>
      <c r="P1557" s="65"/>
      <c r="Q1557" s="65"/>
      <c r="R1557" s="65"/>
      <c r="S1557" s="65"/>
      <c r="T1557" s="65"/>
    </row>
    <row r="1558" spans="3:20">
      <c r="C1558" s="65"/>
      <c r="D1558" s="65"/>
      <c r="E1558" s="65"/>
      <c r="F1558" s="65"/>
      <c r="G1558" s="65"/>
      <c r="H1558" s="65"/>
      <c r="I1558" s="65"/>
      <c r="J1558" s="65"/>
      <c r="K1558" s="65"/>
      <c r="L1558" s="65"/>
      <c r="M1558" s="65"/>
      <c r="N1558" s="65"/>
      <c r="O1558" s="65"/>
      <c r="P1558" s="65"/>
      <c r="Q1558" s="65"/>
      <c r="R1558" s="65"/>
      <c r="S1558" s="65"/>
      <c r="T1558" s="65"/>
    </row>
    <row r="1559" spans="3:20">
      <c r="C1559" s="65"/>
      <c r="D1559" s="65"/>
      <c r="E1559" s="65"/>
      <c r="F1559" s="65"/>
      <c r="G1559" s="65"/>
      <c r="H1559" s="65"/>
      <c r="I1559" s="65"/>
      <c r="J1559" s="65"/>
      <c r="K1559" s="65"/>
      <c r="L1559" s="65"/>
      <c r="M1559" s="65"/>
      <c r="N1559" s="65"/>
      <c r="O1559" s="65"/>
      <c r="P1559" s="65"/>
      <c r="Q1559" s="65"/>
      <c r="R1559" s="65"/>
      <c r="S1559" s="65"/>
      <c r="T1559" s="65"/>
    </row>
    <row r="1560" spans="3:20">
      <c r="C1560" s="65"/>
      <c r="D1560" s="65"/>
      <c r="E1560" s="65"/>
      <c r="F1560" s="65"/>
      <c r="G1560" s="65"/>
      <c r="H1560" s="65"/>
      <c r="I1560" s="65"/>
      <c r="J1560" s="65"/>
      <c r="K1560" s="65"/>
      <c r="L1560" s="65"/>
      <c r="M1560" s="65"/>
      <c r="N1560" s="65"/>
      <c r="O1560" s="65"/>
      <c r="P1560" s="65"/>
      <c r="Q1560" s="65"/>
      <c r="R1560" s="65"/>
      <c r="S1560" s="65"/>
      <c r="T1560" s="65"/>
    </row>
    <row r="1561" spans="3:20">
      <c r="C1561" s="65"/>
      <c r="D1561" s="65"/>
      <c r="E1561" s="65"/>
      <c r="F1561" s="65"/>
      <c r="G1561" s="65"/>
      <c r="H1561" s="65"/>
      <c r="I1561" s="65"/>
      <c r="J1561" s="65"/>
      <c r="K1561" s="65"/>
      <c r="L1561" s="65"/>
      <c r="M1561" s="65"/>
      <c r="N1561" s="65"/>
      <c r="O1561" s="65"/>
      <c r="P1561" s="65"/>
      <c r="Q1561" s="65"/>
      <c r="R1561" s="65"/>
      <c r="S1561" s="65"/>
      <c r="T1561" s="65"/>
    </row>
    <row r="1562" spans="3:20">
      <c r="C1562" s="65"/>
      <c r="D1562" s="65"/>
      <c r="E1562" s="65"/>
      <c r="F1562" s="65"/>
      <c r="G1562" s="65"/>
      <c r="H1562" s="65"/>
      <c r="I1562" s="65"/>
      <c r="J1562" s="65"/>
      <c r="K1562" s="65"/>
      <c r="L1562" s="65"/>
      <c r="M1562" s="65"/>
      <c r="N1562" s="65"/>
      <c r="O1562" s="65"/>
      <c r="P1562" s="65"/>
      <c r="Q1562" s="65"/>
      <c r="R1562" s="65"/>
      <c r="S1562" s="65"/>
      <c r="T1562" s="65"/>
    </row>
    <row r="1563" spans="3:20">
      <c r="C1563" s="65"/>
      <c r="D1563" s="65"/>
      <c r="E1563" s="65"/>
      <c r="F1563" s="65"/>
      <c r="G1563" s="65"/>
      <c r="H1563" s="65"/>
      <c r="I1563" s="65"/>
      <c r="J1563" s="65"/>
      <c r="K1563" s="65"/>
      <c r="L1563" s="65"/>
      <c r="M1563" s="65"/>
      <c r="N1563" s="65"/>
      <c r="O1563" s="65"/>
      <c r="P1563" s="65"/>
      <c r="Q1563" s="65"/>
      <c r="R1563" s="65"/>
      <c r="S1563" s="65"/>
      <c r="T1563" s="65"/>
    </row>
    <row r="1564" spans="3:20">
      <c r="C1564" s="65"/>
      <c r="D1564" s="65"/>
      <c r="E1564" s="65"/>
      <c r="F1564" s="65"/>
      <c r="G1564" s="65"/>
      <c r="H1564" s="65"/>
      <c r="I1564" s="65"/>
      <c r="J1564" s="65"/>
      <c r="K1564" s="65"/>
      <c r="L1564" s="65"/>
      <c r="M1564" s="65"/>
      <c r="N1564" s="65"/>
      <c r="O1564" s="65"/>
      <c r="P1564" s="65"/>
      <c r="Q1564" s="65"/>
      <c r="R1564" s="65"/>
      <c r="S1564" s="65"/>
      <c r="T1564" s="65"/>
    </row>
    <row r="1565" spans="3:20">
      <c r="C1565" s="65"/>
      <c r="D1565" s="65"/>
      <c r="E1565" s="65"/>
      <c r="F1565" s="65"/>
      <c r="G1565" s="65"/>
      <c r="H1565" s="65"/>
      <c r="I1565" s="65"/>
      <c r="J1565" s="65"/>
      <c r="K1565" s="65"/>
      <c r="L1565" s="65"/>
      <c r="M1565" s="65"/>
      <c r="N1565" s="65"/>
      <c r="O1565" s="65"/>
      <c r="P1565" s="65"/>
      <c r="Q1565" s="65"/>
      <c r="R1565" s="65"/>
      <c r="S1565" s="65"/>
      <c r="T1565" s="65"/>
    </row>
    <row r="1566" spans="3:20">
      <c r="C1566" s="65"/>
      <c r="D1566" s="65"/>
      <c r="E1566" s="65"/>
      <c r="F1566" s="65"/>
      <c r="G1566" s="65"/>
      <c r="H1566" s="65"/>
      <c r="I1566" s="65"/>
      <c r="J1566" s="65"/>
      <c r="K1566" s="65"/>
      <c r="L1566" s="65"/>
      <c r="M1566" s="65"/>
      <c r="N1566" s="65"/>
      <c r="O1566" s="65"/>
      <c r="P1566" s="65"/>
      <c r="Q1566" s="65"/>
      <c r="R1566" s="65"/>
      <c r="S1566" s="65"/>
      <c r="T1566" s="65"/>
    </row>
    <row r="1567" spans="3:20">
      <c r="C1567" s="65"/>
      <c r="D1567" s="65"/>
      <c r="E1567" s="65"/>
      <c r="F1567" s="65"/>
      <c r="G1567" s="65"/>
      <c r="H1567" s="65"/>
      <c r="I1567" s="65"/>
      <c r="J1567" s="65"/>
      <c r="K1567" s="65"/>
      <c r="L1567" s="65"/>
      <c r="M1567" s="65"/>
      <c r="N1567" s="65"/>
      <c r="O1567" s="65"/>
      <c r="P1567" s="65"/>
      <c r="Q1567" s="65"/>
      <c r="R1567" s="65"/>
      <c r="S1567" s="65"/>
      <c r="T1567" s="65"/>
    </row>
    <row r="1568" spans="3:20">
      <c r="C1568" s="65"/>
      <c r="D1568" s="65"/>
      <c r="E1568" s="65"/>
      <c r="F1568" s="65"/>
      <c r="G1568" s="65"/>
      <c r="H1568" s="65"/>
      <c r="I1568" s="65"/>
      <c r="J1568" s="65"/>
      <c r="K1568" s="65"/>
      <c r="L1568" s="65"/>
      <c r="M1568" s="65"/>
      <c r="N1568" s="65"/>
      <c r="O1568" s="65"/>
      <c r="P1568" s="65"/>
      <c r="Q1568" s="65"/>
      <c r="R1568" s="65"/>
      <c r="S1568" s="65"/>
      <c r="T1568" s="65"/>
    </row>
    <row r="1569" spans="3:20">
      <c r="C1569" s="65"/>
      <c r="D1569" s="65"/>
      <c r="E1569" s="65"/>
      <c r="F1569" s="65"/>
      <c r="G1569" s="65"/>
      <c r="H1569" s="65"/>
      <c r="I1569" s="65"/>
      <c r="J1569" s="65"/>
      <c r="K1569" s="65"/>
      <c r="L1569" s="65"/>
      <c r="M1569" s="65"/>
      <c r="N1569" s="65"/>
      <c r="O1569" s="65"/>
      <c r="P1569" s="65"/>
      <c r="Q1569" s="65"/>
      <c r="R1569" s="65"/>
      <c r="S1569" s="65"/>
      <c r="T1569" s="65"/>
    </row>
    <row r="1570" spans="3:20">
      <c r="C1570" s="65"/>
      <c r="D1570" s="65"/>
      <c r="E1570" s="65"/>
      <c r="F1570" s="65"/>
      <c r="G1570" s="65"/>
      <c r="H1570" s="65"/>
      <c r="I1570" s="65"/>
      <c r="J1570" s="65"/>
      <c r="K1570" s="65"/>
      <c r="L1570" s="65"/>
      <c r="M1570" s="65"/>
      <c r="N1570" s="65"/>
      <c r="O1570" s="65"/>
      <c r="P1570" s="65"/>
      <c r="Q1570" s="65"/>
      <c r="R1570" s="65"/>
      <c r="S1570" s="65"/>
      <c r="T1570" s="65"/>
    </row>
    <row r="1571" spans="3:20">
      <c r="C1571" s="65"/>
      <c r="D1571" s="65"/>
      <c r="E1571" s="65"/>
      <c r="F1571" s="65"/>
      <c r="G1571" s="65"/>
      <c r="H1571" s="65"/>
      <c r="I1571" s="65"/>
      <c r="J1571" s="65"/>
      <c r="K1571" s="65"/>
      <c r="L1571" s="65"/>
      <c r="M1571" s="65"/>
      <c r="N1571" s="65"/>
      <c r="O1571" s="65"/>
      <c r="P1571" s="65"/>
      <c r="Q1571" s="65"/>
      <c r="R1571" s="65"/>
      <c r="S1571" s="65"/>
      <c r="T1571" s="65"/>
    </row>
    <row r="1572" spans="3:20">
      <c r="C1572" s="65"/>
      <c r="D1572" s="65"/>
      <c r="E1572" s="65"/>
      <c r="F1572" s="65"/>
      <c r="G1572" s="65"/>
      <c r="H1572" s="65"/>
      <c r="I1572" s="65"/>
      <c r="J1572" s="65"/>
      <c r="K1572" s="65"/>
      <c r="L1572" s="65"/>
      <c r="M1572" s="65"/>
      <c r="N1572" s="65"/>
      <c r="O1572" s="65"/>
      <c r="P1572" s="65"/>
      <c r="Q1572" s="65"/>
      <c r="R1572" s="65"/>
      <c r="S1572" s="65"/>
      <c r="T1572" s="65"/>
    </row>
    <row r="1573" spans="3:20">
      <c r="C1573" s="65"/>
      <c r="D1573" s="65"/>
      <c r="E1573" s="65"/>
      <c r="F1573" s="65"/>
      <c r="G1573" s="65"/>
      <c r="H1573" s="65"/>
      <c r="I1573" s="65"/>
      <c r="J1573" s="65"/>
      <c r="K1573" s="65"/>
      <c r="L1573" s="65"/>
      <c r="M1573" s="65"/>
      <c r="N1573" s="65"/>
      <c r="O1573" s="65"/>
      <c r="P1573" s="65"/>
      <c r="Q1573" s="65"/>
      <c r="R1573" s="65"/>
      <c r="S1573" s="65"/>
      <c r="T1573" s="65"/>
    </row>
    <row r="1574" spans="3:20">
      <c r="C1574" s="65"/>
      <c r="D1574" s="65"/>
      <c r="E1574" s="65"/>
      <c r="F1574" s="65"/>
      <c r="G1574" s="65"/>
      <c r="H1574" s="65"/>
      <c r="I1574" s="65"/>
      <c r="J1574" s="65"/>
      <c r="K1574" s="65"/>
      <c r="L1574" s="65"/>
      <c r="M1574" s="65"/>
      <c r="N1574" s="65"/>
      <c r="O1574" s="65"/>
      <c r="P1574" s="65"/>
      <c r="Q1574" s="65"/>
      <c r="R1574" s="65"/>
      <c r="S1574" s="65"/>
      <c r="T1574" s="65"/>
    </row>
    <row r="1575" spans="3:20">
      <c r="C1575" s="65"/>
      <c r="D1575" s="65"/>
      <c r="E1575" s="65"/>
      <c r="F1575" s="65"/>
      <c r="G1575" s="65"/>
      <c r="H1575" s="65"/>
      <c r="I1575" s="65"/>
      <c r="J1575" s="65"/>
      <c r="K1575" s="65"/>
      <c r="L1575" s="65"/>
      <c r="M1575" s="65"/>
      <c r="N1575" s="65"/>
      <c r="O1575" s="65"/>
      <c r="P1575" s="65"/>
      <c r="Q1575" s="65"/>
      <c r="R1575" s="65"/>
      <c r="S1575" s="65"/>
      <c r="T1575" s="65"/>
    </row>
    <row r="1576" spans="3:20">
      <c r="C1576" s="65"/>
      <c r="D1576" s="65"/>
      <c r="E1576" s="65"/>
      <c r="F1576" s="65"/>
      <c r="G1576" s="65"/>
      <c r="H1576" s="65"/>
      <c r="I1576" s="65"/>
      <c r="J1576" s="65"/>
      <c r="K1576" s="65"/>
      <c r="L1576" s="65"/>
      <c r="M1576" s="65"/>
      <c r="N1576" s="65"/>
      <c r="O1576" s="65"/>
      <c r="P1576" s="65"/>
      <c r="Q1576" s="65"/>
      <c r="R1576" s="65"/>
      <c r="S1576" s="65"/>
      <c r="T1576" s="65"/>
    </row>
    <row r="1577" spans="3:20">
      <c r="C1577" s="65"/>
      <c r="D1577" s="65"/>
      <c r="E1577" s="65"/>
      <c r="F1577" s="65"/>
      <c r="G1577" s="65"/>
      <c r="H1577" s="65"/>
      <c r="I1577" s="65"/>
      <c r="J1577" s="65"/>
      <c r="K1577" s="65"/>
      <c r="L1577" s="65"/>
      <c r="M1577" s="65"/>
      <c r="N1577" s="65"/>
      <c r="O1577" s="65"/>
      <c r="P1577" s="65"/>
      <c r="Q1577" s="65"/>
      <c r="R1577" s="65"/>
      <c r="S1577" s="65"/>
      <c r="T1577" s="65"/>
    </row>
    <row r="1578" spans="3:20">
      <c r="C1578" s="65"/>
      <c r="D1578" s="65"/>
      <c r="E1578" s="65"/>
      <c r="F1578" s="65"/>
      <c r="G1578" s="65"/>
      <c r="H1578" s="65"/>
      <c r="I1578" s="65"/>
      <c r="J1578" s="65"/>
      <c r="K1578" s="65"/>
      <c r="L1578" s="65"/>
      <c r="M1578" s="65"/>
      <c r="N1578" s="65"/>
      <c r="O1578" s="65"/>
      <c r="P1578" s="65"/>
      <c r="Q1578" s="65"/>
      <c r="R1578" s="65"/>
      <c r="S1578" s="65"/>
      <c r="T1578" s="65"/>
    </row>
    <row r="1579" spans="3:20">
      <c r="C1579" s="65"/>
      <c r="D1579" s="65"/>
      <c r="E1579" s="65"/>
      <c r="F1579" s="65"/>
      <c r="G1579" s="65"/>
      <c r="H1579" s="65"/>
      <c r="I1579" s="65"/>
      <c r="J1579" s="65"/>
      <c r="K1579" s="65"/>
      <c r="L1579" s="65"/>
      <c r="M1579" s="65"/>
      <c r="N1579" s="65"/>
      <c r="O1579" s="65"/>
      <c r="P1579" s="65"/>
      <c r="Q1579" s="65"/>
      <c r="R1579" s="65"/>
      <c r="S1579" s="65"/>
      <c r="T1579" s="65"/>
    </row>
    <row r="1580" spans="3:20">
      <c r="C1580" s="65"/>
      <c r="D1580" s="65"/>
      <c r="E1580" s="65"/>
      <c r="F1580" s="65"/>
      <c r="G1580" s="65"/>
      <c r="H1580" s="65"/>
      <c r="I1580" s="65"/>
      <c r="J1580" s="65"/>
      <c r="K1580" s="65"/>
      <c r="L1580" s="65"/>
      <c r="M1580" s="65"/>
      <c r="N1580" s="65"/>
      <c r="O1580" s="65"/>
      <c r="P1580" s="65"/>
      <c r="Q1580" s="65"/>
      <c r="R1580" s="65"/>
      <c r="S1580" s="65"/>
      <c r="T1580" s="65"/>
    </row>
    <row r="1581" spans="3:20">
      <c r="C1581" s="65"/>
      <c r="D1581" s="65"/>
      <c r="E1581" s="65"/>
      <c r="F1581" s="65"/>
      <c r="G1581" s="65"/>
      <c r="H1581" s="65"/>
      <c r="I1581" s="65"/>
      <c r="J1581" s="65"/>
      <c r="K1581" s="65"/>
      <c r="L1581" s="65"/>
      <c r="M1581" s="65"/>
      <c r="N1581" s="65"/>
      <c r="O1581" s="65"/>
      <c r="P1581" s="65"/>
      <c r="Q1581" s="65"/>
      <c r="R1581" s="65"/>
      <c r="S1581" s="65"/>
      <c r="T1581" s="65"/>
    </row>
    <row r="1582" spans="3:20">
      <c r="C1582" s="65"/>
      <c r="D1582" s="65"/>
      <c r="E1582" s="65"/>
      <c r="F1582" s="65"/>
      <c r="G1582" s="65"/>
      <c r="H1582" s="65"/>
      <c r="I1582" s="65"/>
      <c r="J1582" s="65"/>
      <c r="K1582" s="65"/>
      <c r="L1582" s="65"/>
      <c r="M1582" s="65"/>
      <c r="N1582" s="65"/>
      <c r="O1582" s="65"/>
      <c r="P1582" s="65"/>
      <c r="Q1582" s="65"/>
      <c r="R1582" s="65"/>
      <c r="S1582" s="65"/>
      <c r="T1582" s="65"/>
    </row>
    <row r="1583" spans="3:20">
      <c r="C1583" s="65"/>
      <c r="D1583" s="65"/>
      <c r="E1583" s="65"/>
      <c r="F1583" s="65"/>
      <c r="G1583" s="65"/>
      <c r="H1583" s="65"/>
      <c r="I1583" s="65"/>
      <c r="J1583" s="65"/>
      <c r="K1583" s="65"/>
      <c r="L1583" s="65"/>
      <c r="M1583" s="65"/>
      <c r="N1583" s="65"/>
      <c r="O1583" s="65"/>
      <c r="P1583" s="65"/>
      <c r="Q1583" s="65"/>
      <c r="R1583" s="65"/>
      <c r="S1583" s="65"/>
      <c r="T1583" s="65"/>
    </row>
    <row r="1584" spans="3:20">
      <c r="C1584" s="65"/>
      <c r="D1584" s="65"/>
      <c r="E1584" s="65"/>
      <c r="F1584" s="65"/>
      <c r="G1584" s="65"/>
      <c r="H1584" s="65"/>
      <c r="I1584" s="65"/>
      <c r="J1584" s="65"/>
      <c r="K1584" s="65"/>
      <c r="L1584" s="65"/>
      <c r="M1584" s="65"/>
      <c r="N1584" s="65"/>
      <c r="O1584" s="65"/>
      <c r="P1584" s="65"/>
      <c r="Q1584" s="65"/>
      <c r="R1584" s="65"/>
      <c r="S1584" s="65"/>
      <c r="T1584" s="65"/>
    </row>
    <row r="1585" spans="3:20">
      <c r="C1585" s="65"/>
      <c r="D1585" s="65"/>
      <c r="E1585" s="65"/>
      <c r="F1585" s="65"/>
      <c r="G1585" s="65"/>
      <c r="H1585" s="65"/>
      <c r="I1585" s="65"/>
      <c r="J1585" s="65"/>
      <c r="K1585" s="65"/>
      <c r="L1585" s="65"/>
      <c r="M1585" s="65"/>
      <c r="N1585" s="65"/>
      <c r="O1585" s="65"/>
      <c r="P1585" s="65"/>
      <c r="Q1585" s="65"/>
      <c r="R1585" s="65"/>
      <c r="S1585" s="65"/>
      <c r="T1585" s="65"/>
    </row>
    <row r="1586" spans="3:20">
      <c r="C1586" s="65"/>
      <c r="D1586" s="65"/>
      <c r="E1586" s="65"/>
      <c r="F1586" s="65"/>
      <c r="G1586" s="65"/>
      <c r="H1586" s="65"/>
      <c r="I1586" s="65"/>
      <c r="J1586" s="65"/>
      <c r="K1586" s="65"/>
      <c r="L1586" s="65"/>
      <c r="M1586" s="65"/>
      <c r="N1586" s="65"/>
      <c r="O1586" s="65"/>
      <c r="P1586" s="65"/>
      <c r="Q1586" s="65"/>
      <c r="R1586" s="65"/>
      <c r="S1586" s="65"/>
      <c r="T1586" s="65"/>
    </row>
    <row r="1587" spans="3:20">
      <c r="C1587" s="65"/>
      <c r="D1587" s="65"/>
      <c r="E1587" s="65"/>
      <c r="F1587" s="65"/>
      <c r="G1587" s="65"/>
      <c r="H1587" s="65"/>
      <c r="I1587" s="65"/>
      <c r="J1587" s="65"/>
      <c r="K1587" s="65"/>
      <c r="L1587" s="65"/>
      <c r="M1587" s="65"/>
      <c r="N1587" s="65"/>
      <c r="O1587" s="65"/>
      <c r="P1587" s="65"/>
      <c r="Q1587" s="65"/>
      <c r="R1587" s="65"/>
      <c r="S1587" s="65"/>
      <c r="T1587" s="65"/>
    </row>
    <row r="1588" spans="3:20">
      <c r="C1588" s="65"/>
      <c r="D1588" s="65"/>
      <c r="E1588" s="65"/>
      <c r="F1588" s="65"/>
      <c r="G1588" s="65"/>
      <c r="H1588" s="65"/>
      <c r="I1588" s="65"/>
      <c r="J1588" s="65"/>
      <c r="K1588" s="65"/>
      <c r="L1588" s="65"/>
      <c r="M1588" s="65"/>
      <c r="N1588" s="65"/>
      <c r="O1588" s="65"/>
      <c r="P1588" s="65"/>
      <c r="Q1588" s="65"/>
      <c r="R1588" s="65"/>
      <c r="S1588" s="65"/>
      <c r="T1588" s="65"/>
    </row>
    <row r="1589" spans="3:20">
      <c r="C1589" s="65"/>
      <c r="D1589" s="65"/>
      <c r="E1589" s="65"/>
      <c r="F1589" s="65"/>
      <c r="G1589" s="65"/>
      <c r="H1589" s="65"/>
      <c r="I1589" s="65"/>
      <c r="J1589" s="65"/>
      <c r="K1589" s="65"/>
      <c r="L1589" s="65"/>
      <c r="M1589" s="65"/>
      <c r="N1589" s="65"/>
      <c r="O1589" s="65"/>
      <c r="P1589" s="65"/>
      <c r="Q1589" s="65"/>
      <c r="R1589" s="65"/>
      <c r="S1589" s="65"/>
      <c r="T1589" s="65"/>
    </row>
    <row r="1590" spans="3:20">
      <c r="C1590" s="65"/>
      <c r="D1590" s="65"/>
      <c r="E1590" s="65"/>
      <c r="F1590" s="65"/>
      <c r="G1590" s="65"/>
      <c r="H1590" s="65"/>
      <c r="I1590" s="65"/>
      <c r="J1590" s="65"/>
      <c r="K1590" s="65"/>
      <c r="L1590" s="65"/>
      <c r="M1590" s="65"/>
      <c r="N1590" s="65"/>
      <c r="O1590" s="65"/>
      <c r="P1590" s="65"/>
      <c r="Q1590" s="65"/>
      <c r="R1590" s="65"/>
      <c r="S1590" s="65"/>
      <c r="T1590" s="65"/>
    </row>
    <row r="1591" spans="3:20">
      <c r="C1591" s="65"/>
      <c r="D1591" s="65"/>
      <c r="E1591" s="65"/>
      <c r="F1591" s="65"/>
      <c r="G1591" s="65"/>
      <c r="H1591" s="65"/>
      <c r="I1591" s="65"/>
      <c r="J1591" s="65"/>
      <c r="K1591" s="65"/>
      <c r="L1591" s="65"/>
      <c r="M1591" s="65"/>
      <c r="N1591" s="65"/>
      <c r="O1591" s="65"/>
      <c r="P1591" s="65"/>
      <c r="Q1591" s="65"/>
      <c r="R1591" s="65"/>
      <c r="S1591" s="65"/>
      <c r="T1591" s="65"/>
    </row>
    <row r="1592" spans="3:20">
      <c r="C1592" s="65"/>
      <c r="D1592" s="65"/>
      <c r="E1592" s="65"/>
      <c r="F1592" s="65"/>
      <c r="G1592" s="65"/>
      <c r="H1592" s="65"/>
      <c r="I1592" s="65"/>
      <c r="J1592" s="65"/>
      <c r="K1592" s="65"/>
      <c r="L1592" s="65"/>
      <c r="M1592" s="65"/>
      <c r="N1592" s="65"/>
      <c r="O1592" s="65"/>
      <c r="P1592" s="65"/>
      <c r="Q1592" s="65"/>
      <c r="R1592" s="65"/>
      <c r="S1592" s="65"/>
      <c r="T1592" s="65"/>
    </row>
    <row r="1593" spans="3:20">
      <c r="C1593" s="65"/>
      <c r="D1593" s="65"/>
      <c r="E1593" s="65"/>
      <c r="F1593" s="65"/>
      <c r="G1593" s="65"/>
      <c r="H1593" s="65"/>
      <c r="I1593" s="65"/>
      <c r="J1593" s="65"/>
      <c r="K1593" s="65"/>
      <c r="L1593" s="65"/>
      <c r="M1593" s="65"/>
      <c r="N1593" s="65"/>
      <c r="O1593" s="65"/>
      <c r="P1593" s="65"/>
      <c r="Q1593" s="65"/>
      <c r="R1593" s="65"/>
      <c r="S1593" s="65"/>
      <c r="T1593" s="65"/>
    </row>
    <row r="1594" spans="3:20">
      <c r="C1594" s="65"/>
      <c r="D1594" s="65"/>
      <c r="E1594" s="65"/>
      <c r="F1594" s="65"/>
      <c r="G1594" s="65"/>
      <c r="H1594" s="65"/>
      <c r="I1594" s="65"/>
      <c r="J1594" s="65"/>
      <c r="K1594" s="65"/>
      <c r="L1594" s="65"/>
      <c r="M1594" s="65"/>
      <c r="N1594" s="65"/>
      <c r="O1594" s="65"/>
      <c r="P1594" s="65"/>
      <c r="Q1594" s="65"/>
      <c r="R1594" s="65"/>
      <c r="S1594" s="65"/>
      <c r="T1594" s="65"/>
    </row>
    <row r="1595" spans="3:20">
      <c r="C1595" s="65"/>
      <c r="D1595" s="65"/>
      <c r="E1595" s="65"/>
      <c r="F1595" s="65"/>
      <c r="G1595" s="65"/>
      <c r="H1595" s="65"/>
      <c r="I1595" s="65"/>
      <c r="J1595" s="65"/>
      <c r="K1595" s="65"/>
      <c r="L1595" s="65"/>
      <c r="M1595" s="65"/>
      <c r="N1595" s="65"/>
      <c r="O1595" s="65"/>
      <c r="P1595" s="65"/>
      <c r="Q1595" s="65"/>
      <c r="R1595" s="65"/>
      <c r="S1595" s="65"/>
      <c r="T1595" s="65"/>
    </row>
    <row r="1596" spans="3:20">
      <c r="C1596" s="65"/>
      <c r="D1596" s="65"/>
      <c r="E1596" s="65"/>
      <c r="F1596" s="65"/>
      <c r="G1596" s="65"/>
      <c r="H1596" s="65"/>
      <c r="I1596" s="65"/>
      <c r="J1596" s="65"/>
      <c r="K1596" s="65"/>
      <c r="L1596" s="65"/>
      <c r="M1596" s="65"/>
      <c r="N1596" s="65"/>
      <c r="O1596" s="65"/>
      <c r="P1596" s="65"/>
      <c r="Q1596" s="65"/>
      <c r="R1596" s="65"/>
      <c r="S1596" s="65"/>
      <c r="T1596" s="65"/>
    </row>
    <row r="1597" spans="3:20">
      <c r="C1597" s="65"/>
      <c r="D1597" s="65"/>
      <c r="E1597" s="65"/>
      <c r="F1597" s="65"/>
      <c r="G1597" s="65"/>
      <c r="H1597" s="65"/>
      <c r="I1597" s="65"/>
      <c r="J1597" s="65"/>
      <c r="K1597" s="65"/>
      <c r="L1597" s="65"/>
      <c r="M1597" s="65"/>
      <c r="N1597" s="65"/>
      <c r="O1597" s="65"/>
      <c r="P1597" s="65"/>
      <c r="Q1597" s="65"/>
      <c r="R1597" s="65"/>
      <c r="S1597" s="65"/>
      <c r="T1597" s="65"/>
    </row>
    <row r="1598" spans="3:20">
      <c r="C1598" s="65"/>
      <c r="D1598" s="65"/>
      <c r="E1598" s="65"/>
      <c r="F1598" s="65"/>
      <c r="G1598" s="65"/>
      <c r="H1598" s="65"/>
      <c r="I1598" s="65"/>
      <c r="J1598" s="65"/>
      <c r="K1598" s="65"/>
      <c r="L1598" s="65"/>
      <c r="M1598" s="65"/>
      <c r="N1598" s="65"/>
      <c r="O1598" s="65"/>
      <c r="P1598" s="65"/>
      <c r="Q1598" s="65"/>
      <c r="R1598" s="65"/>
      <c r="S1598" s="65"/>
      <c r="T1598" s="65"/>
    </row>
    <row r="1599" spans="3:20">
      <c r="C1599" s="65"/>
      <c r="D1599" s="65"/>
      <c r="E1599" s="65"/>
      <c r="F1599" s="65"/>
      <c r="G1599" s="65"/>
      <c r="H1599" s="65"/>
      <c r="I1599" s="65"/>
      <c r="J1599" s="65"/>
      <c r="K1599" s="65"/>
      <c r="L1599" s="65"/>
      <c r="M1599" s="65"/>
      <c r="N1599" s="65"/>
      <c r="O1599" s="65"/>
      <c r="P1599" s="65"/>
      <c r="Q1599" s="65"/>
      <c r="R1599" s="65"/>
      <c r="S1599" s="65"/>
      <c r="T1599" s="65"/>
    </row>
    <row r="1600" spans="3:20">
      <c r="C1600" s="65"/>
      <c r="D1600" s="65"/>
      <c r="E1600" s="65"/>
      <c r="F1600" s="65"/>
      <c r="G1600" s="65"/>
      <c r="H1600" s="65"/>
      <c r="I1600" s="65"/>
      <c r="J1600" s="65"/>
      <c r="K1600" s="65"/>
      <c r="L1600" s="65"/>
      <c r="M1600" s="65"/>
      <c r="N1600" s="65"/>
      <c r="O1600" s="65"/>
      <c r="P1600" s="65"/>
      <c r="Q1600" s="65"/>
      <c r="R1600" s="65"/>
      <c r="S1600" s="65"/>
      <c r="T1600" s="65"/>
    </row>
    <row r="1601" spans="3:20">
      <c r="C1601" s="65"/>
      <c r="D1601" s="65"/>
      <c r="E1601" s="65"/>
      <c r="F1601" s="65"/>
      <c r="G1601" s="65"/>
      <c r="H1601" s="65"/>
      <c r="I1601" s="65"/>
      <c r="J1601" s="65"/>
      <c r="K1601" s="65"/>
      <c r="L1601" s="65"/>
      <c r="M1601" s="65"/>
      <c r="N1601" s="65"/>
      <c r="O1601" s="65"/>
      <c r="P1601" s="65"/>
      <c r="Q1601" s="65"/>
      <c r="R1601" s="65"/>
      <c r="S1601" s="65"/>
      <c r="T1601" s="65"/>
    </row>
    <row r="1602" spans="3:20">
      <c r="C1602" s="65"/>
      <c r="D1602" s="65"/>
      <c r="E1602" s="65"/>
      <c r="F1602" s="65"/>
      <c r="G1602" s="65"/>
      <c r="H1602" s="65"/>
      <c r="I1602" s="65"/>
      <c r="J1602" s="65"/>
      <c r="K1602" s="65"/>
      <c r="L1602" s="65"/>
      <c r="M1602" s="65"/>
      <c r="N1602" s="65"/>
      <c r="O1602" s="65"/>
      <c r="P1602" s="65"/>
      <c r="Q1602" s="65"/>
      <c r="R1602" s="65"/>
      <c r="S1602" s="65"/>
      <c r="T1602" s="65"/>
    </row>
    <row r="1603" spans="3:20">
      <c r="C1603" s="65"/>
      <c r="D1603" s="65"/>
      <c r="E1603" s="65"/>
      <c r="F1603" s="65"/>
      <c r="G1603" s="65"/>
      <c r="H1603" s="65"/>
      <c r="I1603" s="65"/>
      <c r="J1603" s="65"/>
      <c r="K1603" s="65"/>
      <c r="L1603" s="65"/>
      <c r="M1603" s="65"/>
      <c r="N1603" s="65"/>
      <c r="O1603" s="65"/>
      <c r="P1603" s="65"/>
      <c r="Q1603" s="65"/>
      <c r="R1603" s="65"/>
      <c r="S1603" s="65"/>
      <c r="T1603" s="65"/>
    </row>
    <row r="1604" spans="3:20">
      <c r="C1604" s="65"/>
      <c r="D1604" s="65"/>
      <c r="E1604" s="65"/>
      <c r="F1604" s="65"/>
      <c r="G1604" s="65"/>
      <c r="H1604" s="65"/>
      <c r="I1604" s="65"/>
      <c r="J1604" s="65"/>
      <c r="K1604" s="65"/>
      <c r="L1604" s="65"/>
      <c r="M1604" s="65"/>
      <c r="N1604" s="65"/>
      <c r="O1604" s="65"/>
      <c r="P1604" s="65"/>
      <c r="Q1604" s="65"/>
      <c r="R1604" s="65"/>
      <c r="S1604" s="65"/>
      <c r="T1604" s="65"/>
    </row>
    <row r="1605" spans="3:20">
      <c r="C1605" s="65"/>
      <c r="D1605" s="65"/>
      <c r="E1605" s="65"/>
      <c r="F1605" s="65"/>
      <c r="G1605" s="65"/>
      <c r="H1605" s="65"/>
      <c r="I1605" s="65"/>
      <c r="J1605" s="65"/>
      <c r="K1605" s="65"/>
      <c r="L1605" s="65"/>
      <c r="M1605" s="65"/>
      <c r="N1605" s="65"/>
      <c r="O1605" s="65"/>
      <c r="P1605" s="65"/>
      <c r="Q1605" s="65"/>
      <c r="R1605" s="65"/>
      <c r="S1605" s="65"/>
      <c r="T1605" s="65"/>
    </row>
    <row r="1606" spans="3:20">
      <c r="C1606" s="65"/>
      <c r="D1606" s="65"/>
      <c r="E1606" s="65"/>
      <c r="F1606" s="65"/>
      <c r="G1606" s="65"/>
      <c r="H1606" s="65"/>
      <c r="I1606" s="65"/>
      <c r="J1606" s="65"/>
      <c r="K1606" s="65"/>
      <c r="L1606" s="65"/>
      <c r="M1606" s="65"/>
      <c r="N1606" s="65"/>
      <c r="O1606" s="65"/>
      <c r="P1606" s="65"/>
      <c r="Q1606" s="65"/>
      <c r="R1606" s="65"/>
      <c r="S1606" s="65"/>
      <c r="T1606" s="65"/>
    </row>
    <row r="1607" spans="3:20">
      <c r="C1607" s="65"/>
      <c r="D1607" s="65"/>
      <c r="E1607" s="65"/>
      <c r="F1607" s="65"/>
      <c r="G1607" s="65"/>
      <c r="H1607" s="65"/>
      <c r="I1607" s="65"/>
      <c r="J1607" s="65"/>
      <c r="K1607" s="65"/>
      <c r="L1607" s="65"/>
      <c r="M1607" s="65"/>
      <c r="N1607" s="65"/>
      <c r="O1607" s="65"/>
      <c r="P1607" s="65"/>
      <c r="Q1607" s="65"/>
      <c r="R1607" s="65"/>
      <c r="S1607" s="65"/>
      <c r="T1607" s="65"/>
    </row>
    <row r="1608" spans="3:20">
      <c r="C1608" s="65"/>
      <c r="D1608" s="65"/>
      <c r="E1608" s="65"/>
      <c r="F1608" s="65"/>
      <c r="G1608" s="65"/>
      <c r="H1608" s="65"/>
      <c r="I1608" s="65"/>
      <c r="J1608" s="65"/>
      <c r="K1608" s="65"/>
      <c r="L1608" s="65"/>
      <c r="M1608" s="65"/>
      <c r="N1608" s="65"/>
      <c r="O1608" s="65"/>
      <c r="P1608" s="65"/>
      <c r="Q1608" s="65"/>
      <c r="R1608" s="65"/>
      <c r="S1608" s="65"/>
      <c r="T1608" s="65"/>
    </row>
    <row r="1609" spans="3:20">
      <c r="C1609" s="65"/>
      <c r="D1609" s="65"/>
      <c r="E1609" s="65"/>
      <c r="F1609" s="65"/>
      <c r="G1609" s="65"/>
      <c r="H1609" s="65"/>
      <c r="I1609" s="65"/>
      <c r="J1609" s="65"/>
      <c r="K1609" s="65"/>
      <c r="L1609" s="65"/>
      <c r="M1609" s="65"/>
      <c r="N1609" s="65"/>
      <c r="O1609" s="65"/>
      <c r="P1609" s="65"/>
      <c r="Q1609" s="65"/>
      <c r="R1609" s="65"/>
      <c r="S1609" s="65"/>
      <c r="T1609" s="65"/>
    </row>
    <row r="1610" spans="3:20">
      <c r="C1610" s="65"/>
      <c r="D1610" s="65"/>
      <c r="E1610" s="65"/>
      <c r="F1610" s="65"/>
      <c r="G1610" s="65"/>
      <c r="H1610" s="65"/>
      <c r="I1610" s="65"/>
      <c r="J1610" s="65"/>
      <c r="K1610" s="65"/>
      <c r="L1610" s="65"/>
      <c r="M1610" s="65"/>
      <c r="N1610" s="65"/>
      <c r="O1610" s="65"/>
      <c r="P1610" s="65"/>
      <c r="Q1610" s="65"/>
      <c r="R1610" s="65"/>
      <c r="S1610" s="65"/>
      <c r="T1610" s="65"/>
    </row>
    <row r="1611" spans="3:20">
      <c r="C1611" s="65"/>
      <c r="D1611" s="65"/>
      <c r="E1611" s="65"/>
      <c r="F1611" s="65"/>
      <c r="G1611" s="65"/>
      <c r="H1611" s="65"/>
      <c r="I1611" s="65"/>
      <c r="J1611" s="65"/>
      <c r="K1611" s="65"/>
      <c r="L1611" s="65"/>
      <c r="M1611" s="65"/>
      <c r="N1611" s="65"/>
      <c r="O1611" s="65"/>
      <c r="P1611" s="65"/>
      <c r="Q1611" s="65"/>
      <c r="R1611" s="65"/>
      <c r="S1611" s="65"/>
      <c r="T1611" s="65"/>
    </row>
    <row r="1612" spans="3:20">
      <c r="C1612" s="65"/>
      <c r="D1612" s="65"/>
      <c r="E1612" s="65"/>
      <c r="F1612" s="65"/>
      <c r="G1612" s="65"/>
      <c r="H1612" s="65"/>
      <c r="I1612" s="65"/>
      <c r="J1612" s="65"/>
      <c r="K1612" s="65"/>
      <c r="L1612" s="65"/>
      <c r="M1612" s="65"/>
      <c r="N1612" s="65"/>
      <c r="O1612" s="65"/>
      <c r="P1612" s="65"/>
      <c r="Q1612" s="65"/>
      <c r="R1612" s="65"/>
      <c r="S1612" s="65"/>
      <c r="T1612" s="65"/>
    </row>
    <row r="1613" spans="3:20">
      <c r="C1613" s="65"/>
      <c r="D1613" s="65"/>
      <c r="E1613" s="65"/>
      <c r="F1613" s="65"/>
      <c r="G1613" s="65"/>
      <c r="H1613" s="65"/>
      <c r="I1613" s="65"/>
      <c r="J1613" s="65"/>
      <c r="K1613" s="65"/>
      <c r="L1613" s="65"/>
      <c r="M1613" s="65"/>
      <c r="N1613" s="65"/>
      <c r="O1613" s="65"/>
      <c r="P1613" s="65"/>
      <c r="Q1613" s="65"/>
      <c r="R1613" s="65"/>
      <c r="S1613" s="65"/>
      <c r="T1613" s="65"/>
    </row>
    <row r="1614" spans="3:20">
      <c r="C1614" s="65"/>
      <c r="D1614" s="65"/>
      <c r="E1614" s="65"/>
      <c r="F1614" s="65"/>
      <c r="G1614" s="65"/>
      <c r="H1614" s="65"/>
      <c r="I1614" s="65"/>
      <c r="J1614" s="65"/>
      <c r="K1614" s="65"/>
      <c r="L1614" s="65"/>
      <c r="M1614" s="65"/>
      <c r="N1614" s="65"/>
      <c r="O1614" s="65"/>
      <c r="P1614" s="65"/>
      <c r="Q1614" s="65"/>
      <c r="R1614" s="65"/>
      <c r="S1614" s="65"/>
      <c r="T1614" s="65"/>
    </row>
    <row r="1615" spans="3:20">
      <c r="C1615" s="65"/>
      <c r="D1615" s="65"/>
      <c r="E1615" s="65"/>
      <c r="F1615" s="65"/>
      <c r="G1615" s="65"/>
      <c r="H1615" s="65"/>
      <c r="I1615" s="65"/>
      <c r="J1615" s="65"/>
      <c r="K1615" s="65"/>
      <c r="L1615" s="65"/>
      <c r="M1615" s="65"/>
      <c r="N1615" s="65"/>
      <c r="O1615" s="65"/>
      <c r="P1615" s="65"/>
      <c r="Q1615" s="65"/>
      <c r="R1615" s="65"/>
      <c r="S1615" s="65"/>
      <c r="T1615" s="65"/>
    </row>
    <row r="1616" spans="3:20">
      <c r="C1616" s="65"/>
      <c r="D1616" s="65"/>
      <c r="E1616" s="65"/>
      <c r="F1616" s="65"/>
      <c r="G1616" s="65"/>
      <c r="H1616" s="65"/>
      <c r="I1616" s="65"/>
      <c r="J1616" s="65"/>
      <c r="K1616" s="65"/>
      <c r="L1616" s="65"/>
      <c r="M1616" s="65"/>
      <c r="N1616" s="65"/>
      <c r="O1616" s="65"/>
      <c r="P1616" s="65"/>
      <c r="Q1616" s="65"/>
      <c r="R1616" s="65"/>
      <c r="S1616" s="65"/>
      <c r="T1616" s="65"/>
    </row>
    <row r="1617" spans="3:20">
      <c r="C1617" s="65"/>
      <c r="D1617" s="65"/>
      <c r="E1617" s="65"/>
      <c r="F1617" s="65"/>
      <c r="G1617" s="65"/>
      <c r="H1617" s="65"/>
      <c r="I1617" s="65"/>
      <c r="J1617" s="65"/>
      <c r="K1617" s="65"/>
      <c r="L1617" s="65"/>
      <c r="M1617" s="65"/>
      <c r="N1617" s="65"/>
      <c r="O1617" s="65"/>
      <c r="P1617" s="65"/>
      <c r="Q1617" s="65"/>
      <c r="R1617" s="65"/>
      <c r="S1617" s="65"/>
      <c r="T1617" s="65"/>
    </row>
    <row r="1618" spans="3:20">
      <c r="C1618" s="65"/>
      <c r="D1618" s="65"/>
      <c r="E1618" s="65"/>
      <c r="F1618" s="65"/>
      <c r="G1618" s="65"/>
      <c r="H1618" s="65"/>
      <c r="I1618" s="65"/>
      <c r="J1618" s="65"/>
      <c r="K1618" s="65"/>
      <c r="L1618" s="65"/>
      <c r="M1618" s="65"/>
      <c r="N1618" s="65"/>
      <c r="O1618" s="65"/>
      <c r="P1618" s="65"/>
      <c r="Q1618" s="65"/>
      <c r="R1618" s="65"/>
      <c r="S1618" s="65"/>
      <c r="T1618" s="65"/>
    </row>
    <row r="1619" spans="3:20">
      <c r="C1619" s="65"/>
      <c r="D1619" s="65"/>
      <c r="E1619" s="65"/>
      <c r="F1619" s="65"/>
      <c r="G1619" s="65"/>
      <c r="H1619" s="65"/>
      <c r="I1619" s="65"/>
      <c r="J1619" s="65"/>
      <c r="K1619" s="65"/>
      <c r="L1619" s="65"/>
      <c r="M1619" s="65"/>
      <c r="N1619" s="65"/>
      <c r="O1619" s="65"/>
      <c r="P1619" s="65"/>
      <c r="Q1619" s="65"/>
      <c r="R1619" s="65"/>
      <c r="S1619" s="65"/>
      <c r="T1619" s="65"/>
    </row>
    <row r="1620" spans="3:20">
      <c r="C1620" s="65"/>
      <c r="D1620" s="65"/>
      <c r="E1620" s="65"/>
      <c r="F1620" s="65"/>
      <c r="G1620" s="65"/>
      <c r="H1620" s="65"/>
      <c r="I1620" s="65"/>
      <c r="J1620" s="65"/>
      <c r="K1620" s="65"/>
      <c r="L1620" s="65"/>
      <c r="M1620" s="65"/>
      <c r="N1620" s="65"/>
      <c r="O1620" s="65"/>
      <c r="P1620" s="65"/>
      <c r="Q1620" s="65"/>
      <c r="R1620" s="65"/>
      <c r="S1620" s="65"/>
      <c r="T1620" s="65"/>
    </row>
    <row r="1621" spans="3:20">
      <c r="C1621" s="65"/>
      <c r="D1621" s="65"/>
      <c r="E1621" s="65"/>
      <c r="F1621" s="65"/>
      <c r="G1621" s="65"/>
      <c r="H1621" s="65"/>
      <c r="I1621" s="65"/>
      <c r="J1621" s="65"/>
      <c r="K1621" s="65"/>
      <c r="L1621" s="65"/>
      <c r="M1621" s="65"/>
      <c r="N1621" s="65"/>
      <c r="O1621" s="65"/>
      <c r="P1621" s="65"/>
      <c r="Q1621" s="65"/>
      <c r="R1621" s="65"/>
      <c r="S1621" s="65"/>
      <c r="T1621" s="65"/>
    </row>
    <row r="1622" spans="3:20">
      <c r="C1622" s="65"/>
      <c r="D1622" s="65"/>
      <c r="E1622" s="65"/>
      <c r="F1622" s="65"/>
      <c r="G1622" s="65"/>
      <c r="H1622" s="65"/>
      <c r="I1622" s="65"/>
      <c r="J1622" s="65"/>
      <c r="K1622" s="65"/>
      <c r="L1622" s="65"/>
      <c r="M1622" s="65"/>
      <c r="N1622" s="65"/>
      <c r="O1622" s="65"/>
      <c r="P1622" s="65"/>
      <c r="Q1622" s="65"/>
      <c r="R1622" s="65"/>
      <c r="S1622" s="65"/>
      <c r="T1622" s="65"/>
    </row>
    <row r="1623" spans="3:20">
      <c r="C1623" s="65"/>
      <c r="D1623" s="65"/>
      <c r="E1623" s="65"/>
      <c r="F1623" s="65"/>
      <c r="G1623" s="65"/>
      <c r="H1623" s="65"/>
      <c r="I1623" s="65"/>
      <c r="J1623" s="65"/>
      <c r="K1623" s="65"/>
      <c r="L1623" s="65"/>
      <c r="M1623" s="65"/>
      <c r="N1623" s="65"/>
      <c r="O1623" s="65"/>
      <c r="P1623" s="65"/>
      <c r="Q1623" s="65"/>
      <c r="R1623" s="65"/>
      <c r="S1623" s="65"/>
      <c r="T1623" s="65"/>
    </row>
    <row r="1624" spans="3:20">
      <c r="C1624" s="65"/>
      <c r="D1624" s="65"/>
      <c r="E1624" s="65"/>
      <c r="F1624" s="65"/>
      <c r="G1624" s="65"/>
      <c r="H1624" s="65"/>
      <c r="I1624" s="65"/>
      <c r="J1624" s="65"/>
      <c r="K1624" s="65"/>
      <c r="L1624" s="65"/>
      <c r="M1624" s="65"/>
      <c r="N1624" s="65"/>
      <c r="O1624" s="65"/>
      <c r="P1624" s="65"/>
      <c r="Q1624" s="65"/>
      <c r="R1624" s="65"/>
      <c r="S1624" s="65"/>
      <c r="T1624" s="65"/>
    </row>
    <row r="1625" spans="3:20">
      <c r="C1625" s="65"/>
      <c r="D1625" s="65"/>
      <c r="E1625" s="65"/>
      <c r="F1625" s="65"/>
      <c r="G1625" s="65"/>
      <c r="H1625" s="65"/>
      <c r="I1625" s="65"/>
      <c r="J1625" s="65"/>
      <c r="K1625" s="65"/>
      <c r="L1625" s="65"/>
      <c r="M1625" s="65"/>
      <c r="N1625" s="65"/>
      <c r="O1625" s="65"/>
      <c r="P1625" s="65"/>
      <c r="Q1625" s="65"/>
      <c r="R1625" s="65"/>
      <c r="S1625" s="65"/>
      <c r="T1625" s="65"/>
    </row>
    <row r="1626" spans="3:20">
      <c r="C1626" s="65"/>
      <c r="D1626" s="65"/>
      <c r="E1626" s="65"/>
      <c r="F1626" s="65"/>
      <c r="G1626" s="65"/>
      <c r="H1626" s="65"/>
      <c r="I1626" s="65"/>
      <c r="J1626" s="65"/>
      <c r="K1626" s="65"/>
      <c r="L1626" s="65"/>
      <c r="M1626" s="65"/>
      <c r="N1626" s="65"/>
      <c r="O1626" s="65"/>
      <c r="P1626" s="65"/>
      <c r="Q1626" s="65"/>
      <c r="R1626" s="65"/>
      <c r="S1626" s="65"/>
      <c r="T1626" s="65"/>
    </row>
    <row r="1627" spans="3:20">
      <c r="C1627" s="65"/>
      <c r="D1627" s="65"/>
      <c r="E1627" s="65"/>
      <c r="F1627" s="65"/>
      <c r="G1627" s="65"/>
      <c r="H1627" s="65"/>
      <c r="I1627" s="65"/>
      <c r="J1627" s="65"/>
      <c r="K1627" s="65"/>
      <c r="L1627" s="65"/>
      <c r="M1627" s="65"/>
      <c r="N1627" s="65"/>
      <c r="O1627" s="65"/>
      <c r="P1627" s="65"/>
      <c r="Q1627" s="65"/>
      <c r="R1627" s="65"/>
      <c r="S1627" s="65"/>
      <c r="T1627" s="65"/>
    </row>
    <row r="1628" spans="3:20">
      <c r="C1628" s="65"/>
      <c r="D1628" s="65"/>
      <c r="E1628" s="65"/>
      <c r="F1628" s="65"/>
      <c r="G1628" s="65"/>
      <c r="H1628" s="65"/>
      <c r="I1628" s="65"/>
      <c r="J1628" s="65"/>
      <c r="K1628" s="65"/>
      <c r="L1628" s="65"/>
      <c r="M1628" s="65"/>
      <c r="N1628" s="65"/>
      <c r="O1628" s="65"/>
      <c r="P1628" s="65"/>
      <c r="Q1628" s="65"/>
      <c r="R1628" s="65"/>
      <c r="S1628" s="65"/>
      <c r="T1628" s="65"/>
    </row>
    <row r="1629" spans="3:20">
      <c r="C1629" s="65"/>
      <c r="D1629" s="65"/>
      <c r="E1629" s="65"/>
      <c r="F1629" s="65"/>
      <c r="G1629" s="65"/>
      <c r="H1629" s="65"/>
      <c r="I1629" s="65"/>
      <c r="J1629" s="65"/>
      <c r="K1629" s="65"/>
      <c r="L1629" s="65"/>
      <c r="M1629" s="65"/>
      <c r="N1629" s="65"/>
      <c r="O1629" s="65"/>
      <c r="P1629" s="65"/>
      <c r="Q1629" s="65"/>
      <c r="R1629" s="65"/>
      <c r="S1629" s="65"/>
      <c r="T1629" s="65"/>
    </row>
    <row r="1630" spans="3:20">
      <c r="C1630" s="65"/>
      <c r="D1630" s="65"/>
      <c r="E1630" s="65"/>
      <c r="F1630" s="65"/>
      <c r="G1630" s="65"/>
      <c r="H1630" s="65"/>
      <c r="I1630" s="65"/>
      <c r="J1630" s="65"/>
      <c r="K1630" s="65"/>
      <c r="L1630" s="65"/>
      <c r="M1630" s="65"/>
      <c r="N1630" s="65"/>
      <c r="O1630" s="65"/>
      <c r="P1630" s="65"/>
      <c r="Q1630" s="65"/>
      <c r="R1630" s="65"/>
      <c r="S1630" s="65"/>
      <c r="T1630" s="65"/>
    </row>
    <row r="1631" spans="3:20">
      <c r="C1631" s="65"/>
      <c r="D1631" s="65"/>
      <c r="E1631" s="65"/>
      <c r="F1631" s="65"/>
      <c r="G1631" s="65"/>
      <c r="H1631" s="65"/>
      <c r="I1631" s="65"/>
      <c r="J1631" s="65"/>
      <c r="K1631" s="65"/>
      <c r="L1631" s="65"/>
      <c r="M1631" s="65"/>
      <c r="N1631" s="65"/>
      <c r="O1631" s="65"/>
      <c r="P1631" s="65"/>
      <c r="Q1631" s="65"/>
      <c r="R1631" s="65"/>
      <c r="S1631" s="65"/>
      <c r="T1631" s="65"/>
    </row>
    <row r="1632" spans="3:20">
      <c r="C1632" s="65"/>
      <c r="D1632" s="65"/>
      <c r="E1632" s="65"/>
      <c r="F1632" s="65"/>
      <c r="G1632" s="65"/>
      <c r="H1632" s="65"/>
      <c r="I1632" s="65"/>
      <c r="J1632" s="65"/>
      <c r="K1632" s="65"/>
      <c r="L1632" s="65"/>
      <c r="M1632" s="65"/>
      <c r="N1632" s="65"/>
      <c r="O1632" s="65"/>
      <c r="P1632" s="65"/>
      <c r="Q1632" s="65"/>
      <c r="R1632" s="65"/>
      <c r="S1632" s="65"/>
      <c r="T1632" s="65"/>
    </row>
    <row r="1633" spans="3:20">
      <c r="C1633" s="65"/>
      <c r="D1633" s="65"/>
      <c r="E1633" s="65"/>
      <c r="F1633" s="65"/>
      <c r="G1633" s="65"/>
      <c r="H1633" s="65"/>
      <c r="I1633" s="65"/>
      <c r="J1633" s="65"/>
      <c r="K1633" s="65"/>
      <c r="L1633" s="65"/>
      <c r="M1633" s="65"/>
      <c r="N1633" s="65"/>
      <c r="O1633" s="65"/>
      <c r="P1633" s="65"/>
      <c r="Q1633" s="65"/>
      <c r="R1633" s="65"/>
      <c r="S1633" s="65"/>
      <c r="T1633" s="65"/>
    </row>
    <row r="1634" spans="3:20">
      <c r="C1634" s="65"/>
      <c r="D1634" s="65"/>
      <c r="E1634" s="65"/>
      <c r="F1634" s="65"/>
      <c r="G1634" s="65"/>
      <c r="H1634" s="65"/>
      <c r="I1634" s="65"/>
      <c r="J1634" s="65"/>
      <c r="K1634" s="65"/>
      <c r="L1634" s="65"/>
      <c r="M1634" s="65"/>
      <c r="N1634" s="65"/>
      <c r="O1634" s="65"/>
      <c r="P1634" s="65"/>
      <c r="Q1634" s="65"/>
      <c r="R1634" s="65"/>
      <c r="S1634" s="65"/>
      <c r="T1634" s="65"/>
    </row>
    <row r="1635" spans="3:20">
      <c r="C1635" s="65"/>
      <c r="D1635" s="65"/>
      <c r="E1635" s="65"/>
      <c r="F1635" s="65"/>
      <c r="G1635" s="65"/>
      <c r="H1635" s="65"/>
      <c r="I1635" s="65"/>
      <c r="J1635" s="65"/>
      <c r="K1635" s="65"/>
      <c r="L1635" s="65"/>
      <c r="M1635" s="65"/>
      <c r="N1635" s="65"/>
      <c r="O1635" s="65"/>
      <c r="P1635" s="65"/>
      <c r="Q1635" s="65"/>
      <c r="R1635" s="65"/>
      <c r="S1635" s="65"/>
      <c r="T1635" s="65"/>
    </row>
    <row r="1636" spans="3:20">
      <c r="C1636" s="65"/>
      <c r="D1636" s="65"/>
      <c r="E1636" s="65"/>
      <c r="F1636" s="65"/>
      <c r="G1636" s="65"/>
      <c r="H1636" s="65"/>
      <c r="I1636" s="65"/>
      <c r="J1636" s="65"/>
      <c r="K1636" s="65"/>
      <c r="L1636" s="65"/>
      <c r="M1636" s="65"/>
      <c r="N1636" s="65"/>
      <c r="O1636" s="65"/>
      <c r="P1636" s="65"/>
      <c r="Q1636" s="65"/>
      <c r="R1636" s="65"/>
      <c r="S1636" s="65"/>
      <c r="T1636" s="65"/>
    </row>
    <row r="1637" spans="3:20">
      <c r="C1637" s="65"/>
      <c r="D1637" s="65"/>
      <c r="E1637" s="65"/>
      <c r="F1637" s="65"/>
      <c r="G1637" s="65"/>
      <c r="H1637" s="65"/>
      <c r="I1637" s="65"/>
      <c r="J1637" s="65"/>
      <c r="K1637" s="65"/>
      <c r="L1637" s="65"/>
      <c r="M1637" s="65"/>
      <c r="N1637" s="65"/>
      <c r="O1637" s="65"/>
      <c r="P1637" s="65"/>
      <c r="Q1637" s="65"/>
      <c r="R1637" s="65"/>
      <c r="S1637" s="65"/>
      <c r="T1637" s="65"/>
    </row>
    <row r="1638" spans="3:20">
      <c r="C1638" s="65"/>
      <c r="D1638" s="65"/>
      <c r="E1638" s="65"/>
      <c r="F1638" s="65"/>
      <c r="G1638" s="65"/>
      <c r="H1638" s="65"/>
      <c r="I1638" s="65"/>
      <c r="J1638" s="65"/>
      <c r="K1638" s="65"/>
      <c r="L1638" s="65"/>
      <c r="M1638" s="65"/>
      <c r="N1638" s="65"/>
      <c r="O1638" s="65"/>
      <c r="P1638" s="65"/>
      <c r="Q1638" s="65"/>
      <c r="R1638" s="65"/>
      <c r="S1638" s="65"/>
      <c r="T1638" s="65"/>
    </row>
    <row r="1639" spans="3:20">
      <c r="C1639" s="65"/>
      <c r="D1639" s="65"/>
      <c r="E1639" s="65"/>
      <c r="F1639" s="65"/>
      <c r="G1639" s="65"/>
      <c r="H1639" s="65"/>
      <c r="I1639" s="65"/>
      <c r="J1639" s="65"/>
      <c r="K1639" s="65"/>
      <c r="L1639" s="65"/>
      <c r="M1639" s="65"/>
      <c r="N1639" s="65"/>
      <c r="O1639" s="65"/>
      <c r="P1639" s="65"/>
      <c r="Q1639" s="65"/>
      <c r="R1639" s="65"/>
      <c r="S1639" s="65"/>
      <c r="T1639" s="65"/>
    </row>
    <row r="1640" spans="3:20">
      <c r="C1640" s="65"/>
      <c r="D1640" s="65"/>
      <c r="E1640" s="65"/>
      <c r="F1640" s="65"/>
      <c r="G1640" s="65"/>
      <c r="H1640" s="65"/>
      <c r="I1640" s="65"/>
      <c r="J1640" s="65"/>
      <c r="K1640" s="65"/>
      <c r="L1640" s="65"/>
      <c r="M1640" s="65"/>
      <c r="N1640" s="65"/>
      <c r="O1640" s="65"/>
      <c r="P1640" s="65"/>
      <c r="Q1640" s="65"/>
      <c r="R1640" s="65"/>
      <c r="S1640" s="65"/>
      <c r="T1640" s="65"/>
    </row>
    <row r="1641" spans="3:20">
      <c r="C1641" s="65"/>
      <c r="D1641" s="65"/>
      <c r="E1641" s="65"/>
      <c r="F1641" s="65"/>
      <c r="G1641" s="65"/>
      <c r="H1641" s="65"/>
      <c r="I1641" s="65"/>
      <c r="J1641" s="65"/>
      <c r="K1641" s="65"/>
      <c r="L1641" s="65"/>
      <c r="M1641" s="65"/>
      <c r="N1641" s="65"/>
      <c r="O1641" s="65"/>
      <c r="P1641" s="65"/>
      <c r="Q1641" s="65"/>
      <c r="R1641" s="65"/>
      <c r="S1641" s="65"/>
      <c r="T1641" s="65"/>
    </row>
    <row r="1642" spans="3:20">
      <c r="C1642" s="65"/>
      <c r="D1642" s="65"/>
      <c r="E1642" s="65"/>
      <c r="F1642" s="65"/>
      <c r="G1642" s="65"/>
      <c r="H1642" s="65"/>
      <c r="I1642" s="65"/>
      <c r="J1642" s="65"/>
      <c r="K1642" s="65"/>
      <c r="L1642" s="65"/>
      <c r="M1642" s="65"/>
      <c r="N1642" s="65"/>
      <c r="O1642" s="65"/>
      <c r="P1642" s="65"/>
      <c r="Q1642" s="65"/>
      <c r="R1642" s="65"/>
      <c r="S1642" s="65"/>
      <c r="T1642" s="65"/>
    </row>
    <row r="1643" spans="3:20">
      <c r="C1643" s="65"/>
      <c r="D1643" s="65"/>
      <c r="E1643" s="65"/>
      <c r="F1643" s="65"/>
      <c r="G1643" s="65"/>
      <c r="H1643" s="65"/>
      <c r="I1643" s="65"/>
      <c r="J1643" s="65"/>
      <c r="K1643" s="65"/>
      <c r="L1643" s="65"/>
      <c r="M1643" s="65"/>
      <c r="N1643" s="65"/>
      <c r="O1643" s="65"/>
      <c r="P1643" s="65"/>
      <c r="Q1643" s="65"/>
      <c r="R1643" s="65"/>
      <c r="S1643" s="65"/>
      <c r="T1643" s="65"/>
    </row>
    <row r="1644" spans="3:20">
      <c r="C1644" s="65"/>
      <c r="D1644" s="65"/>
      <c r="E1644" s="65"/>
      <c r="F1644" s="65"/>
      <c r="G1644" s="65"/>
      <c r="H1644" s="65"/>
      <c r="I1644" s="65"/>
      <c r="J1644" s="65"/>
      <c r="K1644" s="65"/>
      <c r="L1644" s="65"/>
      <c r="M1644" s="65"/>
      <c r="N1644" s="65"/>
      <c r="O1644" s="65"/>
      <c r="P1644" s="65"/>
      <c r="Q1644" s="65"/>
      <c r="R1644" s="65"/>
      <c r="S1644" s="65"/>
      <c r="T1644" s="65"/>
    </row>
    <row r="1645" spans="3:20">
      <c r="C1645" s="65"/>
      <c r="D1645" s="65"/>
      <c r="E1645" s="65"/>
      <c r="F1645" s="65"/>
      <c r="G1645" s="65"/>
      <c r="H1645" s="65"/>
      <c r="I1645" s="65"/>
      <c r="J1645" s="65"/>
      <c r="K1645" s="65"/>
      <c r="L1645" s="65"/>
      <c r="M1645" s="65"/>
      <c r="N1645" s="65"/>
      <c r="O1645" s="65"/>
      <c r="P1645" s="65"/>
      <c r="Q1645" s="65"/>
      <c r="R1645" s="65"/>
      <c r="S1645" s="65"/>
      <c r="T1645" s="65"/>
    </row>
    <row r="1646" spans="3:20">
      <c r="C1646" s="65"/>
      <c r="D1646" s="65"/>
      <c r="E1646" s="65"/>
      <c r="F1646" s="65"/>
      <c r="G1646" s="65"/>
      <c r="H1646" s="65"/>
      <c r="I1646" s="65"/>
      <c r="J1646" s="65"/>
      <c r="K1646" s="65"/>
      <c r="L1646" s="65"/>
      <c r="M1646" s="65"/>
      <c r="N1646" s="65"/>
      <c r="O1646" s="65"/>
      <c r="P1646" s="65"/>
      <c r="Q1646" s="65"/>
      <c r="R1646" s="65"/>
      <c r="S1646" s="65"/>
      <c r="T1646" s="65"/>
    </row>
    <row r="1647" spans="3:20">
      <c r="C1647" s="65"/>
      <c r="D1647" s="65"/>
      <c r="E1647" s="65"/>
      <c r="F1647" s="65"/>
      <c r="G1647" s="65"/>
      <c r="H1647" s="65"/>
      <c r="I1647" s="65"/>
      <c r="J1647" s="65"/>
      <c r="K1647" s="65"/>
      <c r="L1647" s="65"/>
      <c r="M1647" s="65"/>
      <c r="N1647" s="65"/>
      <c r="O1647" s="65"/>
      <c r="P1647" s="65"/>
      <c r="Q1647" s="65"/>
      <c r="R1647" s="65"/>
      <c r="S1647" s="65"/>
      <c r="T1647" s="65"/>
    </row>
    <row r="1648" spans="3:20">
      <c r="C1648" s="65"/>
      <c r="D1648" s="65"/>
      <c r="E1648" s="65"/>
      <c r="F1648" s="65"/>
      <c r="G1648" s="65"/>
      <c r="H1648" s="65"/>
      <c r="I1648" s="65"/>
      <c r="J1648" s="65"/>
      <c r="K1648" s="65"/>
      <c r="L1648" s="65"/>
      <c r="M1648" s="65"/>
      <c r="N1648" s="65"/>
      <c r="O1648" s="65"/>
      <c r="P1648" s="65"/>
      <c r="Q1648" s="65"/>
      <c r="R1648" s="65"/>
      <c r="S1648" s="65"/>
      <c r="T1648" s="65"/>
    </row>
    <row r="1649" spans="3:20">
      <c r="C1649" s="65"/>
      <c r="D1649" s="65"/>
      <c r="E1649" s="65"/>
      <c r="F1649" s="65"/>
      <c r="G1649" s="65"/>
      <c r="H1649" s="65"/>
      <c r="I1649" s="65"/>
      <c r="J1649" s="65"/>
      <c r="K1649" s="65"/>
      <c r="L1649" s="65"/>
      <c r="M1649" s="65"/>
      <c r="N1649" s="65"/>
      <c r="O1649" s="65"/>
      <c r="P1649" s="65"/>
      <c r="Q1649" s="65"/>
      <c r="R1649" s="65"/>
      <c r="S1649" s="65"/>
      <c r="T1649" s="65"/>
    </row>
    <row r="1650" spans="3:20">
      <c r="C1650" s="65"/>
      <c r="D1650" s="65"/>
      <c r="E1650" s="65"/>
      <c r="F1650" s="65"/>
      <c r="G1650" s="65"/>
      <c r="H1650" s="65"/>
      <c r="I1650" s="65"/>
      <c r="J1650" s="65"/>
      <c r="K1650" s="65"/>
      <c r="L1650" s="65"/>
      <c r="M1650" s="65"/>
      <c r="N1650" s="65"/>
      <c r="O1650" s="65"/>
      <c r="P1650" s="65"/>
      <c r="Q1650" s="65"/>
      <c r="R1650" s="65"/>
      <c r="S1650" s="65"/>
      <c r="T1650" s="65"/>
    </row>
  </sheetData>
  <mergeCells count="1">
    <mergeCell ref="B2:F2"/>
  </mergeCells>
  <conditionalFormatting pivot="1" sqref="C8:H21">
    <cfRule type="colorScale" priority="14">
      <colorScale>
        <cfvo type="min"/>
        <cfvo type="percentile" val="50"/>
        <cfvo type="max"/>
        <color rgb="FF00B050"/>
        <color rgb="FFFFFF00"/>
        <color rgb="FFFF0000"/>
      </colorScale>
    </cfRule>
  </conditionalFormatting>
  <conditionalFormatting pivot="1" sqref="I8:I21">
    <cfRule type="colorScale" priority="13">
      <colorScale>
        <cfvo type="min"/>
        <cfvo type="percentile" val="50"/>
        <cfvo type="max"/>
        <color rgb="FF00B050"/>
        <color rgb="FFFFFF00"/>
        <color rgb="FFFF0000"/>
      </colorScale>
    </cfRule>
  </conditionalFormatting>
  <conditionalFormatting pivot="1" sqref="T8:T21">
    <cfRule type="colorScale" priority="11">
      <colorScale>
        <cfvo type="min"/>
        <cfvo type="num" val="0"/>
        <cfvo type="max"/>
        <color rgb="FF00B050"/>
        <color rgb="FFFFFF00"/>
        <color rgb="FFFF0000"/>
      </colorScale>
    </cfRule>
  </conditionalFormatting>
  <conditionalFormatting pivot="1" sqref="C106:T116">
    <cfRule type="colorScale" priority="10">
      <colorScale>
        <cfvo type="min"/>
        <cfvo type="percentile" val="50"/>
        <cfvo type="max"/>
        <color rgb="FF00B050"/>
        <color rgb="FFFFFF00"/>
        <color rgb="FFFF0000"/>
      </colorScale>
    </cfRule>
  </conditionalFormatting>
  <conditionalFormatting pivot="1" sqref="U106:W116">
    <cfRule type="colorScale" priority="9">
      <colorScale>
        <cfvo type="min"/>
        <cfvo type="percentile" val="50"/>
        <cfvo type="max"/>
        <color rgb="FF00B050"/>
        <color rgb="FFFFFF00"/>
        <color rgb="FFFF0000"/>
      </colorScale>
    </cfRule>
  </conditionalFormatting>
  <conditionalFormatting pivot="1" sqref="AC8:AC21">
    <cfRule type="colorScale" priority="7">
      <colorScale>
        <cfvo type="min"/>
        <cfvo type="percentile" val="50"/>
        <cfvo type="max"/>
        <color rgb="FF00B050"/>
        <color rgb="FFFFFF00"/>
        <color rgb="FFFF0000"/>
      </colorScale>
    </cfRule>
  </conditionalFormatting>
  <conditionalFormatting pivot="1" sqref="X8:AB21">
    <cfRule type="colorScale" priority="6">
      <colorScale>
        <cfvo type="min"/>
        <cfvo type="percentile" val="50"/>
        <cfvo type="max"/>
        <color rgb="FFFF0000"/>
        <color rgb="FFFFFF00"/>
        <color rgb="FF00B050"/>
      </colorScale>
    </cfRule>
  </conditionalFormatting>
  <conditionalFormatting pivot="1" sqref="H210:H223 O210:O223 V210:V223 AC210:AC223 AJ210:AJ223 AQ210:AQ223 AX210:AX223">
    <cfRule type="colorScale" priority="3">
      <colorScale>
        <cfvo type="min"/>
        <cfvo type="percentile" val="50"/>
        <cfvo type="max"/>
        <color rgb="FF00B050"/>
        <color rgb="FFFFFF00"/>
        <color rgb="FFFF0000"/>
      </colorScale>
    </cfRule>
  </conditionalFormatting>
  <conditionalFormatting pivot="1" sqref="I210:I223 P210:P223 W210:W223 AD210:AD223 AK210:AK223 AR210:AR223 AY210:AY223">
    <cfRule type="colorScale" priority="2">
      <colorScale>
        <cfvo type="min"/>
        <cfvo type="percentile" val="50"/>
        <cfvo type="max"/>
        <color rgb="FF00B050"/>
        <color rgb="FFFFFF00"/>
        <color rgb="FFFF0000"/>
      </colorScale>
    </cfRule>
  </conditionalFormatting>
  <conditionalFormatting pivot="1" sqref="J210:J223 Q210:Q223 X210:X223 AE210:AE223 AL210:AL223 AS210:AS223 AZ210:AZ223">
    <cfRule type="colorScale" priority="1">
      <colorScale>
        <cfvo type="min"/>
        <cfvo type="percentile" val="50"/>
        <cfvo type="max"/>
        <color rgb="FF00B050"/>
        <color rgb="FFFFFF00"/>
        <color rgb="FFFF0000"/>
      </colorScale>
    </cfRule>
  </conditionalFormatting>
  <hyperlinks>
    <hyperlink ref="B3" location="'SUMMARY - Competency Matrix'!A4" display="Pain Points" xr:uid="{4D9A2BF0-333C-46BC-BE57-769E46EB7780}"/>
    <hyperlink ref="C3" location="'SUMMARY - Competency Matrix'!L4" display="Tone" xr:uid="{23973B79-B6B5-40B9-A296-1DC8782EF368}"/>
    <hyperlink ref="D3" location="'SUMMARY - Competency Matrix'!V4" display="Distribution" xr:uid="{FFA9DD9D-23E1-4C6A-A336-C208A34EB467}"/>
    <hyperlink ref="E3" location="'SUMMARY - Competency Matrix'!A101" display="Top 10" xr:uid="{6833DCD3-4291-4479-871F-88642444F45E}"/>
    <hyperlink ref="F3" location="'SUMMARY - Competency Matrix'!B205" display="Audit Table" xr:uid="{99BF2D34-3B87-4E31-AD3A-DD813DA6C48E}"/>
  </hyperlinks>
  <pageMargins left="0.7" right="0.7" top="0.75" bottom="0.75" header="0.3" footer="0.3"/>
  <drawing r:id="rId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8E5CE-5F64-46F0-8C70-4AD0E3815762}">
  <sheetPr codeName="Sheet9"/>
  <dimension ref="B1:CK36"/>
  <sheetViews>
    <sheetView showGridLines="0" showRowColHeaders="0" tabSelected="1" zoomScale="150" zoomScaleNormal="150" workbookViewId="0">
      <pane xSplit="5" ySplit="7" topLeftCell="AD8" activePane="bottomRight" state="frozen"/>
      <selection pane="bottomRight" activeCell="L47" sqref="L47"/>
      <selection pane="bottomLeft" activeCell="AO16" sqref="AO16"/>
      <selection pane="topRight" activeCell="F1" sqref="F1"/>
      <extLst>
        <ext xmlns:xlsdti="http://schemas.microsoft.com/office/spreadsheetml/2023/showDataTypeIcons" uri="{77bfe23e-c014-4d31-8a63-9c772dbf06b6}">
          <xlsdti:showDataTypeIcons visible="0"/>
        </ext>
      </extLst>
    </sheetView>
  </sheetViews>
  <sheetFormatPr defaultColWidth="8.69921875" defaultRowHeight="15.95"/>
  <cols>
    <col min="1" max="1" width="3.69921875" style="65" customWidth="1"/>
    <col min="2" max="2" width="12.8984375" style="65" bestFit="1" customWidth="1"/>
    <col min="3" max="3" width="16.09765625" style="65" bestFit="1" customWidth="1"/>
    <col min="4" max="4" width="17.296875" style="65" bestFit="1" customWidth="1"/>
    <col min="5" max="5" width="7.296875" style="65" bestFit="1" customWidth="1"/>
    <col min="6" max="6" width="10.59765625" style="65" bestFit="1" customWidth="1"/>
    <col min="7" max="7" width="10.296875" style="65" bestFit="1" customWidth="1"/>
    <col min="8" max="8" width="12.09765625" style="65" customWidth="1"/>
    <col min="9" max="9" width="3.296875" style="65" customWidth="1"/>
    <col min="10" max="88" width="4" style="65" customWidth="1"/>
    <col min="89" max="89" width="3.8984375" style="65" customWidth="1"/>
    <col min="90" max="16384" width="8.69921875" style="65"/>
  </cols>
  <sheetData>
    <row r="1" spans="2:89">
      <c r="J1" s="142" t="s">
        <v>63</v>
      </c>
      <c r="K1" s="143"/>
      <c r="L1" s="143"/>
      <c r="M1" s="143"/>
      <c r="N1" s="143"/>
      <c r="O1" s="143"/>
      <c r="P1" s="143"/>
      <c r="Q1" s="143"/>
      <c r="R1" s="143"/>
      <c r="S1" s="143"/>
      <c r="T1" s="142" t="s">
        <v>64</v>
      </c>
      <c r="U1" s="143"/>
      <c r="V1" s="143"/>
      <c r="W1" s="143"/>
      <c r="X1" s="143"/>
      <c r="Y1" s="143"/>
      <c r="Z1" s="143"/>
      <c r="AA1" s="143"/>
      <c r="AB1" s="143"/>
      <c r="AC1" s="143"/>
      <c r="BC1" s="147" t="s">
        <v>65</v>
      </c>
      <c r="BD1" s="147"/>
      <c r="BE1" s="147"/>
      <c r="BF1" s="147"/>
      <c r="BG1" s="147"/>
      <c r="BH1" s="147" t="s">
        <v>66</v>
      </c>
      <c r="BI1" s="147"/>
      <c r="BJ1" s="147"/>
      <c r="BK1" s="147"/>
      <c r="BL1" s="147"/>
      <c r="BM1" s="147" t="s">
        <v>67</v>
      </c>
      <c r="BN1" s="147"/>
      <c r="BO1" s="147"/>
      <c r="BP1" s="147"/>
      <c r="BQ1" s="147"/>
      <c r="BR1" s="147" t="s">
        <v>68</v>
      </c>
      <c r="BS1" s="147"/>
      <c r="BT1" s="147"/>
      <c r="BU1" s="147"/>
      <c r="BV1" s="147"/>
      <c r="BW1" s="147" t="s">
        <v>69</v>
      </c>
      <c r="BX1" s="147"/>
      <c r="BY1" s="147"/>
      <c r="BZ1" s="147"/>
      <c r="CA1" s="147"/>
      <c r="CB1" s="147" t="s">
        <v>70</v>
      </c>
      <c r="CC1" s="147"/>
      <c r="CD1" s="147"/>
      <c r="CE1" s="147"/>
      <c r="CF1" s="147"/>
      <c r="CG1" s="147" t="s">
        <v>71</v>
      </c>
      <c r="CH1" s="147"/>
      <c r="CI1" s="147"/>
      <c r="CJ1" s="147"/>
      <c r="CK1" s="147"/>
    </row>
    <row r="2" spans="2:89" s="85" customFormat="1" ht="30" customHeight="1">
      <c r="I2" s="86" t="s">
        <v>72</v>
      </c>
      <c r="J2" s="144" t="s">
        <v>73</v>
      </c>
      <c r="K2" s="145"/>
      <c r="L2" s="145"/>
      <c r="M2" s="145"/>
      <c r="N2" s="145"/>
      <c r="O2" s="145"/>
      <c r="P2" s="145"/>
      <c r="Q2" s="145"/>
      <c r="R2" s="145"/>
      <c r="S2" s="145"/>
      <c r="T2" s="145"/>
      <c r="U2" s="145"/>
      <c r="V2" s="145"/>
      <c r="W2" s="145"/>
      <c r="X2" s="145"/>
      <c r="Y2" s="145"/>
      <c r="Z2" s="145"/>
      <c r="AA2" s="145"/>
      <c r="AB2" s="145"/>
      <c r="AC2" s="145"/>
      <c r="AD2" s="144" t="s">
        <v>40</v>
      </c>
      <c r="AE2" s="145"/>
      <c r="AF2" s="145"/>
      <c r="AG2" s="145"/>
      <c r="AH2" s="146"/>
      <c r="AI2" s="145" t="s">
        <v>39</v>
      </c>
      <c r="AJ2" s="145"/>
      <c r="AK2" s="145"/>
      <c r="AL2" s="145"/>
      <c r="AM2" s="145"/>
      <c r="AN2" s="144" t="s">
        <v>41</v>
      </c>
      <c r="AO2" s="145"/>
      <c r="AP2" s="145"/>
      <c r="AQ2" s="145"/>
      <c r="AR2" s="146"/>
      <c r="AS2" s="144" t="s">
        <v>38</v>
      </c>
      <c r="AT2" s="145"/>
      <c r="AU2" s="145"/>
      <c r="AV2" s="145"/>
      <c r="AW2" s="145"/>
      <c r="AX2" s="145"/>
      <c r="AY2" s="145"/>
      <c r="AZ2" s="145"/>
      <c r="BA2" s="145"/>
      <c r="BB2" s="146"/>
      <c r="BC2" s="144" t="s">
        <v>74</v>
      </c>
      <c r="BD2" s="145"/>
      <c r="BE2" s="145"/>
      <c r="BF2" s="145"/>
      <c r="BG2" s="145"/>
      <c r="BH2" s="145"/>
      <c r="BI2" s="145"/>
      <c r="BJ2" s="145"/>
      <c r="BK2" s="145"/>
      <c r="BL2" s="145"/>
      <c r="BM2" s="145"/>
      <c r="BN2" s="145"/>
      <c r="BO2" s="145"/>
      <c r="BP2" s="145"/>
      <c r="BQ2" s="145"/>
      <c r="BR2" s="145"/>
      <c r="BS2" s="145"/>
      <c r="BT2" s="145"/>
      <c r="BU2" s="145"/>
      <c r="BV2" s="145"/>
      <c r="BW2" s="145"/>
      <c r="BX2" s="145"/>
      <c r="BY2" s="145"/>
      <c r="BZ2" s="145"/>
      <c r="CA2" s="145"/>
      <c r="CB2" s="145"/>
      <c r="CC2" s="145"/>
      <c r="CD2" s="145"/>
      <c r="CE2" s="145"/>
      <c r="CF2" s="145"/>
      <c r="CG2" s="145"/>
      <c r="CH2" s="145"/>
      <c r="CI2" s="145"/>
      <c r="CJ2" s="145"/>
      <c r="CK2" s="146"/>
    </row>
    <row r="3" spans="2:89" hidden="1">
      <c r="I3" s="87"/>
      <c r="J3" s="88"/>
      <c r="K3" s="88"/>
      <c r="L3" s="88"/>
      <c r="M3" s="88"/>
      <c r="N3" s="88"/>
      <c r="O3" s="88"/>
      <c r="P3" s="88"/>
      <c r="Q3" s="88"/>
      <c r="R3" s="88"/>
      <c r="S3" s="88"/>
      <c r="T3" s="88"/>
      <c r="U3" s="88"/>
      <c r="V3" s="88"/>
      <c r="W3" s="88"/>
      <c r="X3" s="88"/>
      <c r="Y3" s="88"/>
      <c r="Z3" s="88"/>
      <c r="AA3" s="88"/>
      <c r="AB3" s="88"/>
      <c r="AC3" s="88"/>
      <c r="AD3" s="89"/>
      <c r="AE3" s="90"/>
      <c r="AF3" s="90"/>
      <c r="AG3" s="90"/>
      <c r="AH3" s="91"/>
      <c r="AI3" s="90"/>
      <c r="AJ3" s="90"/>
      <c r="AK3" s="90"/>
      <c r="AL3" s="90"/>
      <c r="AM3" s="90"/>
      <c r="AN3" s="89"/>
      <c r="AO3" s="90"/>
      <c r="AP3" s="90"/>
      <c r="AQ3" s="90"/>
      <c r="AR3" s="91"/>
      <c r="AS3" s="89"/>
      <c r="AT3" s="90"/>
      <c r="AU3" s="90"/>
      <c r="AV3" s="90"/>
      <c r="AW3" s="90"/>
      <c r="AX3" s="90"/>
      <c r="AY3" s="90"/>
      <c r="AZ3" s="90"/>
      <c r="BA3" s="90"/>
      <c r="BB3" s="91"/>
      <c r="BC3" s="89"/>
      <c r="BD3" s="90"/>
      <c r="BE3" s="90"/>
      <c r="BF3" s="90"/>
      <c r="BG3" s="90"/>
      <c r="BH3" s="90"/>
      <c r="BI3" s="90"/>
      <c r="BJ3" s="90"/>
      <c r="BK3" s="90"/>
      <c r="BL3" s="90"/>
      <c r="BM3" s="90"/>
      <c r="BN3" s="90"/>
      <c r="BO3" s="90"/>
      <c r="BP3" s="90"/>
      <c r="BQ3" s="90"/>
      <c r="BR3" s="90"/>
      <c r="BS3" s="90"/>
      <c r="BT3" s="90"/>
      <c r="BU3" s="90"/>
      <c r="BV3" s="90"/>
      <c r="BW3" s="90"/>
      <c r="BX3" s="90"/>
      <c r="BY3" s="90"/>
      <c r="BZ3" s="90"/>
      <c r="CA3" s="90"/>
      <c r="CB3" s="90"/>
      <c r="CC3" s="90"/>
      <c r="CD3" s="90"/>
      <c r="CE3" s="90"/>
      <c r="CF3" s="90"/>
      <c r="CG3" s="90"/>
      <c r="CH3" s="90"/>
      <c r="CI3" s="90"/>
      <c r="CJ3" s="90"/>
      <c r="CK3" s="91"/>
    </row>
    <row r="4" spans="2:89" s="92" customFormat="1" ht="24">
      <c r="I4" s="86" t="s">
        <v>75</v>
      </c>
      <c r="J4" s="93" t="s">
        <v>76</v>
      </c>
      <c r="K4" s="93" t="s">
        <v>77</v>
      </c>
      <c r="L4" s="93" t="s">
        <v>78</v>
      </c>
      <c r="M4" s="93" t="s">
        <v>79</v>
      </c>
      <c r="N4" s="93" t="s">
        <v>80</v>
      </c>
      <c r="O4" s="93" t="s">
        <v>81</v>
      </c>
      <c r="P4" s="93" t="s">
        <v>82</v>
      </c>
      <c r="Q4" s="93" t="s">
        <v>83</v>
      </c>
      <c r="R4" s="93" t="s">
        <v>84</v>
      </c>
      <c r="S4" s="93" t="s">
        <v>85</v>
      </c>
      <c r="T4" s="94" t="s">
        <v>86</v>
      </c>
      <c r="U4" s="94" t="s">
        <v>87</v>
      </c>
      <c r="V4" s="94" t="s">
        <v>88</v>
      </c>
      <c r="W4" s="94" t="s">
        <v>89</v>
      </c>
      <c r="X4" s="94" t="s">
        <v>90</v>
      </c>
      <c r="Y4" s="94" t="s">
        <v>91</v>
      </c>
      <c r="Z4" s="94" t="s">
        <v>92</v>
      </c>
      <c r="AA4" s="94" t="s">
        <v>93</v>
      </c>
      <c r="AB4" s="94" t="s">
        <v>94</v>
      </c>
      <c r="AC4" s="95" t="s">
        <v>95</v>
      </c>
      <c r="AD4" s="93" t="s">
        <v>96</v>
      </c>
      <c r="AE4" s="93" t="s">
        <v>31</v>
      </c>
      <c r="AF4" s="93" t="s">
        <v>30</v>
      </c>
      <c r="AG4" s="93" t="s">
        <v>97</v>
      </c>
      <c r="AH4" s="93" t="s">
        <v>98</v>
      </c>
      <c r="AI4" s="96" t="s">
        <v>99</v>
      </c>
      <c r="AJ4" s="94" t="s">
        <v>100</v>
      </c>
      <c r="AK4" s="94" t="s">
        <v>101</v>
      </c>
      <c r="AL4" s="94" t="s">
        <v>102</v>
      </c>
      <c r="AM4" s="95" t="s">
        <v>103</v>
      </c>
      <c r="AN4" s="97" t="s">
        <v>104</v>
      </c>
      <c r="AO4" s="97" t="s">
        <v>105</v>
      </c>
      <c r="AP4" s="97" t="s">
        <v>106</v>
      </c>
      <c r="AQ4" s="97" t="s">
        <v>107</v>
      </c>
      <c r="AR4" s="97" t="s">
        <v>108</v>
      </c>
      <c r="AS4" s="93" t="s">
        <v>109</v>
      </c>
      <c r="AT4" s="93" t="s">
        <v>110</v>
      </c>
      <c r="AU4" s="93" t="s">
        <v>111</v>
      </c>
      <c r="AV4" s="93" t="s">
        <v>112</v>
      </c>
      <c r="AW4" s="93" t="s">
        <v>113</v>
      </c>
      <c r="AX4" s="93" t="s">
        <v>114</v>
      </c>
      <c r="AY4" s="93" t="s">
        <v>115</v>
      </c>
      <c r="AZ4" s="93" t="s">
        <v>116</v>
      </c>
      <c r="BA4" s="93" t="s">
        <v>117</v>
      </c>
      <c r="BB4" s="93" t="s">
        <v>118</v>
      </c>
      <c r="BC4" s="94" t="s">
        <v>119</v>
      </c>
      <c r="BD4" s="94" t="s">
        <v>120</v>
      </c>
      <c r="BE4" s="94" t="s">
        <v>121</v>
      </c>
      <c r="BF4" s="94" t="s">
        <v>122</v>
      </c>
      <c r="BG4" s="94" t="s">
        <v>123</v>
      </c>
      <c r="BH4" s="94" t="s">
        <v>124</v>
      </c>
      <c r="BI4" s="94" t="s">
        <v>125</v>
      </c>
      <c r="BJ4" s="94" t="s">
        <v>126</v>
      </c>
      <c r="BK4" s="94" t="s">
        <v>127</v>
      </c>
      <c r="BL4" s="94" t="s">
        <v>128</v>
      </c>
      <c r="BM4" s="94" t="s">
        <v>129</v>
      </c>
      <c r="BN4" s="94" t="s">
        <v>130</v>
      </c>
      <c r="BO4" s="94" t="s">
        <v>131</v>
      </c>
      <c r="BP4" s="94" t="s">
        <v>132</v>
      </c>
      <c r="BQ4" s="94" t="s">
        <v>133</v>
      </c>
      <c r="BR4" s="94" t="s">
        <v>134</v>
      </c>
      <c r="BS4" s="94" t="s">
        <v>135</v>
      </c>
      <c r="BT4" s="94" t="s">
        <v>136</v>
      </c>
      <c r="BU4" s="94" t="s">
        <v>137</v>
      </c>
      <c r="BV4" s="94" t="s">
        <v>138</v>
      </c>
      <c r="BW4" s="94" t="s">
        <v>139</v>
      </c>
      <c r="BX4" s="94" t="s">
        <v>140</v>
      </c>
      <c r="BY4" s="94" t="s">
        <v>141</v>
      </c>
      <c r="BZ4" s="94" t="s">
        <v>142</v>
      </c>
      <c r="CA4" s="94" t="s">
        <v>143</v>
      </c>
      <c r="CB4" s="94" t="s">
        <v>144</v>
      </c>
      <c r="CC4" s="94" t="s">
        <v>145</v>
      </c>
      <c r="CD4" s="94" t="s">
        <v>146</v>
      </c>
      <c r="CE4" s="94" t="s">
        <v>147</v>
      </c>
      <c r="CF4" s="94" t="s">
        <v>148</v>
      </c>
      <c r="CG4" s="94" t="s">
        <v>149</v>
      </c>
      <c r="CH4" s="94" t="s">
        <v>150</v>
      </c>
      <c r="CI4" s="94" t="s">
        <v>151</v>
      </c>
      <c r="CJ4" s="94" t="s">
        <v>152</v>
      </c>
      <c r="CK4" s="94" t="s">
        <v>153</v>
      </c>
    </row>
    <row r="5" spans="2:89" s="92" customFormat="1" ht="123" hidden="1" customHeight="1">
      <c r="I5" s="86" t="s">
        <v>154</v>
      </c>
      <c r="J5" s="98" t="str">
        <f>VLOOKUP(J4,Expectations[#All],3,FALSE)</f>
        <v>Data Prep: Collect</v>
      </c>
      <c r="K5" s="98" t="str">
        <f>VLOOKUP(K4,Expectations[#All],3,FALSE)</f>
        <v>Data Prep: Transform/Relevancy</v>
      </c>
      <c r="L5" s="98" t="str">
        <f>VLOOKUP(L4,Expectations[#All],3,FALSE)</f>
        <v>DQ Dev: SQL View</v>
      </c>
      <c r="M5" s="98" t="str">
        <f>VLOOKUP(M4,Expectations[#All],3,FALSE)</f>
        <v>DQ Dev: DQ Components</v>
      </c>
      <c r="N5" s="98" t="str">
        <f>VLOOKUP(N4,Expectations[#All],3,FALSE)</f>
        <v>DQ Dashboard: Scorecards</v>
      </c>
      <c r="O5" s="98" t="str">
        <f>VLOOKUP(O4,Expectations[#All],3,FALSE)</f>
        <v>DQ Admin: ADM</v>
      </c>
      <c r="P5" s="98" t="str">
        <f>VLOOKUP(P4,Expectations[#All],3,FALSE)</f>
        <v>ADM Architecture</v>
      </c>
      <c r="Q5" s="98" t="str">
        <f>VLOOKUP(Q4,Expectations[#All],3,FALSE)</f>
        <v>DQ Match: Syniti Match (Cortex)</v>
      </c>
      <c r="R5" s="98" t="str">
        <f>VLOOKUP(R4,Expectations[#All],3,FALSE)</f>
        <v>DQ Operate: Automate/Serv. page</v>
      </c>
      <c r="S5" s="98" t="str">
        <f>VLOOKUP(S4,Expectations[#All],3,FALSE)</f>
        <v>Construct - webApps</v>
      </c>
      <c r="T5" s="98" t="str">
        <f>VLOOKUP(T4,Expectations[#All],3,FALSE)</f>
        <v>Data Prep: Replicate/Snapshot</v>
      </c>
      <c r="U5" s="98" t="str">
        <f>VLOOKUP(U4,Expectations[#All],3,FALSE)</f>
        <v>Data Prep: Migrate/Relevancy</v>
      </c>
      <c r="V5" s="98" t="str">
        <f>VLOOKUP(V4,Expectations[#All],3,FALSE)</f>
        <v>DQ Dev: SQL (Within ADM-M)</v>
      </c>
      <c r="W5" s="98" t="str">
        <f>VLOOKUP(W4,Expectations[#All],3,FALSE)</f>
        <v>DQ Dev: DQ Components</v>
      </c>
      <c r="X5" s="98" t="str">
        <f>VLOOKUP(X4,Expectations[#All],3,FALSE)</f>
        <v>DQ Dashboard: Standard (Dataset)</v>
      </c>
      <c r="Y5" s="98" t="str">
        <f>VLOOKUP(Y4,Expectations[#All],3,FALSE)</f>
        <v>DQ Admin: ADM-M</v>
      </c>
      <c r="Z5" s="98" t="str">
        <f>VLOOKUP(Z4,Expectations[#All],3,FALSE)</f>
        <v>ADM-M Architecture</v>
      </c>
      <c r="AA5" s="98" t="str">
        <f>VLOOKUP(AA4,Expectations[#All],3,FALSE)</f>
        <v>DQ Match: Cloud Match</v>
      </c>
      <c r="AB5" s="98" t="str">
        <f>VLOOKUP(AB4,Expectations[#All],3,FALSE)</f>
        <v>DQ Operate: Orchestrate</v>
      </c>
      <c r="AC5" s="99" t="str">
        <f>VLOOKUP(AC4,Expectations[#All],3,FALSE)</f>
        <v>Construct - webApps</v>
      </c>
      <c r="AD5" s="100" t="str">
        <f>VLOOKUP(AD4,Expectations[#All],3,FALSE)</f>
        <v>Data Profiling &amp; Analysis</v>
      </c>
      <c r="AE5" s="98" t="str">
        <f>VLOOKUP(AE4,Expectations[#All],3,FALSE)</f>
        <v>Exception Handling Mechanisms</v>
      </c>
      <c r="AF5" s="98" t="str">
        <f>VLOOKUP(AF4,Expectations[#All],3,FALSE)</f>
        <v>Duplicate Detection Techniques</v>
      </c>
      <c r="AG5" s="98" t="str">
        <f>VLOOKUP(AG4,Expectations[#All],3,FALSE)</f>
        <v>Root Cause Analysis of DQ Issues</v>
      </c>
      <c r="AH5" s="101" t="str">
        <f>VLOOKUP(AH4,Expectations[#All],3,FALSE)</f>
        <v>Data Models and Entity Relation</v>
      </c>
      <c r="AI5" s="102" t="str">
        <f>VLOOKUP(AI4,Expectations[#All],3,FALSE)</f>
        <v>Business Rules Gathering</v>
      </c>
      <c r="AJ5" s="98" t="str">
        <f>VLOOKUP(AJ4,Expectations[#All],3,FALSE)</f>
        <v>Data Standards Governance</v>
      </c>
      <c r="AK5" s="98" t="str">
        <f>VLOOKUP(AK4,Expectations[#All],3,FALSE)</f>
        <v>KPI Definition with Business</v>
      </c>
      <c r="AL5" s="98" t="str">
        <f>VLOOKUP(AL4,Expectations[#All],3,FALSE)</f>
        <v>DQ Policy Interpretation</v>
      </c>
      <c r="AM5" s="99" t="str">
        <f>VLOOKUP(AM4,Expectations[#All],3,FALSE)</f>
        <v>Common Data Tools (Excel)</v>
      </c>
      <c r="AN5" s="100" t="str">
        <f>VLOOKUP(AN4,Expectations[#All],3,FALSE)</f>
        <v>Major SAP MD: Cus, Ven, Mat, Fin</v>
      </c>
      <c r="AO5" s="98" t="str">
        <f>VLOOKUP(AO4,Expectations[#All],3,FALSE)</f>
        <v>Major SAP BP: OTC, P2P, MM, R2R</v>
      </c>
      <c r="AP5" s="98" t="str">
        <f>VLOOKUP(AP4,Expectations[#All],3,FALSE)</f>
        <v>SAP Data Structures</v>
      </c>
      <c r="AQ5" s="98" t="str">
        <f>VLOOKUP(AQ4,Expectations[#All],3,FALSE)</f>
        <v>Source-to-Target Mapping for SAP</v>
      </c>
      <c r="AR5" s="101" t="str">
        <f>VLOOKUP(AR4,Expectations[#All],3,FALSE)</f>
        <v>SAP Business Process Awareness</v>
      </c>
      <c r="AS5" s="100" t="str">
        <f>VLOOKUP(AS4,Expectations[#All],3,FALSE)</f>
        <v>Stakeholder/Expectation Mgmt.</v>
      </c>
      <c r="AT5" s="98" t="str">
        <f>VLOOKUP(AT4,Expectations[#All],3,FALSE)</f>
        <v>Requirements Gathering/Clarif.</v>
      </c>
      <c r="AU5" s="98" t="str">
        <f>VLOOKUP(AU4,Expectations[#All],3,FALSE)</f>
        <v>Facilitating Workshops/Meetings</v>
      </c>
      <c r="AV5" s="98" t="str">
        <f>VLOOKUP(AV4,Expectations[#All],3,FALSE)</f>
        <v>Collaborative Work Management</v>
      </c>
      <c r="AW5" s="98" t="str">
        <f>VLOOKUP(AW4,Expectations[#All],3,FALSE)</f>
        <v>Conflict Resolution</v>
      </c>
      <c r="AX5" s="98" t="str">
        <f>VLOOKUP(AX4,Expectations[#All],3,FALSE)</f>
        <v>Solution Design Thinking</v>
      </c>
      <c r="AY5" s="98" t="str">
        <f>VLOOKUP(AY4,Expectations[#All],3,FALSE)</f>
        <v>Project Risk Awareness</v>
      </c>
      <c r="AZ5" s="98" t="str">
        <f>VLOOKUP(AZ4,Expectations[#All],3,FALSE)</f>
        <v>Cross-functional Collaboration</v>
      </c>
      <c r="BA5" s="98" t="str">
        <f>VLOOKUP(BA4,Expectations[#All],3,FALSE)</f>
        <v>Mentoring &amp; Coaching</v>
      </c>
      <c r="BB5" s="101" t="str">
        <f>VLOOKUP(BB4,Expectations[#All],3,FALSE)</f>
        <v>Ongoing Improvement/Innovation</v>
      </c>
      <c r="BC5" s="100" t="str">
        <f>VLOOKUP(BC4,Expectations[#All],3,FALSE)</f>
        <v>Requirements to Proposal</v>
      </c>
      <c r="BD5" s="98" t="str">
        <f>VLOOKUP(BD4,Expectations[#All],3,FALSE)</f>
        <v>SoW and Resource Plan</v>
      </c>
      <c r="BE5" s="98" t="str">
        <f>VLOOKUP(BE4,Expectations[#All],3,FALSE)</f>
        <v>Implementation Plan &amp; WBS</v>
      </c>
      <c r="BF5" s="98" t="str">
        <f>VLOOKUP(BF4,Expectations[#All],3,FALSE)</f>
        <v>RAID-Risk/Issue Management</v>
      </c>
      <c r="BG5" s="98" t="str">
        <f>VLOOKUP(BG4,Expectations[#All],3,FALSE)</f>
        <v>Methodology Enforcement/Adher.</v>
      </c>
      <c r="BH5" s="98" t="str">
        <f>VLOOKUP(BH4,Expectations[#All],3,FALSE)</f>
        <v>Overall DQOps Methodology</v>
      </c>
      <c r="BI5" s="98" t="str">
        <f>VLOOKUP(BI4,Expectations[#All],3,FALSE)</f>
        <v>Enforcement of DQOps Methodology</v>
      </c>
      <c r="BJ5" s="98" t="str">
        <f>VLOOKUP(BJ4,Expectations[#All],3,FALSE)</f>
        <v>Specify rule</v>
      </c>
      <c r="BK5" s="98" t="str">
        <f>VLOOKUP(BK4,Expectations[#All],3,FALSE)</f>
        <v>Build and execute QA</v>
      </c>
      <c r="BL5" s="98" t="str">
        <f>VLOOKUP(BL4,Expectations[#All],3,FALSE)</f>
        <v>Iterate Validate &amp; Improve</v>
      </c>
      <c r="BM5" s="98" t="str">
        <f>VLOOKUP(BM4,Expectations[#All],3,FALSE)</f>
        <v>Harmonization Methodology</v>
      </c>
      <c r="BN5" s="98" t="str">
        <f>VLOOKUP(BN4,Expectations[#All],3,FALSE)</f>
        <v>Harmonization Solutioning</v>
      </c>
      <c r="BO5" s="98" t="str">
        <f>VLOOKUP(BO4,Expectations[#All],3,FALSE)</f>
        <v>Harmonization Architecture</v>
      </c>
      <c r="BP5" s="98" t="str">
        <f>VLOOKUP(BP4,Expectations[#All],3,FALSE)</f>
        <v>Implement BP Consolidation</v>
      </c>
      <c r="BQ5" s="98" t="str">
        <f>VLOOKUP(BQ4,Expectations[#All],3,FALSE)</f>
        <v>Implement MRO Spare Parts</v>
      </c>
      <c r="BR5" s="98" t="str">
        <f>VLOOKUP(BR4,Expectations[#All],3,FALSE)</f>
        <v xml:space="preserve">Src. Cleanse Methodology </v>
      </c>
      <c r="BS5" s="98" t="str">
        <f>VLOOKUP(BS4,Expectations[#All],3,FALSE)</f>
        <v>Src. Cleanse Approach</v>
      </c>
      <c r="BT5" s="98" t="str">
        <f>VLOOKUP(BT4,Expectations[#All],3,FALSE)</f>
        <v>Src. Cleanse arch. (DQ, Migrate)</v>
      </c>
      <c r="BU5" s="98" t="str">
        <f>VLOOKUP(BU4,Expectations[#All],3,FALSE)</f>
        <v>Implement Src. Cleanse (Migrate)</v>
      </c>
      <c r="BV5" s="98" t="str">
        <f>VLOOKUP(BV4,Expectations[#All],3,FALSE)</f>
        <v>Src. Cleanse Analytics</v>
      </c>
      <c r="BW5" s="98" t="str">
        <f>VLOOKUP(BW4,Expectations[#All],3,FALSE)</f>
        <v xml:space="preserve">Cloud DQ Methodology </v>
      </c>
      <c r="BX5" s="98" t="str">
        <f>VLOOKUP(BX4,Expectations[#All],3,FALSE)</f>
        <v>Cloud DQ Approach</v>
      </c>
      <c r="BY5" s="98" t="str">
        <f>VLOOKUP(BY4,Expectations[#All],3,FALSE)</f>
        <v>Cloud DQ arch. (DQ, Migrate)</v>
      </c>
      <c r="BZ5" s="98" t="str">
        <f>VLOOKUP(BZ4,Expectations[#All],3,FALSE)</f>
        <v>Implement Cloud DQ (Quality)</v>
      </c>
      <c r="CA5" s="98" t="str">
        <f>VLOOKUP(CA4,Expectations[#All],3,FALSE)</f>
        <v>Cloud DQ Analytics</v>
      </c>
      <c r="CB5" s="98" t="str">
        <f>VLOOKUP(CB4,Expectations[#All],3,FALSE)</f>
        <v>Advanced Data Modelling (SQL)</v>
      </c>
      <c r="CC5" s="98" t="str">
        <f>VLOOKUP(CC4,Expectations[#All],3,FALSE)</f>
        <v>Construct - DynamicContext</v>
      </c>
      <c r="CD5" s="98" t="str">
        <f>VLOOKUP(CD4,Expectations[#All],3,FALSE)</f>
        <v>ADM Custom Dashboard - Quicksite</v>
      </c>
      <c r="CE5" s="98" t="str">
        <f>VLOOKUP(CE4,Expectations[#All],3,FALSE)</f>
        <v>PowerBI</v>
      </c>
      <c r="CF5" s="98" t="str">
        <f>VLOOKUP(CF4,Expectations[#All],3,FALSE)</f>
        <v>Other (Tableau, Databricks)</v>
      </c>
      <c r="CG5" s="98" t="str">
        <f>VLOOKUP(CG4,Expectations[#All],3,FALSE)</f>
        <v>General LLM/AI Concepts</v>
      </c>
      <c r="CH5" s="98" t="str">
        <f>VLOOKUP(CH4,Expectations[#All],3,FALSE)</f>
        <v>Experience in LLM/AI</v>
      </c>
      <c r="CI5" s="98" t="str">
        <f>VLOOKUP(CI4,Expectations[#All],3,FALSE)</f>
        <v>Syniti AI-Generated Rule Content</v>
      </c>
      <c r="CJ5" s="98" t="str">
        <f>VLOOKUP(CJ4,Expectations[#All],3,FALSE)</f>
        <v>Syniti Vision</v>
      </c>
      <c r="CK5" s="101" t="str">
        <f>VLOOKUP(CK4,Expectations[#All],3,FALSE)</f>
        <v>Syniti Classify</v>
      </c>
    </row>
    <row r="6" spans="2:89" s="92" customFormat="1" ht="123" hidden="1" customHeight="1">
      <c r="I6" s="86" t="s">
        <v>155</v>
      </c>
      <c r="J6" s="103" t="str">
        <f>VLOOKUP(J4,Expectations[#All],5,FALSE)</f>
        <v>Gathering and organizing source system data for further processing and data quality activities.</v>
      </c>
      <c r="K6" s="103" t="str">
        <f>VLOOKUP(K4,Expectations[#All],5,FALSE)</f>
        <v>Applying transformations and logic to ensure data is relevant and accurate for data quality.</v>
      </c>
      <c r="L6" s="103" t="str">
        <f>VLOOKUP(L4,Expectations[#All],5,FALSE)</f>
        <v>Building SQL views to support data profiling, cleansing, and validation.</v>
      </c>
      <c r="M6" s="103" t="str">
        <f>VLOOKUP(M4,Expectations[#All],5,FALSE)</f>
        <v>Registering rules and configuring components such as notifications and thresholds for DQ.</v>
      </c>
      <c r="N6" s="103" t="str">
        <f>VLOOKUP(N4,Expectations[#All],5,FALSE)</f>
        <v>Adjusting thresholds and managing scorecard components for data quality metrics.</v>
      </c>
      <c r="O6" s="103" t="str">
        <f>VLOOKUP(O4,Expectations[#All],5,FALSE)</f>
        <v>Administering ADM settings for project governance and data operations.</v>
      </c>
      <c r="P6" s="103" t="str">
        <f>VLOOKUP(P4,Expectations[#All],5,FALSE)</f>
        <v>Designing and maintaining the technical architecture of ADM solutions.</v>
      </c>
      <c r="Q6" s="103" t="str">
        <f>VLOOKUP(Q4,Expectations[#All],5,FALSE)</f>
        <v>Configuring and deploying Syniti Match for deduplication and entity resolution using Cortex engine.</v>
      </c>
      <c r="R6" s="103" t="str">
        <f>VLOOKUP(R4,Expectations[#All],5,FALSE)</f>
        <v>Automating service tasks and workflows within ADM for efficient operations.</v>
      </c>
      <c r="S6" s="103" t="str">
        <f>VLOOKUP(S4,Expectations[#All],5,FALSE)</f>
        <v>Creating, adapting, supporting customized solutions using Syniti Construct webApps</v>
      </c>
      <c r="T6" s="103" t="str">
        <f>VLOOKUP(T4,Expectations[#All],5,FALSE)</f>
        <v>Creating and managing data replicas and snapshots to preserve source data state for data quality.</v>
      </c>
      <c r="U6" s="103" t="str">
        <f>VLOOKUP(U4,Expectations[#All],5,FALSE)</f>
        <v>Assessing and preparing data objects for data quality, focusing on relevance and data scope.</v>
      </c>
      <c r="V6" s="103" t="str">
        <f>VLOOKUP(V4,Expectations[#All],5,FALSE)</f>
        <v>Designing SQL views to facilitate data profiling, cleansing, and transformation during data quality.</v>
      </c>
      <c r="W6" s="103" t="str">
        <f>VLOOKUP(W4,Expectations[#All],5,FALSE)</f>
        <v>Configuring data quality rules and related automation modules for data quality projects.</v>
      </c>
      <c r="X6" s="103" t="str">
        <f>VLOOKUP(X4,Expectations[#All],5,FALSE)</f>
        <v>Using the standard DQ dashboard to monitor, report, and analyze dataset-level quality metrics.</v>
      </c>
      <c r="Y6" s="103" t="str">
        <f>VLOOKUP(Y4,Expectations[#All],5,FALSE)</f>
        <v>Administering ADM-M project settings and data quality configurations for migration.</v>
      </c>
      <c r="Z6" s="103" t="str">
        <f>VLOOKUP(Z4,Expectations[#All],5,FALSE)</f>
        <v>Designing and optimizing the ADM-M technical architecture for scalable data quality.</v>
      </c>
      <c r="AA6" s="103" t="str">
        <f>VLOOKUP(AA4,Expectations[#All],5,FALSE)</f>
        <v>Applying cloud-based matching capabilities to deduplicate and resolve entities across systems.</v>
      </c>
      <c r="AB6" s="103" t="str">
        <f>VLOOKUP(AB4,Expectations[#All],5,FALSE)</f>
        <v>Automating and orchestrating sequences of data quality tasks in ADM-M.</v>
      </c>
      <c r="AC6" s="104" t="str">
        <f>VLOOKUP(AC4,Expectations[#All],5,FALSE)</f>
        <v>Creating, adapting, supporting customized solutions using Syniti Construct webApps</v>
      </c>
      <c r="AD6" s="105" t="str">
        <f>VLOOKUP(AD4,Expectations[#All],5,FALSE)</f>
        <v>Analyzing data sources to identify anomalies, patterns, and quality issues.</v>
      </c>
      <c r="AE6" s="103" t="str">
        <f>VLOOKUP(AE4,Expectations[#All],5,FALSE)</f>
        <v>Implementing processes to capture and manage data exceptions in DQ workflows.</v>
      </c>
      <c r="AF6" s="103" t="str">
        <f>VLOOKUP(AF4,Expectations[#All],5,FALSE)</f>
        <v>Utilizing algorithms and metadata to identify duplicate records across datasets.</v>
      </c>
      <c r="AG6" s="103" t="str">
        <f>VLOOKUP(AG4,Expectations[#All],5,FALSE)</f>
        <v>Systematically investigating the sources of data quality failures.</v>
      </c>
      <c r="AH6" s="106" t="str">
        <f>VLOOKUP(AH4,Expectations[#All],5,FALSE)</f>
        <v>Designing relational models for master and transactional data.</v>
      </c>
      <c r="AI6" s="107" t="str">
        <f>VLOOKUP(AI4,Expectations[#All],5,FALSE)</f>
        <v>Collecting and defining business requirements to shape DQ processes.</v>
      </c>
      <c r="AJ6" s="103" t="str">
        <f>VLOOKUP(AJ4,Expectations[#All],5,FALSE)</f>
        <v>Enforcing data standards and regulatory policies for compliance.</v>
      </c>
      <c r="AK6" s="103" t="str">
        <f>VLOOKUP(AK4,Expectations[#All],5,FALSE)</f>
        <v>Collaborating with stakeholders to establish KPIs and DQ measurement frameworks.</v>
      </c>
      <c r="AL6" s="103" t="str">
        <f>VLOOKUP(AL4,Expectations[#All],5,FALSE)</f>
        <v>Translating DQ policies into actionable operational procedures.</v>
      </c>
      <c r="AM6" s="104" t="str">
        <f>VLOOKUP(AM4,Expectations[#All],5,FALSE)</f>
        <v>Utilizing Excel and other tools for analysis and validation tasks.</v>
      </c>
      <c r="AN6" s="105" t="str">
        <f>VLOOKUP(AN4,Expectations[#All],5,FALSE)</f>
        <v>Managing key SAP master data objects for customers, vendors, materials, and finance.</v>
      </c>
      <c r="AO6" s="103" t="str">
        <f>VLOOKUP(AO4,Expectations[#All],5,FALSE)</f>
        <v>Handling core SAP business processes such as order-to-cash and procure-to-pay.</v>
      </c>
      <c r="AP6" s="103" t="str">
        <f>VLOOKUP(AP4,Expectations[#All],5,FALSE)</f>
        <v>Working with SAP tables, LSMW objects, IDOCs, and BAPI interfaces.</v>
      </c>
      <c r="AQ6" s="103" t="str">
        <f>VLOOKUP(AQ4,Expectations[#All],5,FALSE)</f>
        <v>Defining and executing mappings between source and SAP target systems.</v>
      </c>
      <c r="AR6" s="106" t="str">
        <f>VLOOKUP(AR4,Expectations[#All],5,FALSE)</f>
        <v>Understanding and adapting to SAP process requirements.</v>
      </c>
      <c r="AS6" s="105" t="str">
        <f>VLOOKUP(AS4,Expectations[#All],5,FALSE)</f>
        <v>Managing client and stakeholder expectations throughout deliverables.</v>
      </c>
      <c r="AT6" s="103" t="str">
        <f>VLOOKUP(AT4,Expectations[#All],5,FALSE)</f>
        <v>Collecting and clarifying project requirements from business and technical users.</v>
      </c>
      <c r="AU6" s="103" t="str">
        <f>VLOOKUP(AU4,Expectations[#All],5,FALSE)</f>
        <v>Leading discussions and engagements to drive consensus and solutioning.</v>
      </c>
      <c r="AV6" s="103" t="str">
        <f>VLOOKUP(AV4,Expectations[#All],5,FALSE)</f>
        <v>Coordinating across teams for effective project outcomes.</v>
      </c>
      <c r="AW6" s="103" t="str">
        <f>VLOOKUP(AW4,Expectations[#All],5,FALSE)</f>
        <v>Addressing team or stakeholder disputes constructively.</v>
      </c>
      <c r="AX6" s="103" t="str">
        <f>VLOOKUP(AX4,Expectations[#All],5,FALSE)</f>
        <v>Applying structured methodologies to create optimal solutions.</v>
      </c>
      <c r="AY6" s="103" t="str">
        <f>VLOOKUP(AY4,Expectations[#All],5,FALSE)</f>
        <v>Identifying, managing, and mitigating delivery risks.</v>
      </c>
      <c r="AZ6" s="103" t="str">
        <f>VLOOKUP(AZ4,Expectations[#All],5,FALSE)</f>
        <v>Working effectively across functional boundaries.</v>
      </c>
      <c r="BA6" s="103" t="str">
        <f>VLOOKUP(BA4,Expectations[#All],5,FALSE)</f>
        <v>Supporting team and individual development.</v>
      </c>
      <c r="BB6" s="106" t="str">
        <f>VLOOKUP(BB4,Expectations[#All],5,FALSE)</f>
        <v>Driving continuous process and solution enhancement.</v>
      </c>
      <c r="BC6" s="105" t="str">
        <f>VLOOKUP(BC4,Expectations[#All],5,FALSE)</f>
        <v>Translating business requirements into detailed project proposals and solution approaches.</v>
      </c>
      <c r="BD6" s="103" t="str">
        <f>VLOOKUP(BD4,Expectations[#All],5,FALSE)</f>
        <v>Developing statements of work and resourcing plans for successful engagements.</v>
      </c>
      <c r="BE6" s="103" t="str">
        <f>VLOOKUP(BE4,Expectations[#All],5,FALSE)</f>
        <v>Structuring and managing implementation plans using work breakdown structures.</v>
      </c>
      <c r="BF6" s="103" t="str">
        <f>VLOOKUP(BF4,Expectations[#All],5,FALSE)</f>
        <v>Tracking risks, issues, actions, and decisions to mitigate delivery problems.</v>
      </c>
      <c r="BG6" s="103" t="str">
        <f>VLOOKUP(BG4,Expectations[#All],5,FALSE)</f>
        <v>Ensuring compliance with Syniti and industry-standard project delivery methodologies.</v>
      </c>
      <c r="BH6" s="103" t="str">
        <f>VLOOKUP(BH4,Expectations[#All],5,FALSE)</f>
        <v>Applying the Syniti methodology for data quality operations across different projects.</v>
      </c>
      <c r="BI6" s="103" t="str">
        <f>VLOOKUP(BI4,Expectations[#All],5,FALSE)</f>
        <v>Driving consistency and governance in DQ processes through methodology adherence.</v>
      </c>
      <c r="BJ6" s="103" t="str">
        <f>VLOOKUP(BJ4,Expectations[#All],5,FALSE)</f>
        <v>Defining and managing granular data quality rules for business scenarios.</v>
      </c>
      <c r="BK6" s="103" t="str">
        <f>VLOOKUP(BK4,Expectations[#All],5,FALSE)</f>
        <v>Designing, executing, and reviewing QA activities for data quality assurance.</v>
      </c>
      <c r="BL6" s="103" t="str">
        <f>VLOOKUP(BL4,Expectations[#All],5,FALSE)</f>
        <v>Cycling through validation and continuous improvement of DQ processes.</v>
      </c>
      <c r="BM6" s="103" t="str">
        <f>VLOOKUP(BM4,Expectations[#All],5,FALSE)</f>
        <v>Applying structured techniques for harmonizing data across domains or systems.</v>
      </c>
      <c r="BN6" s="103" t="str">
        <f>VLOOKUP(BN4,Expectations[#All],5,FALSE)</f>
        <v>Designing solutions for data harmonization challenges and outcomes.</v>
      </c>
      <c r="BO6" s="103" t="str">
        <f>VLOOKUP(BO4,Expectations[#All],5,FALSE)</f>
        <v>Architecting frameworks to support harmonized enterprise data landscapes.</v>
      </c>
      <c r="BP6" s="103" t="str">
        <f>VLOOKUP(BP4,Expectations[#All],5,FALSE)</f>
        <v>Executing business partner consolidation within harmonization initiatives.</v>
      </c>
      <c r="BQ6" s="103" t="str">
        <f>VLOOKUP(BQ4,Expectations[#All],5,FALSE)</f>
        <v>Integrating and consolidating MRO (Maintenance, Repair, Operations) spare parts for enterprise harmonization</v>
      </c>
      <c r="BR6" s="103" t="str">
        <f>VLOOKUP(BR4,Expectations[#All],5,FALSE)</f>
        <v>Applying structured cleansing methodology to source data sets.</v>
      </c>
      <c r="BS6" s="103" t="str">
        <f>VLOOKUP(BS4,Expectations[#All],5,FALSE)</f>
        <v>Crafting approach for source cleansing considering process, people, and tools.</v>
      </c>
      <c r="BT6" s="103" t="str">
        <f>VLOOKUP(BT4,Expectations[#All],5,FALSE)</f>
        <v>Designing architecture for cleansing activities in DQ</v>
      </c>
      <c r="BU6" s="103" t="str">
        <f>VLOOKUP(BU4,Expectations[#All],5,FALSE)</f>
        <v>Executing source cleansing as part of data migration initiatives.</v>
      </c>
      <c r="BV6" s="103" t="str">
        <f>VLOOKUP(BV4,Expectations[#All],5,FALSE)</f>
        <v>Utilizing analytics to measure and optimize source data cleansing.</v>
      </c>
      <c r="BW6" s="103" t="str">
        <f>VLOOKUP(BW4,Expectations[#All],5,FALSE)</f>
        <v>Implementing methodologies for cloud-based data quality management.</v>
      </c>
      <c r="BX6" s="103" t="str">
        <f>VLOOKUP(BX4,Expectations[#All],5,FALSE)</f>
        <v>Defining tailored approaches for cloud DQ challenges using Syniti tools.</v>
      </c>
      <c r="BY6" s="103" t="str">
        <f>VLOOKUP(BY4,Expectations[#All],5,FALSE)</f>
        <v>Designing and operating cloud data architecture supporting quality</v>
      </c>
      <c r="BZ6" s="103" t="str">
        <f>VLOOKUP(BZ4,Expectations[#All],5,FALSE)</f>
        <v>Delivering end-to-end data quality solutions in cloud platforms.</v>
      </c>
      <c r="CA6" s="103" t="str">
        <f>VLOOKUP(CA4,Expectations[#All],5,FALSE)</f>
        <v>Applying analytics to assess and improve data quality in cloud environments.</v>
      </c>
      <c r="CB6" s="103" t="str">
        <f>VLOOKUP(CB4,Expectations[#All],5,FALSE)</f>
        <v>Building complex data models and visualizations using advanced SQL techniques.</v>
      </c>
      <c r="CC6" s="103" t="str">
        <f>VLOOKUP(CC4,Expectations[#All],5,FALSE)</f>
        <v>Configuring dynamic data constructs within Syniti platform dashboards.</v>
      </c>
      <c r="CD6" s="103" t="str">
        <f>VLOOKUP(CD4,Expectations[#All],5,FALSE)</f>
        <v>Customizing ADM dashboards for targeted insights in Quicksite.</v>
      </c>
      <c r="CE6" s="103" t="str">
        <f>VLOOKUP(CE4,Expectations[#All],5,FALSE)</f>
        <v>Designing and managing dashboards and reports in PowerBI.</v>
      </c>
      <c r="CF6" s="103" t="str">
        <f>VLOOKUP(CF4,Expectations[#All],5,FALSE)</f>
        <v>Creating data dashboards with other analytics platforms (Tableau, Databricks, Snowflake, SAC).</v>
      </c>
      <c r="CG6" s="103" t="str">
        <f>VLOOKUP(CG4,Expectations[#All],5,FALSE)</f>
        <v>Understanding concepts and applications of large language models and AI in data.</v>
      </c>
      <c r="CH6" s="103" t="str">
        <f>VLOOKUP(CH4,Expectations[#All],5,FALSE)</f>
        <v>Applying practical experience in LLM/AI within data management projects.</v>
      </c>
      <c r="CI6" s="103" t="str">
        <f>VLOOKUP(CI4,Expectations[#All],5,FALSE)</f>
        <v>Leveraging Syniti’s AI-generated rule libraries for automated data quality.</v>
      </c>
      <c r="CJ6" s="103" t="str">
        <f>VLOOKUP(CJ4,Expectations[#All],5,FALSE)</f>
        <v>Implementing Syniti Vision for enhanced analytics and data visualization.</v>
      </c>
      <c r="CK6" s="106" t="str">
        <f>VLOOKUP(CK4,Expectations[#All],5,FALSE)</f>
        <v>Using Syniti Classify modules for automated entity classification and improvement.</v>
      </c>
    </row>
    <row r="7" spans="2:89" s="92" customFormat="1" ht="77.099999999999994" customHeight="1">
      <c r="B7" s="108" t="s">
        <v>75</v>
      </c>
      <c r="C7" s="108" t="s">
        <v>156</v>
      </c>
      <c r="D7" s="108" t="s">
        <v>157</v>
      </c>
      <c r="E7" s="108" t="s">
        <v>158</v>
      </c>
      <c r="F7" s="108" t="s">
        <v>159</v>
      </c>
      <c r="G7" s="108" t="s">
        <v>160</v>
      </c>
      <c r="H7" s="108" t="s">
        <v>161</v>
      </c>
      <c r="I7" s="109" t="s">
        <v>162</v>
      </c>
      <c r="J7" s="81" t="s">
        <v>163</v>
      </c>
      <c r="K7" s="77" t="s">
        <v>164</v>
      </c>
      <c r="L7" s="77" t="s">
        <v>165</v>
      </c>
      <c r="M7" s="77" t="s">
        <v>166</v>
      </c>
      <c r="N7" s="77" t="s">
        <v>167</v>
      </c>
      <c r="O7" s="77" t="s">
        <v>168</v>
      </c>
      <c r="P7" s="77" t="s">
        <v>169</v>
      </c>
      <c r="Q7" s="77" t="s">
        <v>170</v>
      </c>
      <c r="R7" s="77" t="s">
        <v>171</v>
      </c>
      <c r="S7" s="77" t="s">
        <v>172</v>
      </c>
      <c r="T7" s="77" t="s">
        <v>173</v>
      </c>
      <c r="U7" s="77" t="s">
        <v>174</v>
      </c>
      <c r="V7" s="77" t="s">
        <v>175</v>
      </c>
      <c r="W7" s="77" t="s">
        <v>176</v>
      </c>
      <c r="X7" s="77" t="s">
        <v>177</v>
      </c>
      <c r="Y7" s="77" t="s">
        <v>178</v>
      </c>
      <c r="Z7" s="77" t="s">
        <v>179</v>
      </c>
      <c r="AA7" s="77" t="s">
        <v>180</v>
      </c>
      <c r="AB7" s="77" t="s">
        <v>181</v>
      </c>
      <c r="AC7" s="82" t="s">
        <v>182</v>
      </c>
      <c r="AD7" s="79" t="s">
        <v>183</v>
      </c>
      <c r="AE7" s="77" t="s">
        <v>184</v>
      </c>
      <c r="AF7" s="77" t="s">
        <v>185</v>
      </c>
      <c r="AG7" s="77" t="s">
        <v>186</v>
      </c>
      <c r="AH7" s="78" t="s">
        <v>187</v>
      </c>
      <c r="AI7" s="83" t="s">
        <v>188</v>
      </c>
      <c r="AJ7" s="77" t="s">
        <v>189</v>
      </c>
      <c r="AK7" s="77" t="s">
        <v>190</v>
      </c>
      <c r="AL7" s="77" t="s">
        <v>191</v>
      </c>
      <c r="AM7" s="82" t="s">
        <v>192</v>
      </c>
      <c r="AN7" s="79" t="s">
        <v>193</v>
      </c>
      <c r="AO7" s="77" t="s">
        <v>194</v>
      </c>
      <c r="AP7" s="77" t="s">
        <v>195</v>
      </c>
      <c r="AQ7" s="77" t="s">
        <v>196</v>
      </c>
      <c r="AR7" s="78" t="s">
        <v>197</v>
      </c>
      <c r="AS7" s="79" t="s">
        <v>198</v>
      </c>
      <c r="AT7" s="77" t="s">
        <v>199</v>
      </c>
      <c r="AU7" s="77" t="s">
        <v>200</v>
      </c>
      <c r="AV7" s="77" t="s">
        <v>201</v>
      </c>
      <c r="AW7" s="77" t="s">
        <v>202</v>
      </c>
      <c r="AX7" s="77" t="s">
        <v>203</v>
      </c>
      <c r="AY7" s="77" t="s">
        <v>204</v>
      </c>
      <c r="AZ7" s="77" t="s">
        <v>205</v>
      </c>
      <c r="BA7" s="77" t="s">
        <v>206</v>
      </c>
      <c r="BB7" s="78" t="s">
        <v>207</v>
      </c>
      <c r="BC7" s="79" t="s">
        <v>208</v>
      </c>
      <c r="BD7" s="77" t="s">
        <v>209</v>
      </c>
      <c r="BE7" s="77" t="s">
        <v>210</v>
      </c>
      <c r="BF7" s="80" t="s">
        <v>211</v>
      </c>
      <c r="BG7" s="80" t="s">
        <v>212</v>
      </c>
      <c r="BH7" s="80" t="s">
        <v>213</v>
      </c>
      <c r="BI7" s="80" t="s">
        <v>214</v>
      </c>
      <c r="BJ7" s="80" t="s">
        <v>215</v>
      </c>
      <c r="BK7" s="80" t="s">
        <v>216</v>
      </c>
      <c r="BL7" s="80" t="s">
        <v>217</v>
      </c>
      <c r="BM7" s="80" t="s">
        <v>218</v>
      </c>
      <c r="BN7" s="80" t="s">
        <v>219</v>
      </c>
      <c r="BO7" s="80" t="s">
        <v>220</v>
      </c>
      <c r="BP7" s="80" t="s">
        <v>221</v>
      </c>
      <c r="BQ7" s="80" t="s">
        <v>222</v>
      </c>
      <c r="BR7" s="80" t="s">
        <v>223</v>
      </c>
      <c r="BS7" s="80" t="s">
        <v>224</v>
      </c>
      <c r="BT7" s="80" t="s">
        <v>225</v>
      </c>
      <c r="BU7" s="80" t="s">
        <v>226</v>
      </c>
      <c r="BV7" s="80" t="s">
        <v>227</v>
      </c>
      <c r="BW7" s="80" t="s">
        <v>228</v>
      </c>
      <c r="BX7" s="80" t="s">
        <v>229</v>
      </c>
      <c r="BY7" s="80" t="s">
        <v>230</v>
      </c>
      <c r="BZ7" s="80" t="s">
        <v>231</v>
      </c>
      <c r="CA7" s="80" t="s">
        <v>232</v>
      </c>
      <c r="CB7" s="80" t="s">
        <v>233</v>
      </c>
      <c r="CC7" s="80" t="s">
        <v>234</v>
      </c>
      <c r="CD7" s="80" t="s">
        <v>235</v>
      </c>
      <c r="CE7" s="80" t="s">
        <v>236</v>
      </c>
      <c r="CF7" s="80" t="s">
        <v>237</v>
      </c>
      <c r="CG7" s="80" t="s">
        <v>238</v>
      </c>
      <c r="CH7" s="80" t="s">
        <v>239</v>
      </c>
      <c r="CI7" s="80" t="s">
        <v>240</v>
      </c>
      <c r="CJ7" s="80" t="s">
        <v>241</v>
      </c>
      <c r="CK7" s="84" t="s">
        <v>242</v>
      </c>
    </row>
    <row r="8" spans="2:89">
      <c r="B8" s="110" t="s">
        <v>243</v>
      </c>
      <c r="C8" s="111" t="s">
        <v>244</v>
      </c>
      <c r="D8" s="111" t="s">
        <v>245</v>
      </c>
      <c r="E8" s="111" t="s">
        <v>29</v>
      </c>
      <c r="F8" s="111" t="s">
        <v>246</v>
      </c>
      <c r="G8" s="117"/>
      <c r="H8" s="117" t="s">
        <v>247</v>
      </c>
      <c r="I8" s="140"/>
      <c r="J8" s="118">
        <v>5</v>
      </c>
      <c r="K8" s="119">
        <v>4</v>
      </c>
      <c r="L8" s="119">
        <v>5</v>
      </c>
      <c r="M8" s="119">
        <v>5</v>
      </c>
      <c r="N8" s="119">
        <v>5</v>
      </c>
      <c r="O8" s="119">
        <v>4</v>
      </c>
      <c r="P8" s="119">
        <v>4</v>
      </c>
      <c r="Q8" s="119">
        <v>5</v>
      </c>
      <c r="R8" s="119">
        <v>4</v>
      </c>
      <c r="S8" s="119">
        <v>4</v>
      </c>
      <c r="T8" s="119">
        <v>4</v>
      </c>
      <c r="U8" s="119">
        <v>5</v>
      </c>
      <c r="V8" s="119">
        <v>5</v>
      </c>
      <c r="W8" s="119">
        <v>5</v>
      </c>
      <c r="X8" s="119">
        <v>5</v>
      </c>
      <c r="Y8" s="119"/>
      <c r="Z8" s="119">
        <v>4</v>
      </c>
      <c r="AA8" s="119">
        <v>4</v>
      </c>
      <c r="AB8" s="119"/>
      <c r="AC8" s="120"/>
      <c r="AD8" s="121"/>
      <c r="AE8" s="119"/>
      <c r="AF8" s="119"/>
      <c r="AG8" s="119"/>
      <c r="AH8" s="122"/>
      <c r="AI8" s="123"/>
      <c r="AJ8" s="119"/>
      <c r="AK8" s="119"/>
      <c r="AL8" s="119"/>
      <c r="AM8" s="120"/>
      <c r="AN8" s="121"/>
      <c r="AO8" s="119"/>
      <c r="AP8" s="119"/>
      <c r="AQ8" s="119"/>
      <c r="AR8" s="122"/>
      <c r="AS8" s="121"/>
      <c r="AT8" s="119"/>
      <c r="AU8" s="119"/>
      <c r="AV8" s="119"/>
      <c r="AW8" s="119"/>
      <c r="AX8" s="119"/>
      <c r="AY8" s="119"/>
      <c r="AZ8" s="119"/>
      <c r="BA8" s="119"/>
      <c r="BB8" s="122"/>
      <c r="BC8" s="127">
        <v>2</v>
      </c>
      <c r="BD8" s="118">
        <v>2</v>
      </c>
      <c r="BE8" s="118">
        <v>2</v>
      </c>
      <c r="BF8" s="118">
        <v>4</v>
      </c>
      <c r="BG8" s="118">
        <v>4</v>
      </c>
      <c r="BH8" s="118"/>
      <c r="BI8" s="119"/>
      <c r="BJ8" s="119"/>
      <c r="BK8" s="119"/>
      <c r="BL8" s="119"/>
      <c r="BM8" s="118">
        <v>4</v>
      </c>
      <c r="BN8" s="119">
        <v>5</v>
      </c>
      <c r="BO8" s="119">
        <v>4</v>
      </c>
      <c r="BP8" s="119">
        <v>5</v>
      </c>
      <c r="BQ8" s="119">
        <v>5</v>
      </c>
      <c r="BR8" s="118"/>
      <c r="BS8" s="119"/>
      <c r="BT8" s="119"/>
      <c r="BU8" s="119"/>
      <c r="BV8" s="119"/>
      <c r="BW8" s="118">
        <v>5</v>
      </c>
      <c r="BX8" s="119">
        <v>5</v>
      </c>
      <c r="BY8" s="119">
        <v>5</v>
      </c>
      <c r="BZ8" s="119">
        <v>5</v>
      </c>
      <c r="CA8" s="119">
        <v>5</v>
      </c>
      <c r="CB8" s="118"/>
      <c r="CC8" s="119"/>
      <c r="CD8" s="119"/>
      <c r="CE8" s="119"/>
      <c r="CF8" s="119"/>
      <c r="CG8" s="119"/>
      <c r="CH8" s="119"/>
      <c r="CI8" s="119"/>
      <c r="CJ8" s="119"/>
      <c r="CK8" s="122"/>
    </row>
    <row r="9" spans="2:89">
      <c r="B9" s="112" t="s">
        <v>248</v>
      </c>
      <c r="C9" s="113" t="s">
        <v>249</v>
      </c>
      <c r="D9" s="113" t="s">
        <v>250</v>
      </c>
      <c r="E9" s="113" t="s">
        <v>31</v>
      </c>
      <c r="F9" s="113" t="s">
        <v>246</v>
      </c>
      <c r="G9" s="130"/>
      <c r="H9" s="117" t="s">
        <v>247</v>
      </c>
      <c r="I9" s="131"/>
      <c r="J9" s="118"/>
      <c r="K9" s="118"/>
      <c r="L9" s="118"/>
      <c r="M9" s="118"/>
      <c r="N9" s="118"/>
      <c r="O9" s="118"/>
      <c r="P9" s="118"/>
      <c r="Q9" s="118"/>
      <c r="R9" s="118"/>
      <c r="S9" s="118"/>
      <c r="T9" s="118"/>
      <c r="U9" s="118"/>
      <c r="V9" s="118"/>
      <c r="W9" s="118"/>
      <c r="X9" s="118"/>
      <c r="Y9" s="118"/>
      <c r="Z9" s="118"/>
      <c r="AA9" s="118"/>
      <c r="AB9" s="118"/>
      <c r="AC9" s="126"/>
      <c r="AD9" s="127"/>
      <c r="AE9" s="118"/>
      <c r="AF9" s="118"/>
      <c r="AG9" s="118"/>
      <c r="AH9" s="128"/>
      <c r="AI9" s="129"/>
      <c r="AJ9" s="118"/>
      <c r="AK9" s="118"/>
      <c r="AL9" s="118"/>
      <c r="AM9" s="126"/>
      <c r="AN9" s="127"/>
      <c r="AO9" s="118"/>
      <c r="AP9" s="118"/>
      <c r="AQ9" s="118"/>
      <c r="AR9" s="128"/>
      <c r="AS9" s="127"/>
      <c r="AT9" s="118"/>
      <c r="AU9" s="118"/>
      <c r="AV9" s="118"/>
      <c r="AW9" s="118"/>
      <c r="AX9" s="118"/>
      <c r="AY9" s="118"/>
      <c r="AZ9" s="118"/>
      <c r="BA9" s="118"/>
      <c r="BB9" s="128"/>
      <c r="BC9" s="127"/>
      <c r="BD9" s="118"/>
      <c r="BE9" s="118"/>
      <c r="BF9" s="118"/>
      <c r="BG9" s="118"/>
      <c r="BH9" s="118"/>
      <c r="BI9" s="118"/>
      <c r="BJ9" s="118"/>
      <c r="BK9" s="118"/>
      <c r="BL9" s="118"/>
      <c r="BM9" s="118" t="s">
        <v>251</v>
      </c>
      <c r="BN9" s="118" t="s">
        <v>251</v>
      </c>
      <c r="BO9" s="118" t="s">
        <v>251</v>
      </c>
      <c r="BP9" s="118" t="s">
        <v>251</v>
      </c>
      <c r="BQ9" s="118" t="s">
        <v>251</v>
      </c>
      <c r="BR9" s="118"/>
      <c r="BS9" s="118"/>
      <c r="BT9" s="118"/>
      <c r="BU9" s="118"/>
      <c r="BV9" s="118"/>
      <c r="BW9" s="118"/>
      <c r="BX9" s="118"/>
      <c r="BY9" s="118"/>
      <c r="BZ9" s="118"/>
      <c r="CA9" s="118"/>
      <c r="CB9" s="118"/>
      <c r="CC9" s="118"/>
      <c r="CD9" s="118"/>
      <c r="CE9" s="118"/>
      <c r="CF9" s="118"/>
      <c r="CG9" s="118"/>
      <c r="CH9" s="118"/>
      <c r="CI9" s="118"/>
      <c r="CJ9" s="118"/>
      <c r="CK9" s="128"/>
    </row>
    <row r="10" spans="2:89">
      <c r="B10" s="112" t="s">
        <v>252</v>
      </c>
      <c r="C10" s="113" t="s">
        <v>253</v>
      </c>
      <c r="D10" s="113" t="s">
        <v>254</v>
      </c>
      <c r="E10" s="113" t="s">
        <v>28</v>
      </c>
      <c r="F10" s="113" t="s">
        <v>246</v>
      </c>
      <c r="G10" s="124"/>
      <c r="H10" s="117" t="s">
        <v>247</v>
      </c>
      <c r="I10" s="125"/>
      <c r="J10" s="118"/>
      <c r="K10" s="118"/>
      <c r="L10" s="118"/>
      <c r="M10" s="118"/>
      <c r="N10" s="118"/>
      <c r="O10" s="118"/>
      <c r="P10" s="118"/>
      <c r="Q10" s="118"/>
      <c r="R10" s="118"/>
      <c r="S10" s="118"/>
      <c r="T10" s="118"/>
      <c r="U10" s="118"/>
      <c r="V10" s="118"/>
      <c r="W10" s="118"/>
      <c r="X10" s="118"/>
      <c r="Y10" s="118"/>
      <c r="Z10" s="118"/>
      <c r="AA10" s="118"/>
      <c r="AB10" s="118"/>
      <c r="AC10" s="126"/>
      <c r="AD10" s="127"/>
      <c r="AE10" s="118"/>
      <c r="AF10" s="118"/>
      <c r="AG10" s="118"/>
      <c r="AH10" s="128"/>
      <c r="AI10" s="129"/>
      <c r="AJ10" s="118"/>
      <c r="AK10" s="118"/>
      <c r="AL10" s="118"/>
      <c r="AM10" s="126"/>
      <c r="AN10" s="127"/>
      <c r="AO10" s="118"/>
      <c r="AP10" s="118"/>
      <c r="AQ10" s="118"/>
      <c r="AR10" s="128"/>
      <c r="AS10" s="127"/>
      <c r="AT10" s="118"/>
      <c r="AU10" s="118"/>
      <c r="AV10" s="118"/>
      <c r="AW10" s="118"/>
      <c r="AX10" s="118"/>
      <c r="AY10" s="118"/>
      <c r="AZ10" s="118"/>
      <c r="BA10" s="118"/>
      <c r="BB10" s="128"/>
      <c r="BC10" s="127"/>
      <c r="BD10" s="118"/>
      <c r="BE10" s="118"/>
      <c r="BF10" s="118"/>
      <c r="BG10" s="118"/>
      <c r="BH10" s="118"/>
      <c r="BI10" s="118"/>
      <c r="BJ10" s="118"/>
      <c r="BK10" s="118"/>
      <c r="BL10" s="118"/>
      <c r="BM10" s="118">
        <v>5</v>
      </c>
      <c r="BN10" s="118">
        <v>5</v>
      </c>
      <c r="BO10" s="118">
        <v>5</v>
      </c>
      <c r="BP10" s="118">
        <v>5</v>
      </c>
      <c r="BQ10" s="118">
        <v>4</v>
      </c>
      <c r="BR10" s="118"/>
      <c r="BS10" s="118"/>
      <c r="BT10" s="118"/>
      <c r="BU10" s="118"/>
      <c r="BV10" s="118"/>
      <c r="BW10" s="118"/>
      <c r="BX10" s="118"/>
      <c r="BY10" s="118"/>
      <c r="BZ10" s="118"/>
      <c r="CA10" s="118"/>
      <c r="CB10" s="118"/>
      <c r="CC10" s="118"/>
      <c r="CD10" s="118"/>
      <c r="CE10" s="118"/>
      <c r="CF10" s="118"/>
      <c r="CG10" s="118"/>
      <c r="CH10" s="118"/>
      <c r="CI10" s="118"/>
      <c r="CJ10" s="118"/>
      <c r="CK10" s="128"/>
    </row>
    <row r="11" spans="2:89">
      <c r="B11" s="112" t="s">
        <v>255</v>
      </c>
      <c r="C11" s="113" t="s">
        <v>256</v>
      </c>
      <c r="D11" s="113" t="s">
        <v>257</v>
      </c>
      <c r="E11" s="113" t="s">
        <v>31</v>
      </c>
      <c r="F11" s="113" t="s">
        <v>246</v>
      </c>
      <c r="G11" s="124" t="s">
        <v>258</v>
      </c>
      <c r="H11" s="117" t="s">
        <v>259</v>
      </c>
      <c r="I11" s="131"/>
      <c r="J11" s="118">
        <v>2</v>
      </c>
      <c r="K11" s="118">
        <v>2</v>
      </c>
      <c r="L11" s="118">
        <v>3</v>
      </c>
      <c r="M11" s="118">
        <v>3</v>
      </c>
      <c r="N11" s="118">
        <v>2</v>
      </c>
      <c r="O11" s="118">
        <v>4</v>
      </c>
      <c r="P11" s="118">
        <v>3</v>
      </c>
      <c r="Q11" s="118">
        <v>1</v>
      </c>
      <c r="R11" s="118">
        <v>4</v>
      </c>
      <c r="S11" s="118">
        <v>3</v>
      </c>
      <c r="T11" s="118">
        <v>2</v>
      </c>
      <c r="U11" s="118">
        <v>2</v>
      </c>
      <c r="V11" s="118">
        <v>4</v>
      </c>
      <c r="W11" s="118"/>
      <c r="X11" s="118">
        <v>4</v>
      </c>
      <c r="Y11" s="118">
        <v>2</v>
      </c>
      <c r="Z11" s="118">
        <v>2</v>
      </c>
      <c r="AA11" s="118">
        <v>1</v>
      </c>
      <c r="AB11" s="118">
        <v>1</v>
      </c>
      <c r="AC11" s="126">
        <v>2</v>
      </c>
      <c r="AD11" s="127">
        <v>2</v>
      </c>
      <c r="AE11" s="118">
        <v>4</v>
      </c>
      <c r="AF11" s="118">
        <v>2</v>
      </c>
      <c r="AG11" s="118">
        <v>3</v>
      </c>
      <c r="AH11" s="128">
        <v>3</v>
      </c>
      <c r="AI11" s="129">
        <v>2</v>
      </c>
      <c r="AJ11" s="118">
        <v>2</v>
      </c>
      <c r="AK11" s="118">
        <v>3</v>
      </c>
      <c r="AL11" s="118">
        <v>2</v>
      </c>
      <c r="AM11" s="126">
        <v>3</v>
      </c>
      <c r="AN11" s="127"/>
      <c r="AO11" s="118"/>
      <c r="AP11" s="118"/>
      <c r="AQ11" s="118"/>
      <c r="AR11" s="128"/>
      <c r="AS11" s="127">
        <v>3</v>
      </c>
      <c r="AT11" s="118">
        <v>3</v>
      </c>
      <c r="AU11" s="118">
        <v>2</v>
      </c>
      <c r="AV11" s="118">
        <v>4</v>
      </c>
      <c r="AW11" s="118">
        <v>2</v>
      </c>
      <c r="AX11" s="118">
        <v>3</v>
      </c>
      <c r="AY11" s="118">
        <v>3</v>
      </c>
      <c r="AZ11" s="118">
        <v>3</v>
      </c>
      <c r="BA11" s="118">
        <v>3</v>
      </c>
      <c r="BB11" s="128">
        <v>4</v>
      </c>
      <c r="BC11" s="118">
        <v>1</v>
      </c>
      <c r="BD11" s="118">
        <v>1</v>
      </c>
      <c r="BE11" s="118">
        <v>1</v>
      </c>
      <c r="BF11" s="118">
        <v>2</v>
      </c>
      <c r="BG11" s="118">
        <v>3</v>
      </c>
      <c r="BH11" s="141">
        <v>3</v>
      </c>
      <c r="BI11" s="118">
        <v>3</v>
      </c>
      <c r="BJ11" s="118">
        <v>2</v>
      </c>
      <c r="BK11" s="118">
        <v>3</v>
      </c>
      <c r="BL11" s="118">
        <v>4</v>
      </c>
      <c r="BM11" s="141">
        <v>1</v>
      </c>
      <c r="BN11" s="118">
        <v>1</v>
      </c>
      <c r="BO11" s="118">
        <v>1</v>
      </c>
      <c r="BP11" s="118">
        <v>2</v>
      </c>
      <c r="BQ11" s="118">
        <v>1</v>
      </c>
      <c r="BR11" s="141"/>
      <c r="BS11" s="118"/>
      <c r="BT11" s="118"/>
      <c r="BU11" s="118"/>
      <c r="BV11" s="118">
        <v>2</v>
      </c>
      <c r="BW11" s="118">
        <v>3</v>
      </c>
      <c r="BX11" s="118">
        <v>3</v>
      </c>
      <c r="BY11" s="118">
        <v>2</v>
      </c>
      <c r="BZ11" s="118">
        <v>2</v>
      </c>
      <c r="CA11" s="118">
        <v>1</v>
      </c>
      <c r="CB11" s="118">
        <v>1</v>
      </c>
      <c r="CC11" s="118">
        <v>4</v>
      </c>
      <c r="CD11" s="118">
        <v>1</v>
      </c>
      <c r="CE11" s="118">
        <v>4</v>
      </c>
      <c r="CF11" s="118">
        <v>1</v>
      </c>
      <c r="CG11" s="118">
        <v>1</v>
      </c>
      <c r="CH11" s="118">
        <v>1</v>
      </c>
      <c r="CI11" s="118">
        <v>3</v>
      </c>
      <c r="CJ11" s="118">
        <v>1</v>
      </c>
      <c r="CK11" s="128">
        <v>1</v>
      </c>
    </row>
    <row r="12" spans="2:89">
      <c r="B12" s="112" t="s">
        <v>260</v>
      </c>
      <c r="C12" s="113" t="s">
        <v>256</v>
      </c>
      <c r="D12" s="113" t="s">
        <v>261</v>
      </c>
      <c r="E12" s="113" t="s">
        <v>30</v>
      </c>
      <c r="F12" s="113" t="s">
        <v>246</v>
      </c>
      <c r="G12" s="124" t="s">
        <v>258</v>
      </c>
      <c r="H12" s="117" t="s">
        <v>259</v>
      </c>
      <c r="I12" s="125"/>
      <c r="J12" s="118">
        <v>2</v>
      </c>
      <c r="K12" s="118">
        <v>2</v>
      </c>
      <c r="L12" s="118">
        <v>3</v>
      </c>
      <c r="M12" s="118">
        <v>3</v>
      </c>
      <c r="N12" s="118">
        <v>2</v>
      </c>
      <c r="O12" s="118">
        <v>3</v>
      </c>
      <c r="P12" s="118">
        <v>2</v>
      </c>
      <c r="Q12" s="118">
        <v>1</v>
      </c>
      <c r="R12" s="118">
        <v>2</v>
      </c>
      <c r="S12" s="118">
        <v>2</v>
      </c>
      <c r="T12" s="118">
        <v>2</v>
      </c>
      <c r="U12" s="118">
        <v>2</v>
      </c>
      <c r="V12" s="118">
        <v>3</v>
      </c>
      <c r="W12" s="118"/>
      <c r="X12" s="118">
        <v>3</v>
      </c>
      <c r="Y12" s="118">
        <v>2</v>
      </c>
      <c r="Z12" s="118">
        <v>2</v>
      </c>
      <c r="AA12" s="118">
        <v>1</v>
      </c>
      <c r="AB12" s="118">
        <v>1</v>
      </c>
      <c r="AC12" s="126">
        <v>1</v>
      </c>
      <c r="AD12" s="127">
        <v>2</v>
      </c>
      <c r="AE12" s="118">
        <v>2</v>
      </c>
      <c r="AF12" s="118">
        <v>2</v>
      </c>
      <c r="AG12" s="118">
        <v>3</v>
      </c>
      <c r="AH12" s="128">
        <v>3</v>
      </c>
      <c r="AI12" s="129">
        <v>4</v>
      </c>
      <c r="AJ12" s="118">
        <v>4</v>
      </c>
      <c r="AK12" s="118">
        <v>3</v>
      </c>
      <c r="AL12" s="118">
        <v>4</v>
      </c>
      <c r="AM12" s="126">
        <v>3</v>
      </c>
      <c r="AN12" s="127"/>
      <c r="AO12" s="118"/>
      <c r="AP12" s="118"/>
      <c r="AQ12" s="118"/>
      <c r="AR12" s="128"/>
      <c r="AS12" s="127">
        <v>4</v>
      </c>
      <c r="AT12" s="118">
        <v>4</v>
      </c>
      <c r="AU12" s="118">
        <v>3</v>
      </c>
      <c r="AV12" s="118">
        <v>4</v>
      </c>
      <c r="AW12" s="118">
        <v>3</v>
      </c>
      <c r="AX12" s="118">
        <v>2</v>
      </c>
      <c r="AY12" s="118">
        <v>4</v>
      </c>
      <c r="AZ12" s="118">
        <v>4</v>
      </c>
      <c r="BA12" s="118">
        <v>4</v>
      </c>
      <c r="BB12" s="128">
        <v>4</v>
      </c>
      <c r="BC12" s="127">
        <v>1</v>
      </c>
      <c r="BD12" s="118">
        <v>1</v>
      </c>
      <c r="BE12" s="118">
        <v>2</v>
      </c>
      <c r="BF12" s="118">
        <v>3</v>
      </c>
      <c r="BG12" s="118">
        <v>3</v>
      </c>
      <c r="BH12" s="118">
        <v>4</v>
      </c>
      <c r="BI12" s="118">
        <v>4</v>
      </c>
      <c r="BJ12" s="118">
        <v>4</v>
      </c>
      <c r="BK12" s="118">
        <v>3</v>
      </c>
      <c r="BL12" s="118">
        <v>4</v>
      </c>
      <c r="BM12" s="118">
        <v>1</v>
      </c>
      <c r="BN12" s="118">
        <v>1</v>
      </c>
      <c r="BO12" s="118">
        <v>1</v>
      </c>
      <c r="BP12" s="118">
        <v>1</v>
      </c>
      <c r="BQ12" s="118">
        <v>1</v>
      </c>
      <c r="BR12" s="118"/>
      <c r="BS12" s="118"/>
      <c r="BT12" s="118"/>
      <c r="BU12" s="118"/>
      <c r="BV12" s="118">
        <v>2</v>
      </c>
      <c r="BW12" s="141"/>
      <c r="BX12" s="141"/>
      <c r="BY12" s="141"/>
      <c r="BZ12" s="141"/>
      <c r="CA12" s="141"/>
      <c r="CB12" s="118">
        <v>1</v>
      </c>
      <c r="CC12" s="118">
        <v>3</v>
      </c>
      <c r="CD12" s="118">
        <v>1</v>
      </c>
      <c r="CE12" s="118">
        <v>3</v>
      </c>
      <c r="CF12" s="118">
        <v>1</v>
      </c>
      <c r="CG12" s="118">
        <v>1</v>
      </c>
      <c r="CH12" s="118">
        <v>1</v>
      </c>
      <c r="CI12" s="118">
        <v>1</v>
      </c>
      <c r="CJ12" s="118">
        <v>1</v>
      </c>
      <c r="CK12" s="128">
        <v>1</v>
      </c>
    </row>
    <row r="13" spans="2:89">
      <c r="B13" s="112" t="s">
        <v>262</v>
      </c>
      <c r="C13" s="113" t="s">
        <v>256</v>
      </c>
      <c r="D13" s="113" t="s">
        <v>263</v>
      </c>
      <c r="E13" s="113" t="s">
        <v>30</v>
      </c>
      <c r="F13" s="113" t="s">
        <v>246</v>
      </c>
      <c r="G13" s="130" t="s">
        <v>264</v>
      </c>
      <c r="H13" s="117"/>
      <c r="I13" s="131"/>
      <c r="J13" s="118"/>
      <c r="K13" s="118"/>
      <c r="L13" s="118"/>
      <c r="M13" s="118"/>
      <c r="N13" s="118"/>
      <c r="O13" s="118"/>
      <c r="P13" s="118"/>
      <c r="Q13" s="118"/>
      <c r="R13" s="118"/>
      <c r="S13" s="118"/>
      <c r="T13" s="118"/>
      <c r="U13" s="118"/>
      <c r="V13" s="118"/>
      <c r="W13" s="118"/>
      <c r="X13" s="118"/>
      <c r="Y13" s="118"/>
      <c r="Z13" s="118"/>
      <c r="AA13" s="118"/>
      <c r="AB13" s="118"/>
      <c r="AC13" s="126"/>
      <c r="AD13" s="127"/>
      <c r="AE13" s="118"/>
      <c r="AF13" s="118"/>
      <c r="AG13" s="118"/>
      <c r="AH13" s="128"/>
      <c r="AI13" s="129"/>
      <c r="AJ13" s="118"/>
      <c r="AK13" s="118"/>
      <c r="AL13" s="118"/>
      <c r="AM13" s="126"/>
      <c r="AN13" s="127"/>
      <c r="AO13" s="118"/>
      <c r="AP13" s="118"/>
      <c r="AQ13" s="118"/>
      <c r="AR13" s="128"/>
      <c r="AS13" s="127"/>
      <c r="AT13" s="118"/>
      <c r="AU13" s="118"/>
      <c r="AV13" s="118"/>
      <c r="AW13" s="118"/>
      <c r="AX13" s="118"/>
      <c r="AY13" s="118"/>
      <c r="AZ13" s="118"/>
      <c r="BA13" s="118"/>
      <c r="BB13" s="128"/>
      <c r="BC13" s="127"/>
      <c r="BD13" s="118"/>
      <c r="BE13" s="118"/>
      <c r="BF13" s="118"/>
      <c r="BG13" s="118"/>
      <c r="BH13" s="118"/>
      <c r="BI13" s="118"/>
      <c r="BJ13" s="118"/>
      <c r="BK13" s="118"/>
      <c r="BL13" s="118"/>
      <c r="BM13" s="118"/>
      <c r="BN13" s="118"/>
      <c r="BO13" s="118"/>
      <c r="BP13" s="118"/>
      <c r="BQ13" s="118"/>
      <c r="BR13" s="118"/>
      <c r="BS13" s="118"/>
      <c r="BT13" s="118"/>
      <c r="BU13" s="118"/>
      <c r="BV13" s="118"/>
      <c r="BW13" s="118">
        <v>4</v>
      </c>
      <c r="BX13" s="118">
        <v>3</v>
      </c>
      <c r="BY13" s="118">
        <v>2</v>
      </c>
      <c r="BZ13" s="118">
        <v>2</v>
      </c>
      <c r="CA13" s="118">
        <v>1</v>
      </c>
      <c r="CB13" s="118"/>
      <c r="CC13" s="118"/>
      <c r="CD13" s="118"/>
      <c r="CE13" s="118"/>
      <c r="CF13" s="118"/>
      <c r="CG13" s="118"/>
      <c r="CH13" s="118"/>
      <c r="CI13" s="118"/>
      <c r="CJ13" s="118"/>
      <c r="CK13" s="128"/>
    </row>
    <row r="14" spans="2:89">
      <c r="B14" s="112" t="s">
        <v>265</v>
      </c>
      <c r="C14" s="113" t="s">
        <v>266</v>
      </c>
      <c r="D14" s="113" t="s">
        <v>267</v>
      </c>
      <c r="E14" s="113" t="s">
        <v>30</v>
      </c>
      <c r="F14" s="113" t="s">
        <v>246</v>
      </c>
      <c r="G14" s="124"/>
      <c r="H14" s="117" t="s">
        <v>268</v>
      </c>
      <c r="I14" s="125"/>
      <c r="J14" s="118"/>
      <c r="K14" s="118"/>
      <c r="L14" s="118"/>
      <c r="M14" s="118"/>
      <c r="N14" s="118"/>
      <c r="O14" s="118"/>
      <c r="P14" s="118"/>
      <c r="Q14" s="118"/>
      <c r="R14" s="118"/>
      <c r="S14" s="118"/>
      <c r="T14" s="118"/>
      <c r="U14" s="118"/>
      <c r="V14" s="118"/>
      <c r="W14" s="118"/>
      <c r="X14" s="118"/>
      <c r="Y14" s="118"/>
      <c r="Z14" s="118"/>
      <c r="AA14" s="118"/>
      <c r="AB14" s="118"/>
      <c r="AC14" s="126"/>
      <c r="AD14" s="127"/>
      <c r="AE14" s="118"/>
      <c r="AF14" s="118"/>
      <c r="AG14" s="118"/>
      <c r="AH14" s="128"/>
      <c r="AI14" s="129"/>
      <c r="AJ14" s="118"/>
      <c r="AK14" s="118"/>
      <c r="AL14" s="118"/>
      <c r="AM14" s="126"/>
      <c r="AN14" s="127"/>
      <c r="AO14" s="118"/>
      <c r="AP14" s="118"/>
      <c r="AQ14" s="118"/>
      <c r="AR14" s="128"/>
      <c r="AS14" s="127"/>
      <c r="AT14" s="118"/>
      <c r="AU14" s="118"/>
      <c r="AV14" s="118"/>
      <c r="AW14" s="118"/>
      <c r="AX14" s="118"/>
      <c r="AY14" s="118"/>
      <c r="AZ14" s="118"/>
      <c r="BA14" s="118"/>
      <c r="BB14" s="128"/>
      <c r="BC14" s="127"/>
      <c r="BD14" s="118"/>
      <c r="BE14" s="118"/>
      <c r="BF14" s="118"/>
      <c r="BG14" s="118"/>
      <c r="BH14" s="118"/>
      <c r="BI14" s="118"/>
      <c r="BJ14" s="118"/>
      <c r="BK14" s="118"/>
      <c r="BL14" s="118"/>
      <c r="BM14" s="118"/>
      <c r="BN14" s="118"/>
      <c r="BO14" s="118"/>
      <c r="BP14" s="118"/>
      <c r="BQ14" s="118"/>
      <c r="BR14" s="118"/>
      <c r="BS14" s="118"/>
      <c r="BT14" s="118"/>
      <c r="BU14" s="118"/>
      <c r="BV14" s="118"/>
      <c r="BW14" s="118"/>
      <c r="BX14" s="118"/>
      <c r="BY14" s="118"/>
      <c r="BZ14" s="118"/>
      <c r="CA14" s="118"/>
      <c r="CB14" s="118"/>
      <c r="CC14" s="118"/>
      <c r="CD14" s="118"/>
      <c r="CE14" s="118"/>
      <c r="CF14" s="118"/>
      <c r="CG14" s="118"/>
      <c r="CH14" s="118"/>
      <c r="CI14" s="118"/>
      <c r="CJ14" s="118"/>
      <c r="CK14" s="128"/>
    </row>
    <row r="15" spans="2:89">
      <c r="B15" s="112" t="s">
        <v>269</v>
      </c>
      <c r="C15" s="113" t="s">
        <v>270</v>
      </c>
      <c r="D15" s="113" t="s">
        <v>271</v>
      </c>
      <c r="E15" s="113" t="s">
        <v>26</v>
      </c>
      <c r="F15" s="113" t="s">
        <v>246</v>
      </c>
      <c r="G15" s="124"/>
      <c r="H15" s="117" t="s">
        <v>247</v>
      </c>
      <c r="I15" s="125"/>
      <c r="J15" s="118">
        <v>5</v>
      </c>
      <c r="K15" s="118">
        <v>5</v>
      </c>
      <c r="L15" s="118">
        <v>5</v>
      </c>
      <c r="M15" s="118">
        <v>5</v>
      </c>
      <c r="N15" s="118">
        <v>5</v>
      </c>
      <c r="O15" s="118">
        <v>4</v>
      </c>
      <c r="P15" s="118">
        <v>5</v>
      </c>
      <c r="Q15" s="118">
        <v>5</v>
      </c>
      <c r="R15" s="118">
        <v>4</v>
      </c>
      <c r="S15" s="118">
        <v>5</v>
      </c>
      <c r="T15" s="118">
        <v>4</v>
      </c>
      <c r="U15" s="118">
        <v>4</v>
      </c>
      <c r="V15" s="118"/>
      <c r="W15" s="118"/>
      <c r="X15" s="118"/>
      <c r="Y15" s="118"/>
      <c r="Z15" s="118">
        <v>4</v>
      </c>
      <c r="AA15" s="118">
        <v>5</v>
      </c>
      <c r="AB15" s="118"/>
      <c r="AC15" s="126"/>
      <c r="AD15" s="127"/>
      <c r="AE15" s="118"/>
      <c r="AF15" s="118"/>
      <c r="AG15" s="118"/>
      <c r="AH15" s="128"/>
      <c r="AI15" s="129"/>
      <c r="AJ15" s="118"/>
      <c r="AK15" s="118"/>
      <c r="AL15" s="118"/>
      <c r="AM15" s="126"/>
      <c r="AN15" s="127"/>
      <c r="AO15" s="118"/>
      <c r="AP15" s="118"/>
      <c r="AQ15" s="118"/>
      <c r="AR15" s="128"/>
      <c r="AS15" s="127"/>
      <c r="AT15" s="118"/>
      <c r="AU15" s="118"/>
      <c r="AV15" s="118"/>
      <c r="AW15" s="118"/>
      <c r="AX15" s="118"/>
      <c r="AY15" s="118"/>
      <c r="AZ15" s="118"/>
      <c r="BA15" s="118"/>
      <c r="BB15" s="128"/>
      <c r="BC15" s="127"/>
      <c r="BD15" s="118"/>
      <c r="BE15" s="118"/>
      <c r="BF15" s="118"/>
      <c r="BG15" s="118"/>
      <c r="BH15" s="118"/>
      <c r="BI15" s="118"/>
      <c r="BJ15" s="118"/>
      <c r="BK15" s="118"/>
      <c r="BL15" s="118"/>
      <c r="BM15" s="118">
        <v>5</v>
      </c>
      <c r="BN15" s="118">
        <v>5</v>
      </c>
      <c r="BO15" s="118">
        <v>5</v>
      </c>
      <c r="BP15" s="118">
        <v>5</v>
      </c>
      <c r="BQ15" s="118">
        <v>5</v>
      </c>
      <c r="BR15" s="118"/>
      <c r="BS15" s="118"/>
      <c r="BT15" s="118"/>
      <c r="BU15" s="118"/>
      <c r="BV15" s="118"/>
      <c r="BW15" s="118"/>
      <c r="BX15" s="118"/>
      <c r="BY15" s="118"/>
      <c r="BZ15" s="118"/>
      <c r="CA15" s="118"/>
      <c r="CB15" s="118"/>
      <c r="CC15" s="118"/>
      <c r="CD15" s="118"/>
      <c r="CE15" s="118"/>
      <c r="CF15" s="118"/>
      <c r="CG15" s="118"/>
      <c r="CH15" s="118"/>
      <c r="CI15" s="118"/>
      <c r="CJ15" s="118"/>
      <c r="CK15" s="128"/>
    </row>
    <row r="16" spans="2:89">
      <c r="B16" s="112" t="s">
        <v>272</v>
      </c>
      <c r="C16" s="113" t="s">
        <v>273</v>
      </c>
      <c r="D16" s="113" t="s">
        <v>274</v>
      </c>
      <c r="E16" s="113" t="s">
        <v>30</v>
      </c>
      <c r="F16" s="113" t="s">
        <v>246</v>
      </c>
      <c r="G16" s="124"/>
      <c r="H16" s="117" t="s">
        <v>244</v>
      </c>
      <c r="I16" s="125"/>
      <c r="J16" s="118"/>
      <c r="K16" s="118"/>
      <c r="L16" s="118"/>
      <c r="M16" s="118"/>
      <c r="N16" s="118"/>
      <c r="O16" s="118"/>
      <c r="P16" s="118"/>
      <c r="Q16" s="118"/>
      <c r="R16" s="118"/>
      <c r="S16" s="118"/>
      <c r="T16" s="118"/>
      <c r="U16" s="118"/>
      <c r="V16" s="118"/>
      <c r="W16" s="118"/>
      <c r="X16" s="118"/>
      <c r="Y16" s="118"/>
      <c r="Z16" s="118"/>
      <c r="AA16" s="118"/>
      <c r="AB16" s="118"/>
      <c r="AC16" s="126"/>
      <c r="AD16" s="127"/>
      <c r="AE16" s="118"/>
      <c r="AF16" s="118"/>
      <c r="AG16" s="118"/>
      <c r="AH16" s="128"/>
      <c r="AI16" s="129"/>
      <c r="AJ16" s="118"/>
      <c r="AK16" s="118"/>
      <c r="AL16" s="118"/>
      <c r="AM16" s="126"/>
      <c r="AN16" s="127"/>
      <c r="AO16" s="118"/>
      <c r="AP16" s="118"/>
      <c r="AQ16" s="118"/>
      <c r="AR16" s="128"/>
      <c r="AS16" s="127"/>
      <c r="AT16" s="118"/>
      <c r="AU16" s="118"/>
      <c r="AV16" s="118"/>
      <c r="AW16" s="118"/>
      <c r="AX16" s="118"/>
      <c r="AY16" s="118"/>
      <c r="AZ16" s="118"/>
      <c r="BA16" s="118"/>
      <c r="BB16" s="128"/>
      <c r="BC16" s="127"/>
      <c r="BD16" s="118"/>
      <c r="BE16" s="118"/>
      <c r="BF16" s="118"/>
      <c r="BG16" s="118"/>
      <c r="BH16" s="118"/>
      <c r="BI16" s="118"/>
      <c r="BJ16" s="118"/>
      <c r="BK16" s="118"/>
      <c r="BL16" s="118"/>
      <c r="BM16" s="118"/>
      <c r="BN16" s="118"/>
      <c r="BO16" s="118"/>
      <c r="BP16" s="118"/>
      <c r="BQ16" s="118"/>
      <c r="BR16" s="118"/>
      <c r="BS16" s="118"/>
      <c r="BT16" s="118"/>
      <c r="BU16" s="118"/>
      <c r="BV16" s="118"/>
      <c r="BW16" s="118"/>
      <c r="BX16" s="118"/>
      <c r="BY16" s="118"/>
      <c r="BZ16" s="118"/>
      <c r="CA16" s="118"/>
      <c r="CB16" s="118"/>
      <c r="CC16" s="118"/>
      <c r="CD16" s="118"/>
      <c r="CE16" s="118"/>
      <c r="CF16" s="118"/>
      <c r="CG16" s="118"/>
      <c r="CH16" s="118"/>
      <c r="CI16" s="118"/>
      <c r="CJ16" s="118"/>
      <c r="CK16" s="128"/>
    </row>
    <row r="17" spans="2:89">
      <c r="B17" s="112" t="s">
        <v>275</v>
      </c>
      <c r="C17" s="113" t="s">
        <v>276</v>
      </c>
      <c r="D17" s="113" t="s">
        <v>277</v>
      </c>
      <c r="E17" s="113" t="s">
        <v>31</v>
      </c>
      <c r="F17" s="113" t="s">
        <v>246</v>
      </c>
      <c r="G17" s="124" t="s">
        <v>258</v>
      </c>
      <c r="H17" s="117" t="s">
        <v>259</v>
      </c>
      <c r="I17" s="125"/>
      <c r="J17" s="118">
        <v>3</v>
      </c>
      <c r="K17" s="118">
        <v>3</v>
      </c>
      <c r="L17" s="118">
        <v>4</v>
      </c>
      <c r="M17" s="118">
        <v>3</v>
      </c>
      <c r="N17" s="118">
        <v>2</v>
      </c>
      <c r="O17" s="118">
        <v>4</v>
      </c>
      <c r="P17" s="118">
        <v>3</v>
      </c>
      <c r="Q17" s="118">
        <v>1</v>
      </c>
      <c r="R17" s="118">
        <v>4</v>
      </c>
      <c r="S17" s="118">
        <v>4</v>
      </c>
      <c r="T17" s="118">
        <v>2</v>
      </c>
      <c r="U17" s="118">
        <v>2</v>
      </c>
      <c r="V17" s="118">
        <v>4</v>
      </c>
      <c r="W17" s="118"/>
      <c r="X17" s="118">
        <v>2</v>
      </c>
      <c r="Y17" s="118">
        <v>2</v>
      </c>
      <c r="Z17" s="118">
        <v>2</v>
      </c>
      <c r="AA17" s="118">
        <v>1</v>
      </c>
      <c r="AB17" s="118">
        <v>1</v>
      </c>
      <c r="AC17" s="126">
        <v>3</v>
      </c>
      <c r="AD17" s="127">
        <v>2</v>
      </c>
      <c r="AE17" s="118">
        <v>2</v>
      </c>
      <c r="AF17" s="118">
        <v>2</v>
      </c>
      <c r="AG17" s="118">
        <v>3</v>
      </c>
      <c r="AH17" s="128">
        <v>3</v>
      </c>
      <c r="AI17" s="129">
        <v>3</v>
      </c>
      <c r="AJ17" s="118">
        <v>2</v>
      </c>
      <c r="AK17" s="118">
        <v>2</v>
      </c>
      <c r="AL17" s="118">
        <v>2</v>
      </c>
      <c r="AM17" s="126">
        <v>3</v>
      </c>
      <c r="AN17" s="127"/>
      <c r="AO17" s="118"/>
      <c r="AP17" s="118"/>
      <c r="AQ17" s="118"/>
      <c r="AR17" s="128"/>
      <c r="AS17" s="127">
        <v>3</v>
      </c>
      <c r="AT17" s="118">
        <v>3</v>
      </c>
      <c r="AU17" s="118">
        <v>2</v>
      </c>
      <c r="AV17" s="118">
        <v>4</v>
      </c>
      <c r="AW17" s="118">
        <v>2</v>
      </c>
      <c r="AX17" s="118">
        <v>4</v>
      </c>
      <c r="AY17" s="118">
        <v>3</v>
      </c>
      <c r="AZ17" s="118">
        <v>3</v>
      </c>
      <c r="BA17" s="118">
        <v>3</v>
      </c>
      <c r="BB17" s="128">
        <v>4</v>
      </c>
      <c r="BC17" s="127">
        <v>1</v>
      </c>
      <c r="BD17" s="118">
        <v>1</v>
      </c>
      <c r="BE17" s="118">
        <v>1</v>
      </c>
      <c r="BF17" s="118">
        <v>2</v>
      </c>
      <c r="BG17" s="118">
        <v>3</v>
      </c>
      <c r="BH17" s="118">
        <v>3</v>
      </c>
      <c r="BI17" s="118">
        <v>3</v>
      </c>
      <c r="BJ17" s="118">
        <v>2</v>
      </c>
      <c r="BK17" s="118">
        <v>3</v>
      </c>
      <c r="BL17" s="118">
        <v>4</v>
      </c>
      <c r="BM17" s="118">
        <v>1</v>
      </c>
      <c r="BN17" s="118">
        <v>1</v>
      </c>
      <c r="BO17" s="118">
        <v>1</v>
      </c>
      <c r="BP17" s="118">
        <v>1</v>
      </c>
      <c r="BQ17" s="118">
        <v>1</v>
      </c>
      <c r="BR17" s="118"/>
      <c r="BS17" s="118"/>
      <c r="BT17" s="118"/>
      <c r="BU17" s="118"/>
      <c r="BV17" s="118">
        <v>2</v>
      </c>
      <c r="BW17" s="118">
        <v>3</v>
      </c>
      <c r="BX17" s="118">
        <v>3</v>
      </c>
      <c r="BY17" s="118">
        <v>2</v>
      </c>
      <c r="BZ17" s="118">
        <v>2</v>
      </c>
      <c r="CA17" s="118">
        <v>1</v>
      </c>
      <c r="CB17" s="118">
        <v>1</v>
      </c>
      <c r="CC17" s="118">
        <v>2</v>
      </c>
      <c r="CD17" s="118">
        <v>1</v>
      </c>
      <c r="CE17" s="118">
        <v>2</v>
      </c>
      <c r="CF17" s="118">
        <v>1</v>
      </c>
      <c r="CG17" s="118">
        <v>2</v>
      </c>
      <c r="CH17" s="118">
        <v>2</v>
      </c>
      <c r="CI17" s="118">
        <v>2</v>
      </c>
      <c r="CJ17" s="118">
        <v>1</v>
      </c>
      <c r="CK17" s="128">
        <v>1</v>
      </c>
    </row>
    <row r="18" spans="2:89">
      <c r="B18" s="112" t="s">
        <v>278</v>
      </c>
      <c r="C18" s="113" t="s">
        <v>279</v>
      </c>
      <c r="D18" s="113" t="s">
        <v>280</v>
      </c>
      <c r="E18" s="113" t="s">
        <v>31</v>
      </c>
      <c r="F18" s="113" t="s">
        <v>246</v>
      </c>
      <c r="G18" s="130"/>
      <c r="H18" s="117" t="s">
        <v>244</v>
      </c>
      <c r="I18" s="131"/>
      <c r="J18" s="118"/>
      <c r="K18" s="118"/>
      <c r="L18" s="118"/>
      <c r="M18" s="118"/>
      <c r="N18" s="118"/>
      <c r="O18" s="118"/>
      <c r="P18" s="118"/>
      <c r="Q18" s="118"/>
      <c r="R18" s="118"/>
      <c r="S18" s="118"/>
      <c r="T18" s="118"/>
      <c r="U18" s="118"/>
      <c r="V18" s="118"/>
      <c r="W18" s="118"/>
      <c r="X18" s="118"/>
      <c r="Y18" s="118"/>
      <c r="Z18" s="118"/>
      <c r="AA18" s="118"/>
      <c r="AB18" s="118"/>
      <c r="AC18" s="126"/>
      <c r="AD18" s="127"/>
      <c r="AE18" s="118"/>
      <c r="AF18" s="118"/>
      <c r="AG18" s="118"/>
      <c r="AH18" s="128"/>
      <c r="AI18" s="129"/>
      <c r="AJ18" s="118"/>
      <c r="AK18" s="118"/>
      <c r="AL18" s="118"/>
      <c r="AM18" s="126"/>
      <c r="AN18" s="127"/>
      <c r="AO18" s="118"/>
      <c r="AP18" s="118"/>
      <c r="AQ18" s="118"/>
      <c r="AR18" s="128"/>
      <c r="AS18" s="127"/>
      <c r="AT18" s="118"/>
      <c r="AU18" s="118"/>
      <c r="AV18" s="118"/>
      <c r="AW18" s="118"/>
      <c r="AX18" s="118"/>
      <c r="AY18" s="118"/>
      <c r="AZ18" s="118"/>
      <c r="BA18" s="118"/>
      <c r="BB18" s="128"/>
      <c r="BC18" s="127"/>
      <c r="BD18" s="118"/>
      <c r="BE18" s="118"/>
      <c r="BF18" s="118"/>
      <c r="BG18" s="118"/>
      <c r="BH18" s="118"/>
      <c r="BI18" s="118"/>
      <c r="BJ18" s="118"/>
      <c r="BK18" s="118"/>
      <c r="BL18" s="118"/>
      <c r="BM18" s="118"/>
      <c r="BN18" s="118"/>
      <c r="BO18" s="118"/>
      <c r="BP18" s="118"/>
      <c r="BQ18" s="118"/>
      <c r="BR18" s="118"/>
      <c r="BS18" s="118"/>
      <c r="BT18" s="118"/>
      <c r="BU18" s="118"/>
      <c r="BV18" s="118"/>
      <c r="BW18" s="118"/>
      <c r="BX18" s="118"/>
      <c r="BY18" s="118"/>
      <c r="BZ18" s="118"/>
      <c r="CA18" s="118"/>
      <c r="CB18" s="118"/>
      <c r="CC18" s="118"/>
      <c r="CD18" s="118"/>
      <c r="CE18" s="118"/>
      <c r="CF18" s="118"/>
      <c r="CG18" s="118"/>
      <c r="CH18" s="118"/>
      <c r="CI18" s="118"/>
      <c r="CJ18" s="118"/>
      <c r="CK18" s="128"/>
    </row>
    <row r="19" spans="2:89">
      <c r="B19" s="112" t="s">
        <v>281</v>
      </c>
      <c r="C19" s="113" t="s">
        <v>282</v>
      </c>
      <c r="D19" s="113" t="s">
        <v>283</v>
      </c>
      <c r="E19" s="113" t="s">
        <v>29</v>
      </c>
      <c r="F19" s="113" t="s">
        <v>246</v>
      </c>
      <c r="G19" s="124"/>
      <c r="H19" s="117" t="s">
        <v>247</v>
      </c>
      <c r="I19" s="125"/>
      <c r="J19" s="118">
        <v>5</v>
      </c>
      <c r="K19" s="118">
        <v>5</v>
      </c>
      <c r="L19" s="118">
        <v>5</v>
      </c>
      <c r="M19" s="118">
        <v>5</v>
      </c>
      <c r="N19" s="118">
        <v>4</v>
      </c>
      <c r="O19" s="118">
        <v>4</v>
      </c>
      <c r="P19" s="118">
        <v>4</v>
      </c>
      <c r="Q19" s="118">
        <v>4</v>
      </c>
      <c r="R19" s="118">
        <v>4</v>
      </c>
      <c r="S19" s="118">
        <v>4</v>
      </c>
      <c r="T19" s="118">
        <v>4</v>
      </c>
      <c r="U19" s="118">
        <v>5</v>
      </c>
      <c r="V19" s="118">
        <v>4</v>
      </c>
      <c r="W19" s="118">
        <v>4</v>
      </c>
      <c r="X19" s="118">
        <v>4</v>
      </c>
      <c r="Y19" s="118">
        <v>4</v>
      </c>
      <c r="Z19" s="118">
        <v>4</v>
      </c>
      <c r="AA19" s="118">
        <v>4</v>
      </c>
      <c r="AB19" s="118"/>
      <c r="AC19" s="126"/>
      <c r="AD19" s="127"/>
      <c r="AE19" s="118"/>
      <c r="AF19" s="118"/>
      <c r="AG19" s="118"/>
      <c r="AH19" s="128"/>
      <c r="AI19" s="129"/>
      <c r="AJ19" s="118"/>
      <c r="AK19" s="118"/>
      <c r="AL19" s="118"/>
      <c r="AM19" s="126"/>
      <c r="AN19" s="127"/>
      <c r="AO19" s="118"/>
      <c r="AP19" s="118"/>
      <c r="AQ19" s="118"/>
      <c r="AR19" s="128"/>
      <c r="AS19" s="127"/>
      <c r="AT19" s="118"/>
      <c r="AU19" s="118"/>
      <c r="AV19" s="118"/>
      <c r="AW19" s="118"/>
      <c r="AX19" s="118"/>
      <c r="AY19" s="118"/>
      <c r="AZ19" s="118"/>
      <c r="BA19" s="118"/>
      <c r="BB19" s="128"/>
      <c r="BC19" s="127">
        <v>2</v>
      </c>
      <c r="BD19" s="118">
        <v>2</v>
      </c>
      <c r="BE19" s="118">
        <v>2</v>
      </c>
      <c r="BF19" s="118">
        <v>4</v>
      </c>
      <c r="BG19" s="118">
        <v>4</v>
      </c>
      <c r="BH19" s="118"/>
      <c r="BI19" s="118"/>
      <c r="BJ19" s="118"/>
      <c r="BK19" s="118"/>
      <c r="BL19" s="118"/>
      <c r="BM19" s="118">
        <v>4</v>
      </c>
      <c r="BN19" s="118">
        <v>4</v>
      </c>
      <c r="BO19" s="118">
        <v>4</v>
      </c>
      <c r="BP19" s="118">
        <v>4</v>
      </c>
      <c r="BQ19" s="118">
        <v>2</v>
      </c>
      <c r="BR19" s="118">
        <v>5</v>
      </c>
      <c r="BS19" s="118">
        <v>5</v>
      </c>
      <c r="BT19" s="118">
        <v>5</v>
      </c>
      <c r="BU19" s="118">
        <v>5</v>
      </c>
      <c r="BV19" s="118">
        <v>5</v>
      </c>
      <c r="BW19" s="118"/>
      <c r="BX19" s="118"/>
      <c r="BY19" s="118"/>
      <c r="BZ19" s="118"/>
      <c r="CA19" s="118"/>
      <c r="CB19" s="118"/>
      <c r="CC19" s="118"/>
      <c r="CD19" s="118"/>
      <c r="CE19" s="118"/>
      <c r="CF19" s="118"/>
      <c r="CG19" s="118"/>
      <c r="CH19" s="118"/>
      <c r="CI19" s="118"/>
      <c r="CJ19" s="118"/>
      <c r="CK19" s="128"/>
    </row>
    <row r="20" spans="2:89">
      <c r="B20" s="112" t="s">
        <v>284</v>
      </c>
      <c r="C20" s="113" t="s">
        <v>259</v>
      </c>
      <c r="D20" s="113" t="s">
        <v>285</v>
      </c>
      <c r="E20" s="113" t="s">
        <v>29</v>
      </c>
      <c r="F20" s="113" t="s">
        <v>246</v>
      </c>
      <c r="G20" s="124"/>
      <c r="H20" s="117" t="s">
        <v>247</v>
      </c>
      <c r="I20" s="125"/>
      <c r="J20" s="118">
        <v>5</v>
      </c>
      <c r="K20" s="118">
        <v>4</v>
      </c>
      <c r="L20" s="118">
        <v>5</v>
      </c>
      <c r="M20" s="118">
        <v>5</v>
      </c>
      <c r="N20" s="118">
        <v>5</v>
      </c>
      <c r="O20" s="118">
        <v>4</v>
      </c>
      <c r="P20" s="118">
        <v>4</v>
      </c>
      <c r="Q20" s="118">
        <v>5</v>
      </c>
      <c r="R20" s="118">
        <v>4</v>
      </c>
      <c r="S20" s="118">
        <v>5</v>
      </c>
      <c r="T20" s="118"/>
      <c r="U20" s="118"/>
      <c r="V20" s="118"/>
      <c r="W20" s="118"/>
      <c r="X20" s="118"/>
      <c r="Y20" s="118"/>
      <c r="Z20" s="118"/>
      <c r="AA20" s="118"/>
      <c r="AB20" s="118"/>
      <c r="AC20" s="126"/>
      <c r="AD20" s="127"/>
      <c r="AE20" s="118"/>
      <c r="AF20" s="118"/>
      <c r="AG20" s="118"/>
      <c r="AH20" s="128"/>
      <c r="AI20" s="129"/>
      <c r="AJ20" s="118"/>
      <c r="AK20" s="118"/>
      <c r="AL20" s="118"/>
      <c r="AM20" s="126"/>
      <c r="AN20" s="127"/>
      <c r="AO20" s="118"/>
      <c r="AP20" s="118"/>
      <c r="AQ20" s="118"/>
      <c r="AR20" s="128"/>
      <c r="AS20" s="127"/>
      <c r="AT20" s="118"/>
      <c r="AU20" s="118"/>
      <c r="AV20" s="118"/>
      <c r="AW20" s="118"/>
      <c r="AX20" s="118"/>
      <c r="AY20" s="118"/>
      <c r="AZ20" s="118"/>
      <c r="BA20" s="118"/>
      <c r="BB20" s="128"/>
      <c r="BC20" s="127"/>
      <c r="BD20" s="118"/>
      <c r="BE20" s="118"/>
      <c r="BF20" s="118"/>
      <c r="BG20" s="118"/>
      <c r="BH20" s="118"/>
      <c r="BI20" s="118"/>
      <c r="BJ20" s="118"/>
      <c r="BK20" s="118"/>
      <c r="BL20" s="118"/>
      <c r="BM20" s="118">
        <v>5</v>
      </c>
      <c r="BN20" s="118">
        <v>5</v>
      </c>
      <c r="BO20" s="118">
        <v>4</v>
      </c>
      <c r="BP20" s="118">
        <v>5</v>
      </c>
      <c r="BQ20" s="118">
        <v>5</v>
      </c>
      <c r="BR20" s="118"/>
      <c r="BS20" s="118"/>
      <c r="BT20" s="118"/>
      <c r="BU20" s="118"/>
      <c r="BV20" s="118"/>
      <c r="BW20" s="118"/>
      <c r="BX20" s="118"/>
      <c r="BY20" s="118"/>
      <c r="BZ20" s="118"/>
      <c r="CA20" s="118"/>
      <c r="CB20" s="118">
        <v>5</v>
      </c>
      <c r="CC20" s="118">
        <v>5</v>
      </c>
      <c r="CD20" s="118">
        <v>5</v>
      </c>
      <c r="CE20" s="118">
        <v>5</v>
      </c>
      <c r="CF20" s="118">
        <v>5</v>
      </c>
      <c r="CG20" s="118"/>
      <c r="CH20" s="118"/>
      <c r="CI20" s="118"/>
      <c r="CJ20" s="118"/>
      <c r="CK20" s="128"/>
    </row>
    <row r="21" spans="2:89">
      <c r="B21" s="112" t="s">
        <v>286</v>
      </c>
      <c r="C21" s="113" t="s">
        <v>287</v>
      </c>
      <c r="D21" s="113" t="s">
        <v>288</v>
      </c>
      <c r="E21" s="113" t="s">
        <v>31</v>
      </c>
      <c r="F21" s="113" t="s">
        <v>246</v>
      </c>
      <c r="G21" s="130"/>
      <c r="H21" s="117" t="s">
        <v>268</v>
      </c>
      <c r="I21" s="131"/>
      <c r="J21" s="118"/>
      <c r="K21" s="118"/>
      <c r="L21" s="118"/>
      <c r="M21" s="118"/>
      <c r="N21" s="118"/>
      <c r="O21" s="118"/>
      <c r="P21" s="118"/>
      <c r="Q21" s="118"/>
      <c r="R21" s="118"/>
      <c r="S21" s="118"/>
      <c r="T21" s="118"/>
      <c r="U21" s="118"/>
      <c r="V21" s="118"/>
      <c r="W21" s="118"/>
      <c r="X21" s="118"/>
      <c r="Y21" s="118"/>
      <c r="Z21" s="118"/>
      <c r="AA21" s="118"/>
      <c r="AB21" s="118"/>
      <c r="AC21" s="126"/>
      <c r="AD21" s="127"/>
      <c r="AE21" s="118"/>
      <c r="AF21" s="118"/>
      <c r="AG21" s="118"/>
      <c r="AH21" s="128"/>
      <c r="AI21" s="129"/>
      <c r="AJ21" s="118"/>
      <c r="AK21" s="118"/>
      <c r="AL21" s="118"/>
      <c r="AM21" s="126"/>
      <c r="AN21" s="127"/>
      <c r="AO21" s="118"/>
      <c r="AP21" s="118"/>
      <c r="AQ21" s="118"/>
      <c r="AR21" s="128"/>
      <c r="AS21" s="127"/>
      <c r="AT21" s="118"/>
      <c r="AU21" s="118"/>
      <c r="AV21" s="118"/>
      <c r="AW21" s="118"/>
      <c r="AX21" s="118"/>
      <c r="AY21" s="118"/>
      <c r="AZ21" s="118"/>
      <c r="BA21" s="118"/>
      <c r="BB21" s="128"/>
      <c r="BC21" s="127"/>
      <c r="BD21" s="118"/>
      <c r="BE21" s="118"/>
      <c r="BF21" s="118"/>
      <c r="BG21" s="118"/>
      <c r="BH21" s="118"/>
      <c r="BI21" s="118"/>
      <c r="BJ21" s="118"/>
      <c r="BK21" s="118"/>
      <c r="BL21" s="118"/>
      <c r="BM21" s="118"/>
      <c r="BN21" s="118"/>
      <c r="BO21" s="118"/>
      <c r="BP21" s="118"/>
      <c r="BQ21" s="118"/>
      <c r="BR21" s="118"/>
      <c r="BS21" s="118"/>
      <c r="BT21" s="118"/>
      <c r="BU21" s="118"/>
      <c r="BV21" s="118"/>
      <c r="BW21" s="118"/>
      <c r="BX21" s="118"/>
      <c r="BY21" s="118"/>
      <c r="BZ21" s="118"/>
      <c r="CA21" s="118"/>
      <c r="CB21" s="118"/>
      <c r="CC21" s="118"/>
      <c r="CD21" s="118"/>
      <c r="CE21" s="118"/>
      <c r="CF21" s="118"/>
      <c r="CG21" s="118"/>
      <c r="CH21" s="118"/>
      <c r="CI21" s="118"/>
      <c r="CJ21" s="118"/>
      <c r="CK21" s="128"/>
    </row>
    <row r="22" spans="2:89">
      <c r="B22" s="112" t="s">
        <v>289</v>
      </c>
      <c r="C22" s="113" t="s">
        <v>290</v>
      </c>
      <c r="D22" s="113" t="s">
        <v>291</v>
      </c>
      <c r="E22" s="113" t="s">
        <v>30</v>
      </c>
      <c r="F22" s="113" t="s">
        <v>246</v>
      </c>
      <c r="G22" s="124"/>
      <c r="H22" s="117" t="s">
        <v>244</v>
      </c>
      <c r="I22" s="125"/>
      <c r="J22" s="118"/>
      <c r="K22" s="118"/>
      <c r="L22" s="118"/>
      <c r="M22" s="118"/>
      <c r="N22" s="118"/>
      <c r="O22" s="118"/>
      <c r="P22" s="118"/>
      <c r="Q22" s="118"/>
      <c r="R22" s="118"/>
      <c r="S22" s="118"/>
      <c r="T22" s="118">
        <v>3</v>
      </c>
      <c r="U22" s="118">
        <v>3</v>
      </c>
      <c r="V22" s="118">
        <v>3</v>
      </c>
      <c r="W22" s="118">
        <v>3</v>
      </c>
      <c r="X22" s="118">
        <v>1</v>
      </c>
      <c r="Y22" s="118">
        <v>3</v>
      </c>
      <c r="Z22" s="118">
        <v>3</v>
      </c>
      <c r="AA22" s="118"/>
      <c r="AB22" s="118">
        <v>2</v>
      </c>
      <c r="AC22" s="126">
        <v>3</v>
      </c>
      <c r="AD22" s="127"/>
      <c r="AE22" s="118"/>
      <c r="AF22" s="118"/>
      <c r="AG22" s="118"/>
      <c r="AH22" s="128"/>
      <c r="AI22" s="129"/>
      <c r="AJ22" s="118"/>
      <c r="AK22" s="118"/>
      <c r="AL22" s="118"/>
      <c r="AM22" s="126"/>
      <c r="AN22" s="127"/>
      <c r="AO22" s="118"/>
      <c r="AP22" s="118"/>
      <c r="AQ22" s="118"/>
      <c r="AR22" s="128"/>
      <c r="AS22" s="127"/>
      <c r="AT22" s="118"/>
      <c r="AU22" s="118"/>
      <c r="AV22" s="118"/>
      <c r="AW22" s="118"/>
      <c r="AX22" s="118"/>
      <c r="AY22" s="118"/>
      <c r="AZ22" s="118"/>
      <c r="BA22" s="118"/>
      <c r="BB22" s="128"/>
      <c r="BC22" s="127">
        <v>1</v>
      </c>
      <c r="BD22" s="118">
        <v>1</v>
      </c>
      <c r="BE22" s="118">
        <v>2</v>
      </c>
      <c r="BF22" s="118">
        <v>3</v>
      </c>
      <c r="BG22" s="118">
        <v>3</v>
      </c>
      <c r="BH22" s="118"/>
      <c r="BI22" s="118"/>
      <c r="BJ22" s="118"/>
      <c r="BK22" s="118"/>
      <c r="BL22" s="118"/>
      <c r="BM22" s="118"/>
      <c r="BN22" s="118"/>
      <c r="BO22" s="118"/>
      <c r="BP22" s="118"/>
      <c r="BQ22" s="118"/>
      <c r="BR22" s="118">
        <v>3</v>
      </c>
      <c r="BS22" s="118">
        <v>3</v>
      </c>
      <c r="BT22" s="118">
        <v>3</v>
      </c>
      <c r="BU22" s="118">
        <v>4</v>
      </c>
      <c r="BV22" s="118">
        <v>2</v>
      </c>
      <c r="BW22" s="118">
        <v>3</v>
      </c>
      <c r="BX22" s="118">
        <v>3</v>
      </c>
      <c r="BY22" s="118">
        <v>3</v>
      </c>
      <c r="BZ22" s="118">
        <v>3</v>
      </c>
      <c r="CA22" s="118">
        <v>3</v>
      </c>
      <c r="CB22" s="118"/>
      <c r="CC22" s="118"/>
      <c r="CD22" s="118"/>
      <c r="CE22" s="118"/>
      <c r="CF22" s="118"/>
      <c r="CG22" s="118"/>
      <c r="CH22" s="118"/>
      <c r="CI22" s="118"/>
      <c r="CJ22" s="118"/>
      <c r="CK22" s="128"/>
    </row>
    <row r="23" spans="2:89">
      <c r="B23" s="112" t="s">
        <v>292</v>
      </c>
      <c r="C23" s="113" t="s">
        <v>293</v>
      </c>
      <c r="D23" s="113" t="s">
        <v>294</v>
      </c>
      <c r="E23" s="113" t="s">
        <v>29</v>
      </c>
      <c r="F23" s="113" t="s">
        <v>246</v>
      </c>
      <c r="G23" s="124"/>
      <c r="H23" s="117" t="s">
        <v>270</v>
      </c>
      <c r="I23" s="125"/>
      <c r="J23" s="118"/>
      <c r="K23" s="118"/>
      <c r="L23" s="118"/>
      <c r="M23" s="118"/>
      <c r="N23" s="118"/>
      <c r="O23" s="118"/>
      <c r="P23" s="118"/>
      <c r="Q23" s="118"/>
      <c r="R23" s="118"/>
      <c r="S23" s="118"/>
      <c r="T23" s="118"/>
      <c r="U23" s="118"/>
      <c r="V23" s="118"/>
      <c r="W23" s="118"/>
      <c r="X23" s="118"/>
      <c r="Y23" s="118"/>
      <c r="Z23" s="118"/>
      <c r="AA23" s="118"/>
      <c r="AB23" s="118"/>
      <c r="AC23" s="126"/>
      <c r="AD23" s="127"/>
      <c r="AE23" s="118"/>
      <c r="AF23" s="118"/>
      <c r="AG23" s="118"/>
      <c r="AH23" s="128"/>
      <c r="AI23" s="129"/>
      <c r="AJ23" s="118"/>
      <c r="AK23" s="118"/>
      <c r="AL23" s="118"/>
      <c r="AM23" s="126"/>
      <c r="AN23" s="127"/>
      <c r="AO23" s="118"/>
      <c r="AP23" s="118"/>
      <c r="AQ23" s="118"/>
      <c r="AR23" s="128"/>
      <c r="AS23" s="127"/>
      <c r="AT23" s="118"/>
      <c r="AU23" s="118"/>
      <c r="AV23" s="118"/>
      <c r="AW23" s="118"/>
      <c r="AX23" s="118"/>
      <c r="AY23" s="118"/>
      <c r="AZ23" s="118"/>
      <c r="BA23" s="118"/>
      <c r="BB23" s="128"/>
      <c r="BC23" s="127"/>
      <c r="BD23" s="118"/>
      <c r="BE23" s="118"/>
      <c r="BF23" s="118"/>
      <c r="BG23" s="118"/>
      <c r="BH23" s="118"/>
      <c r="BI23" s="118"/>
      <c r="BJ23" s="118"/>
      <c r="BK23" s="118"/>
      <c r="BL23" s="118"/>
      <c r="BM23" s="118"/>
      <c r="BN23" s="118"/>
      <c r="BO23" s="118"/>
      <c r="BP23" s="118"/>
      <c r="BQ23" s="118"/>
      <c r="BR23" s="118"/>
      <c r="BS23" s="118"/>
      <c r="BT23" s="118"/>
      <c r="BU23" s="118"/>
      <c r="BV23" s="118"/>
      <c r="BW23" s="118"/>
      <c r="BX23" s="118"/>
      <c r="BY23" s="118"/>
      <c r="BZ23" s="118"/>
      <c r="CA23" s="118"/>
      <c r="CB23" s="118"/>
      <c r="CC23" s="118"/>
      <c r="CD23" s="118"/>
      <c r="CE23" s="118"/>
      <c r="CF23" s="118"/>
      <c r="CG23" s="118"/>
      <c r="CH23" s="118"/>
      <c r="CI23" s="118"/>
      <c r="CJ23" s="118"/>
      <c r="CK23" s="128"/>
    </row>
    <row r="24" spans="2:89">
      <c r="B24" s="112" t="s">
        <v>295</v>
      </c>
      <c r="C24" s="114" t="s">
        <v>296</v>
      </c>
      <c r="D24" s="114" t="s">
        <v>297</v>
      </c>
      <c r="E24" s="114" t="s">
        <v>26</v>
      </c>
      <c r="F24" s="113" t="s">
        <v>246</v>
      </c>
      <c r="G24" s="130" t="s">
        <v>264</v>
      </c>
      <c r="H24" s="117"/>
      <c r="I24" s="131"/>
      <c r="J24" s="118"/>
      <c r="K24" s="118"/>
      <c r="L24" s="118"/>
      <c r="M24" s="118"/>
      <c r="N24" s="118"/>
      <c r="O24" s="118"/>
      <c r="P24" s="118"/>
      <c r="Q24" s="118"/>
      <c r="R24" s="118"/>
      <c r="S24" s="118"/>
      <c r="T24" s="118"/>
      <c r="U24" s="118"/>
      <c r="V24" s="118"/>
      <c r="W24" s="118"/>
      <c r="X24" s="118"/>
      <c r="Y24" s="118"/>
      <c r="Z24" s="118"/>
      <c r="AA24" s="118"/>
      <c r="AB24" s="118"/>
      <c r="AC24" s="126"/>
      <c r="AD24" s="127"/>
      <c r="AE24" s="118"/>
      <c r="AF24" s="118"/>
      <c r="AG24" s="118"/>
      <c r="AH24" s="128"/>
      <c r="AI24" s="129"/>
      <c r="AJ24" s="118"/>
      <c r="AK24" s="118"/>
      <c r="AL24" s="118"/>
      <c r="AM24" s="126"/>
      <c r="AN24" s="127"/>
      <c r="AO24" s="118"/>
      <c r="AP24" s="118"/>
      <c r="AQ24" s="118"/>
      <c r="AR24" s="128"/>
      <c r="AS24" s="127"/>
      <c r="AT24" s="118"/>
      <c r="AU24" s="118"/>
      <c r="AV24" s="118"/>
      <c r="AW24" s="118"/>
      <c r="AX24" s="118"/>
      <c r="AY24" s="118"/>
      <c r="AZ24" s="118"/>
      <c r="BA24" s="118"/>
      <c r="BB24" s="128"/>
      <c r="BC24" s="127"/>
      <c r="BD24" s="118"/>
      <c r="BE24" s="118"/>
      <c r="BF24" s="118"/>
      <c r="BG24" s="118"/>
      <c r="BH24" s="118"/>
      <c r="BI24" s="118"/>
      <c r="BJ24" s="118"/>
      <c r="BK24" s="118"/>
      <c r="BL24" s="118"/>
      <c r="BM24" s="118"/>
      <c r="BN24" s="118"/>
      <c r="BO24" s="118"/>
      <c r="BP24" s="118"/>
      <c r="BQ24" s="118"/>
      <c r="BR24" s="118"/>
      <c r="BS24" s="118"/>
      <c r="BT24" s="118"/>
      <c r="BU24" s="118"/>
      <c r="BV24" s="118"/>
      <c r="BW24" s="118">
        <v>4</v>
      </c>
      <c r="BX24" s="118">
        <v>3</v>
      </c>
      <c r="BY24" s="118">
        <v>3</v>
      </c>
      <c r="BZ24" s="118">
        <v>3</v>
      </c>
      <c r="CA24" s="118">
        <v>1</v>
      </c>
      <c r="CB24" s="118"/>
      <c r="CC24" s="118"/>
      <c r="CD24" s="118"/>
      <c r="CE24" s="118"/>
      <c r="CF24" s="118"/>
      <c r="CG24" s="118"/>
      <c r="CH24" s="118"/>
      <c r="CI24" s="118"/>
      <c r="CJ24" s="118"/>
      <c r="CK24" s="128"/>
    </row>
    <row r="25" spans="2:89">
      <c r="B25" s="112" t="s">
        <v>298</v>
      </c>
      <c r="C25" s="113" t="s">
        <v>299</v>
      </c>
      <c r="D25" s="113" t="s">
        <v>300</v>
      </c>
      <c r="E25" s="113" t="s">
        <v>29</v>
      </c>
      <c r="F25" s="113" t="s">
        <v>246</v>
      </c>
      <c r="G25" s="124"/>
      <c r="H25" s="117" t="s">
        <v>268</v>
      </c>
      <c r="I25" s="125"/>
      <c r="J25" s="118"/>
      <c r="K25" s="118"/>
      <c r="L25" s="118"/>
      <c r="M25" s="118"/>
      <c r="N25" s="118"/>
      <c r="O25" s="118"/>
      <c r="P25" s="118"/>
      <c r="Q25" s="118"/>
      <c r="R25" s="118"/>
      <c r="S25" s="118"/>
      <c r="T25" s="118"/>
      <c r="U25" s="118"/>
      <c r="V25" s="118"/>
      <c r="W25" s="118"/>
      <c r="X25" s="118"/>
      <c r="Y25" s="118"/>
      <c r="Z25" s="118"/>
      <c r="AA25" s="118"/>
      <c r="AB25" s="118"/>
      <c r="AC25" s="126"/>
      <c r="AD25" s="127"/>
      <c r="AE25" s="118"/>
      <c r="AF25" s="118"/>
      <c r="AG25" s="118"/>
      <c r="AH25" s="128"/>
      <c r="AI25" s="129"/>
      <c r="AJ25" s="118"/>
      <c r="AK25" s="118"/>
      <c r="AL25" s="118"/>
      <c r="AM25" s="126"/>
      <c r="AN25" s="127"/>
      <c r="AO25" s="118"/>
      <c r="AP25" s="118"/>
      <c r="AQ25" s="118"/>
      <c r="AR25" s="128"/>
      <c r="AS25" s="127"/>
      <c r="AT25" s="118"/>
      <c r="AU25" s="118"/>
      <c r="AV25" s="118"/>
      <c r="AW25" s="118"/>
      <c r="AX25" s="118"/>
      <c r="AY25" s="118"/>
      <c r="AZ25" s="118"/>
      <c r="BA25" s="118"/>
      <c r="BB25" s="128"/>
      <c r="BC25" s="127"/>
      <c r="BD25" s="118"/>
      <c r="BE25" s="118"/>
      <c r="BF25" s="118"/>
      <c r="BG25" s="118"/>
      <c r="BH25" s="118"/>
      <c r="BI25" s="118"/>
      <c r="BJ25" s="118"/>
      <c r="BK25" s="118"/>
      <c r="BL25" s="118"/>
      <c r="BM25" s="118"/>
      <c r="BN25" s="118"/>
      <c r="BO25" s="118"/>
      <c r="BP25" s="118"/>
      <c r="BQ25" s="118"/>
      <c r="BR25" s="118"/>
      <c r="BS25" s="118"/>
      <c r="BT25" s="118"/>
      <c r="BU25" s="118"/>
      <c r="BV25" s="118"/>
      <c r="BW25" s="118"/>
      <c r="BX25" s="118"/>
      <c r="BY25" s="118"/>
      <c r="BZ25" s="118"/>
      <c r="CA25" s="118"/>
      <c r="CB25" s="118"/>
      <c r="CC25" s="118"/>
      <c r="CD25" s="118"/>
      <c r="CE25" s="118"/>
      <c r="CF25" s="118"/>
      <c r="CG25" s="118"/>
      <c r="CH25" s="118"/>
      <c r="CI25" s="118"/>
      <c r="CJ25" s="118"/>
      <c r="CK25" s="128"/>
    </row>
    <row r="26" spans="2:89">
      <c r="B26" s="112" t="s">
        <v>301</v>
      </c>
      <c r="C26" s="113" t="s">
        <v>302</v>
      </c>
      <c r="D26" s="113" t="s">
        <v>303</v>
      </c>
      <c r="E26" s="113" t="s">
        <v>30</v>
      </c>
      <c r="F26" s="113" t="s">
        <v>246</v>
      </c>
      <c r="G26" s="124"/>
      <c r="H26" s="117" t="s">
        <v>304</v>
      </c>
      <c r="I26" s="125"/>
      <c r="J26" s="118"/>
      <c r="K26" s="118"/>
      <c r="L26" s="118"/>
      <c r="M26" s="118"/>
      <c r="N26" s="118"/>
      <c r="O26" s="118"/>
      <c r="P26" s="118"/>
      <c r="Q26" s="118"/>
      <c r="R26" s="118"/>
      <c r="S26" s="118"/>
      <c r="T26" s="118"/>
      <c r="U26" s="118"/>
      <c r="V26" s="118"/>
      <c r="W26" s="118"/>
      <c r="X26" s="118"/>
      <c r="Y26" s="118"/>
      <c r="Z26" s="118"/>
      <c r="AA26" s="118"/>
      <c r="AB26" s="118"/>
      <c r="AC26" s="126"/>
      <c r="AD26" s="127"/>
      <c r="AE26" s="118"/>
      <c r="AF26" s="118"/>
      <c r="AG26" s="118"/>
      <c r="AH26" s="128"/>
      <c r="AI26" s="129"/>
      <c r="AJ26" s="118"/>
      <c r="AK26" s="118"/>
      <c r="AL26" s="118"/>
      <c r="AM26" s="126"/>
      <c r="AN26" s="127"/>
      <c r="AO26" s="118"/>
      <c r="AP26" s="118"/>
      <c r="AQ26" s="118"/>
      <c r="AR26" s="128"/>
      <c r="AS26" s="127"/>
      <c r="AT26" s="118"/>
      <c r="AU26" s="118"/>
      <c r="AV26" s="118"/>
      <c r="AW26" s="118"/>
      <c r="AX26" s="118"/>
      <c r="AY26" s="118"/>
      <c r="AZ26" s="118"/>
      <c r="BA26" s="118"/>
      <c r="BB26" s="128"/>
      <c r="BC26" s="127">
        <v>1</v>
      </c>
      <c r="BD26" s="118">
        <v>1</v>
      </c>
      <c r="BE26" s="118">
        <v>1</v>
      </c>
      <c r="BF26" s="118">
        <v>3</v>
      </c>
      <c r="BG26" s="118">
        <v>3</v>
      </c>
      <c r="BH26" s="118"/>
      <c r="BI26" s="118"/>
      <c r="BJ26" s="118"/>
      <c r="BK26" s="118"/>
      <c r="BL26" s="118"/>
      <c r="BM26" s="118"/>
      <c r="BN26" s="118"/>
      <c r="BO26" s="118"/>
      <c r="BP26" s="118"/>
      <c r="BQ26" s="118"/>
      <c r="BR26" s="118"/>
      <c r="BS26" s="118"/>
      <c r="BT26" s="118"/>
      <c r="BU26" s="118"/>
      <c r="BV26" s="118"/>
      <c r="BW26" s="118"/>
      <c r="BX26" s="118"/>
      <c r="BY26" s="118"/>
      <c r="BZ26" s="118"/>
      <c r="CA26" s="118"/>
      <c r="CB26" s="118"/>
      <c r="CC26" s="118"/>
      <c r="CD26" s="118"/>
      <c r="CE26" s="118"/>
      <c r="CF26" s="118"/>
      <c r="CG26" s="118"/>
      <c r="CH26" s="118"/>
      <c r="CI26" s="118"/>
      <c r="CJ26" s="118"/>
      <c r="CK26" s="128"/>
    </row>
    <row r="27" spans="2:89">
      <c r="B27" s="112" t="s">
        <v>305</v>
      </c>
      <c r="C27" s="113" t="s">
        <v>306</v>
      </c>
      <c r="D27" s="113" t="s">
        <v>307</v>
      </c>
      <c r="E27" s="113" t="s">
        <v>31</v>
      </c>
      <c r="F27" s="113" t="s">
        <v>246</v>
      </c>
      <c r="G27" s="130" t="s">
        <v>264</v>
      </c>
      <c r="H27" s="117"/>
      <c r="I27" s="131"/>
      <c r="J27" s="118"/>
      <c r="K27" s="118"/>
      <c r="L27" s="118"/>
      <c r="M27" s="118"/>
      <c r="N27" s="118"/>
      <c r="O27" s="118"/>
      <c r="P27" s="118"/>
      <c r="Q27" s="118"/>
      <c r="R27" s="118"/>
      <c r="S27" s="118"/>
      <c r="T27" s="118"/>
      <c r="U27" s="118"/>
      <c r="V27" s="118"/>
      <c r="W27" s="118"/>
      <c r="X27" s="118"/>
      <c r="Y27" s="118"/>
      <c r="Z27" s="118"/>
      <c r="AA27" s="118"/>
      <c r="AB27" s="118"/>
      <c r="AC27" s="126"/>
      <c r="AD27" s="127"/>
      <c r="AE27" s="118"/>
      <c r="AF27" s="118"/>
      <c r="AG27" s="118"/>
      <c r="AH27" s="128"/>
      <c r="AI27" s="129"/>
      <c r="AJ27" s="118"/>
      <c r="AK27" s="118"/>
      <c r="AL27" s="118"/>
      <c r="AM27" s="126"/>
      <c r="AN27" s="127"/>
      <c r="AO27" s="118"/>
      <c r="AP27" s="118"/>
      <c r="AQ27" s="118"/>
      <c r="AR27" s="128"/>
      <c r="AS27" s="127"/>
      <c r="AT27" s="118"/>
      <c r="AU27" s="118"/>
      <c r="AV27" s="118"/>
      <c r="AW27" s="118"/>
      <c r="AX27" s="118"/>
      <c r="AY27" s="118"/>
      <c r="AZ27" s="118"/>
      <c r="BA27" s="118"/>
      <c r="BB27" s="128"/>
      <c r="BC27" s="127"/>
      <c r="BD27" s="118"/>
      <c r="BE27" s="118"/>
      <c r="BF27" s="118"/>
      <c r="BG27" s="118"/>
      <c r="BH27" s="118"/>
      <c r="BI27" s="118"/>
      <c r="BJ27" s="118"/>
      <c r="BK27" s="118"/>
      <c r="BL27" s="118"/>
      <c r="BM27" s="118"/>
      <c r="BN27" s="118"/>
      <c r="BO27" s="118"/>
      <c r="BP27" s="118"/>
      <c r="BQ27" s="118"/>
      <c r="BR27" s="118"/>
      <c r="BS27" s="118"/>
      <c r="BT27" s="118"/>
      <c r="BU27" s="118"/>
      <c r="BV27" s="118"/>
      <c r="BW27" s="118">
        <v>4</v>
      </c>
      <c r="BX27" s="118">
        <v>3</v>
      </c>
      <c r="BY27" s="118">
        <v>3</v>
      </c>
      <c r="BZ27" s="118">
        <v>3</v>
      </c>
      <c r="CA27" s="118">
        <v>1</v>
      </c>
      <c r="CB27" s="118"/>
      <c r="CC27" s="118"/>
      <c r="CD27" s="118"/>
      <c r="CE27" s="118"/>
      <c r="CF27" s="118"/>
      <c r="CG27" s="118"/>
      <c r="CH27" s="118"/>
      <c r="CI27" s="118"/>
      <c r="CJ27" s="118"/>
      <c r="CK27" s="128"/>
    </row>
    <row r="28" spans="2:89">
      <c r="B28" s="112" t="s">
        <v>308</v>
      </c>
      <c r="C28" s="113" t="s">
        <v>309</v>
      </c>
      <c r="D28" s="113" t="s">
        <v>310</v>
      </c>
      <c r="E28" s="113" t="s">
        <v>30</v>
      </c>
      <c r="F28" s="113" t="s">
        <v>246</v>
      </c>
      <c r="G28" s="130" t="s">
        <v>264</v>
      </c>
      <c r="H28" s="117"/>
      <c r="I28" s="131"/>
      <c r="J28" s="118"/>
      <c r="K28" s="118"/>
      <c r="L28" s="118"/>
      <c r="M28" s="118"/>
      <c r="N28" s="118"/>
      <c r="O28" s="118"/>
      <c r="P28" s="118"/>
      <c r="Q28" s="118"/>
      <c r="R28" s="118"/>
      <c r="S28" s="118"/>
      <c r="T28" s="118"/>
      <c r="U28" s="118"/>
      <c r="V28" s="118"/>
      <c r="W28" s="118"/>
      <c r="X28" s="118"/>
      <c r="Y28" s="118"/>
      <c r="Z28" s="118"/>
      <c r="AA28" s="118"/>
      <c r="AB28" s="118"/>
      <c r="AC28" s="126"/>
      <c r="AD28" s="127"/>
      <c r="AE28" s="118"/>
      <c r="AF28" s="118"/>
      <c r="AG28" s="118"/>
      <c r="AH28" s="128"/>
      <c r="AI28" s="129"/>
      <c r="AJ28" s="118"/>
      <c r="AK28" s="118"/>
      <c r="AL28" s="118"/>
      <c r="AM28" s="126"/>
      <c r="AN28" s="127"/>
      <c r="AO28" s="118"/>
      <c r="AP28" s="118"/>
      <c r="AQ28" s="118"/>
      <c r="AR28" s="128"/>
      <c r="AS28" s="127"/>
      <c r="AT28" s="118"/>
      <c r="AU28" s="118"/>
      <c r="AV28" s="118"/>
      <c r="AW28" s="118"/>
      <c r="AX28" s="118"/>
      <c r="AY28" s="118"/>
      <c r="AZ28" s="118"/>
      <c r="BA28" s="118"/>
      <c r="BB28" s="128"/>
      <c r="BC28" s="127"/>
      <c r="BD28" s="118"/>
      <c r="BE28" s="118"/>
      <c r="BF28" s="118"/>
      <c r="BG28" s="118"/>
      <c r="BH28" s="118"/>
      <c r="BI28" s="118"/>
      <c r="BJ28" s="118"/>
      <c r="BK28" s="118"/>
      <c r="BL28" s="118"/>
      <c r="BM28" s="118"/>
      <c r="BN28" s="118"/>
      <c r="BO28" s="118"/>
      <c r="BP28" s="118"/>
      <c r="BQ28" s="118"/>
      <c r="BR28" s="118"/>
      <c r="BS28" s="118"/>
      <c r="BT28" s="118"/>
      <c r="BU28" s="118"/>
      <c r="BV28" s="118"/>
      <c r="BW28" s="118">
        <v>4</v>
      </c>
      <c r="BX28" s="118">
        <v>3</v>
      </c>
      <c r="BY28" s="118">
        <v>3</v>
      </c>
      <c r="BZ28" s="118">
        <v>3</v>
      </c>
      <c r="CA28" s="118">
        <v>1</v>
      </c>
      <c r="CB28" s="118"/>
      <c r="CC28" s="118"/>
      <c r="CD28" s="118"/>
      <c r="CE28" s="118"/>
      <c r="CF28" s="118"/>
      <c r="CG28" s="118"/>
      <c r="CH28" s="118"/>
      <c r="CI28" s="118"/>
      <c r="CJ28" s="118"/>
      <c r="CK28" s="128"/>
    </row>
    <row r="29" spans="2:89">
      <c r="B29" s="112" t="s">
        <v>311</v>
      </c>
      <c r="C29" s="113" t="s">
        <v>312</v>
      </c>
      <c r="D29" s="113" t="s">
        <v>313</v>
      </c>
      <c r="E29" s="113" t="s">
        <v>30</v>
      </c>
      <c r="F29" s="113" t="s">
        <v>246</v>
      </c>
      <c r="G29" s="130" t="s">
        <v>264</v>
      </c>
      <c r="H29" s="117"/>
      <c r="I29" s="131"/>
      <c r="J29" s="118"/>
      <c r="K29" s="118"/>
      <c r="L29" s="118"/>
      <c r="M29" s="118"/>
      <c r="N29" s="118"/>
      <c r="O29" s="118"/>
      <c r="P29" s="118"/>
      <c r="Q29" s="118"/>
      <c r="R29" s="118"/>
      <c r="S29" s="118"/>
      <c r="T29" s="118"/>
      <c r="U29" s="118"/>
      <c r="V29" s="118"/>
      <c r="W29" s="118"/>
      <c r="X29" s="118"/>
      <c r="Y29" s="118"/>
      <c r="Z29" s="118"/>
      <c r="AA29" s="118"/>
      <c r="AB29" s="118"/>
      <c r="AC29" s="126"/>
      <c r="AD29" s="127"/>
      <c r="AE29" s="118"/>
      <c r="AF29" s="118"/>
      <c r="AG29" s="118"/>
      <c r="AH29" s="128"/>
      <c r="AI29" s="129"/>
      <c r="AJ29" s="118"/>
      <c r="AK29" s="118"/>
      <c r="AL29" s="118"/>
      <c r="AM29" s="126"/>
      <c r="AN29" s="127"/>
      <c r="AO29" s="118"/>
      <c r="AP29" s="118"/>
      <c r="AQ29" s="118"/>
      <c r="AR29" s="128"/>
      <c r="AS29" s="127"/>
      <c r="AT29" s="118"/>
      <c r="AU29" s="118"/>
      <c r="AV29" s="118"/>
      <c r="AW29" s="118"/>
      <c r="AX29" s="118"/>
      <c r="AY29" s="118"/>
      <c r="AZ29" s="118"/>
      <c r="BA29" s="118"/>
      <c r="BB29" s="128"/>
      <c r="BC29" s="127"/>
      <c r="BD29" s="118"/>
      <c r="BE29" s="118"/>
      <c r="BF29" s="118"/>
      <c r="BG29" s="118"/>
      <c r="BH29" s="118"/>
      <c r="BI29" s="118"/>
      <c r="BJ29" s="118"/>
      <c r="BK29" s="118"/>
      <c r="BL29" s="118"/>
      <c r="BM29" s="118"/>
      <c r="BN29" s="118"/>
      <c r="BO29" s="118"/>
      <c r="BP29" s="118"/>
      <c r="BQ29" s="118"/>
      <c r="BR29" s="118"/>
      <c r="BS29" s="118"/>
      <c r="BT29" s="118"/>
      <c r="BU29" s="118"/>
      <c r="BV29" s="118"/>
      <c r="BW29" s="118"/>
      <c r="BX29" s="118"/>
      <c r="BY29" s="118"/>
      <c r="BZ29" s="118"/>
      <c r="CA29" s="118"/>
      <c r="CB29" s="118"/>
      <c r="CC29" s="118"/>
      <c r="CD29" s="118"/>
      <c r="CE29" s="118"/>
      <c r="CF29" s="118"/>
      <c r="CG29" s="118"/>
      <c r="CH29" s="118"/>
      <c r="CI29" s="118"/>
      <c r="CJ29" s="118"/>
      <c r="CK29" s="128"/>
    </row>
    <row r="30" spans="2:89">
      <c r="B30" s="112" t="s">
        <v>314</v>
      </c>
      <c r="C30" s="113" t="s">
        <v>315</v>
      </c>
      <c r="D30" s="113" t="s">
        <v>316</v>
      </c>
      <c r="E30" s="113" t="s">
        <v>27</v>
      </c>
      <c r="F30" s="113" t="s">
        <v>246</v>
      </c>
      <c r="G30" s="124"/>
      <c r="H30" s="117" t="s">
        <v>247</v>
      </c>
      <c r="I30" s="125"/>
      <c r="J30" s="118">
        <v>5</v>
      </c>
      <c r="K30" s="118">
        <v>5</v>
      </c>
      <c r="L30" s="118">
        <v>5</v>
      </c>
      <c r="M30" s="118">
        <v>5</v>
      </c>
      <c r="N30" s="118">
        <v>4</v>
      </c>
      <c r="O30" s="118">
        <v>5</v>
      </c>
      <c r="P30" s="118">
        <v>5</v>
      </c>
      <c r="Q30" s="118">
        <v>3</v>
      </c>
      <c r="R30" s="118">
        <v>5</v>
      </c>
      <c r="S30" s="118"/>
      <c r="T30" s="118"/>
      <c r="U30" s="118"/>
      <c r="V30" s="118"/>
      <c r="W30" s="118"/>
      <c r="X30" s="118"/>
      <c r="Y30" s="118"/>
      <c r="Z30" s="118"/>
      <c r="AA30" s="118"/>
      <c r="AB30" s="118"/>
      <c r="AC30" s="126"/>
      <c r="AD30" s="127"/>
      <c r="AE30" s="118"/>
      <c r="AF30" s="118"/>
      <c r="AG30" s="118"/>
      <c r="AH30" s="128"/>
      <c r="AI30" s="129"/>
      <c r="AJ30" s="118"/>
      <c r="AK30" s="118"/>
      <c r="AL30" s="118"/>
      <c r="AM30" s="126"/>
      <c r="AN30" s="127"/>
      <c r="AO30" s="118"/>
      <c r="AP30" s="118"/>
      <c r="AQ30" s="118"/>
      <c r="AR30" s="128"/>
      <c r="AS30" s="127"/>
      <c r="AT30" s="118"/>
      <c r="AU30" s="118"/>
      <c r="AV30" s="118"/>
      <c r="AW30" s="118"/>
      <c r="AX30" s="118"/>
      <c r="AY30" s="118"/>
      <c r="AZ30" s="118"/>
      <c r="BA30" s="118"/>
      <c r="BB30" s="128"/>
      <c r="BC30" s="127"/>
      <c r="BD30" s="118"/>
      <c r="BE30" s="118"/>
      <c r="BF30" s="118"/>
      <c r="BG30" s="118"/>
      <c r="BH30" s="118">
        <v>5</v>
      </c>
      <c r="BI30" s="118">
        <v>5</v>
      </c>
      <c r="BJ30" s="118">
        <v>5</v>
      </c>
      <c r="BK30" s="118">
        <v>5</v>
      </c>
      <c r="BL30" s="118">
        <v>5</v>
      </c>
      <c r="BM30" s="118"/>
      <c r="BN30" s="118"/>
      <c r="BO30" s="118"/>
      <c r="BP30" s="118"/>
      <c r="BQ30" s="118"/>
      <c r="BR30" s="118"/>
      <c r="BS30" s="118"/>
      <c r="BT30" s="118"/>
      <c r="BU30" s="118"/>
      <c r="BV30" s="118"/>
      <c r="BW30" s="118"/>
      <c r="BX30" s="118"/>
      <c r="BY30" s="118"/>
      <c r="BZ30" s="118"/>
      <c r="CA30" s="118"/>
      <c r="CB30" s="118"/>
      <c r="CC30" s="118"/>
      <c r="CD30" s="118"/>
      <c r="CE30" s="118"/>
      <c r="CF30" s="118"/>
      <c r="CG30" s="118"/>
      <c r="CH30" s="118"/>
      <c r="CI30" s="118"/>
      <c r="CJ30" s="118"/>
      <c r="CK30" s="128"/>
    </row>
    <row r="31" spans="2:89">
      <c r="B31" s="112" t="s">
        <v>317</v>
      </c>
      <c r="C31" s="113" t="s">
        <v>318</v>
      </c>
      <c r="D31" s="113" t="s">
        <v>319</v>
      </c>
      <c r="E31" s="113" t="s">
        <v>30</v>
      </c>
      <c r="F31" s="113" t="s">
        <v>246</v>
      </c>
      <c r="G31" s="124"/>
      <c r="H31" s="117" t="s">
        <v>268</v>
      </c>
      <c r="I31" s="125"/>
      <c r="J31" s="118"/>
      <c r="K31" s="118"/>
      <c r="L31" s="118"/>
      <c r="M31" s="118"/>
      <c r="N31" s="118"/>
      <c r="O31" s="118"/>
      <c r="P31" s="118"/>
      <c r="Q31" s="118"/>
      <c r="R31" s="118"/>
      <c r="S31" s="118"/>
      <c r="T31" s="118"/>
      <c r="U31" s="118"/>
      <c r="V31" s="118"/>
      <c r="W31" s="118"/>
      <c r="X31" s="118"/>
      <c r="Y31" s="118"/>
      <c r="Z31" s="118"/>
      <c r="AA31" s="118"/>
      <c r="AB31" s="118"/>
      <c r="AC31" s="126"/>
      <c r="AD31" s="127"/>
      <c r="AE31" s="118"/>
      <c r="AF31" s="118"/>
      <c r="AG31" s="118"/>
      <c r="AH31" s="128"/>
      <c r="AI31" s="129"/>
      <c r="AJ31" s="118"/>
      <c r="AK31" s="118"/>
      <c r="AL31" s="118"/>
      <c r="AM31" s="126"/>
      <c r="AN31" s="127"/>
      <c r="AO31" s="118"/>
      <c r="AP31" s="118"/>
      <c r="AQ31" s="118"/>
      <c r="AR31" s="128"/>
      <c r="AS31" s="127"/>
      <c r="AT31" s="118"/>
      <c r="AU31" s="118"/>
      <c r="AV31" s="118"/>
      <c r="AW31" s="118"/>
      <c r="AX31" s="118"/>
      <c r="AY31" s="118"/>
      <c r="AZ31" s="118"/>
      <c r="BA31" s="118"/>
      <c r="BB31" s="128"/>
      <c r="BC31" s="127"/>
      <c r="BD31" s="118"/>
      <c r="BE31" s="118"/>
      <c r="BF31" s="118"/>
      <c r="BG31" s="118"/>
      <c r="BH31" s="118"/>
      <c r="BI31" s="118"/>
      <c r="BJ31" s="118"/>
      <c r="BK31" s="118"/>
      <c r="BL31" s="118"/>
      <c r="BM31" s="118"/>
      <c r="BN31" s="118"/>
      <c r="BO31" s="118"/>
      <c r="BP31" s="118"/>
      <c r="BQ31" s="118"/>
      <c r="BR31" s="118"/>
      <c r="BS31" s="118"/>
      <c r="BT31" s="118"/>
      <c r="BU31" s="118"/>
      <c r="BV31" s="118"/>
      <c r="BW31" s="118"/>
      <c r="BX31" s="118"/>
      <c r="BY31" s="118"/>
      <c r="BZ31" s="118"/>
      <c r="CA31" s="118"/>
      <c r="CB31" s="118"/>
      <c r="CC31" s="118"/>
      <c r="CD31" s="118"/>
      <c r="CE31" s="118"/>
      <c r="CF31" s="118"/>
      <c r="CG31" s="118"/>
      <c r="CH31" s="118"/>
      <c r="CI31" s="118"/>
      <c r="CJ31" s="118"/>
      <c r="CK31" s="128"/>
    </row>
    <row r="32" spans="2:89">
      <c r="B32" s="112" t="s">
        <v>320</v>
      </c>
      <c r="C32" s="113" t="s">
        <v>321</v>
      </c>
      <c r="D32" s="113" t="s">
        <v>322</v>
      </c>
      <c r="E32" s="113" t="s">
        <v>30</v>
      </c>
      <c r="F32" s="113" t="s">
        <v>246</v>
      </c>
      <c r="G32" s="124"/>
      <c r="H32" s="117" t="s">
        <v>304</v>
      </c>
      <c r="I32" s="125"/>
      <c r="J32" s="118">
        <v>3</v>
      </c>
      <c r="K32" s="118">
        <v>3</v>
      </c>
      <c r="L32" s="118">
        <v>3</v>
      </c>
      <c r="M32" s="118">
        <v>2</v>
      </c>
      <c r="N32" s="118">
        <v>1</v>
      </c>
      <c r="O32" s="118">
        <v>4</v>
      </c>
      <c r="P32" s="118">
        <v>3</v>
      </c>
      <c r="Q32" s="118">
        <v>2</v>
      </c>
      <c r="R32" s="118">
        <v>3</v>
      </c>
      <c r="S32" s="118">
        <v>3</v>
      </c>
      <c r="T32" s="118"/>
      <c r="U32" s="118"/>
      <c r="V32" s="118"/>
      <c r="W32" s="118"/>
      <c r="X32" s="118"/>
      <c r="Y32" s="118"/>
      <c r="Z32" s="118"/>
      <c r="AA32" s="118"/>
      <c r="AB32" s="118"/>
      <c r="AC32" s="126"/>
      <c r="AD32" s="127"/>
      <c r="AE32" s="118"/>
      <c r="AF32" s="118"/>
      <c r="AG32" s="118"/>
      <c r="AH32" s="128"/>
      <c r="AI32" s="129"/>
      <c r="AJ32" s="118"/>
      <c r="AK32" s="118"/>
      <c r="AL32" s="118"/>
      <c r="AM32" s="126"/>
      <c r="AN32" s="127"/>
      <c r="AO32" s="118"/>
      <c r="AP32" s="118">
        <v>3</v>
      </c>
      <c r="AQ32" s="118">
        <v>3</v>
      </c>
      <c r="AR32" s="128"/>
      <c r="AS32" s="127"/>
      <c r="AT32" s="118"/>
      <c r="AU32" s="118">
        <v>2</v>
      </c>
      <c r="AV32" s="118"/>
      <c r="AW32" s="118"/>
      <c r="AX32" s="118"/>
      <c r="AY32" s="118"/>
      <c r="AZ32" s="118"/>
      <c r="BA32" s="118"/>
      <c r="BB32" s="128"/>
      <c r="BC32" s="127"/>
      <c r="BD32" s="118"/>
      <c r="BE32" s="118"/>
      <c r="BF32" s="118"/>
      <c r="BG32" s="118"/>
      <c r="BH32" s="118"/>
      <c r="BI32" s="118"/>
      <c r="BJ32" s="118"/>
      <c r="BK32" s="118"/>
      <c r="BL32" s="118"/>
      <c r="BM32" s="118"/>
      <c r="BN32" s="118"/>
      <c r="BO32" s="118"/>
      <c r="BP32" s="118"/>
      <c r="BQ32" s="118"/>
      <c r="BR32" s="118"/>
      <c r="BS32" s="118"/>
      <c r="BT32" s="118"/>
      <c r="BU32" s="118"/>
      <c r="BV32" s="118"/>
      <c r="BW32" s="118"/>
      <c r="BX32" s="118"/>
      <c r="BY32" s="118"/>
      <c r="BZ32" s="118"/>
      <c r="CA32" s="118"/>
      <c r="CB32" s="118"/>
      <c r="CC32" s="118"/>
      <c r="CD32" s="118"/>
      <c r="CE32" s="118"/>
      <c r="CF32" s="118"/>
      <c r="CG32" s="118"/>
      <c r="CH32" s="118"/>
      <c r="CI32" s="118"/>
      <c r="CJ32" s="118"/>
      <c r="CK32" s="128"/>
    </row>
    <row r="33" spans="2:89">
      <c r="B33" s="112" t="s">
        <v>323</v>
      </c>
      <c r="C33" s="113" t="s">
        <v>324</v>
      </c>
      <c r="D33" s="113" t="s">
        <v>325</v>
      </c>
      <c r="E33" s="113" t="s">
        <v>31</v>
      </c>
      <c r="F33" s="113" t="s">
        <v>246</v>
      </c>
      <c r="G33" s="130"/>
      <c r="H33" s="117" t="s">
        <v>268</v>
      </c>
      <c r="I33" s="131"/>
      <c r="J33" s="118"/>
      <c r="K33" s="118"/>
      <c r="L33" s="118"/>
      <c r="M33" s="118"/>
      <c r="N33" s="118"/>
      <c r="O33" s="118"/>
      <c r="P33" s="118"/>
      <c r="Q33" s="118"/>
      <c r="R33" s="118"/>
      <c r="S33" s="118"/>
      <c r="T33" s="118"/>
      <c r="U33" s="118"/>
      <c r="V33" s="118"/>
      <c r="W33" s="118"/>
      <c r="X33" s="118"/>
      <c r="Y33" s="118"/>
      <c r="Z33" s="118"/>
      <c r="AA33" s="118"/>
      <c r="AB33" s="118"/>
      <c r="AC33" s="126"/>
      <c r="AD33" s="127"/>
      <c r="AE33" s="118"/>
      <c r="AF33" s="118"/>
      <c r="AG33" s="118"/>
      <c r="AH33" s="128"/>
      <c r="AI33" s="129"/>
      <c r="AJ33" s="118"/>
      <c r="AK33" s="118"/>
      <c r="AL33" s="118"/>
      <c r="AM33" s="126"/>
      <c r="AN33" s="127"/>
      <c r="AO33" s="118"/>
      <c r="AP33" s="118"/>
      <c r="AQ33" s="118"/>
      <c r="AR33" s="128"/>
      <c r="AS33" s="127"/>
      <c r="AT33" s="118"/>
      <c r="AU33" s="118"/>
      <c r="AV33" s="118"/>
      <c r="AW33" s="118"/>
      <c r="AX33" s="118"/>
      <c r="AY33" s="118"/>
      <c r="AZ33" s="118"/>
      <c r="BA33" s="118"/>
      <c r="BB33" s="128"/>
      <c r="BC33" s="127"/>
      <c r="BD33" s="118"/>
      <c r="BE33" s="118"/>
      <c r="BF33" s="118"/>
      <c r="BG33" s="118"/>
      <c r="BH33" s="118"/>
      <c r="BI33" s="118"/>
      <c r="BJ33" s="118"/>
      <c r="BK33" s="118"/>
      <c r="BL33" s="118"/>
      <c r="BM33" s="118"/>
      <c r="BN33" s="118"/>
      <c r="BO33" s="118"/>
      <c r="BP33" s="118"/>
      <c r="BQ33" s="118"/>
      <c r="BR33" s="118"/>
      <c r="BS33" s="118"/>
      <c r="BT33" s="118"/>
      <c r="BU33" s="118"/>
      <c r="BV33" s="118"/>
      <c r="BW33" s="118"/>
      <c r="BX33" s="118"/>
      <c r="BY33" s="118"/>
      <c r="BZ33" s="118"/>
      <c r="CA33" s="118"/>
      <c r="CB33" s="118"/>
      <c r="CC33" s="118"/>
      <c r="CD33" s="118"/>
      <c r="CE33" s="118"/>
      <c r="CF33" s="118"/>
      <c r="CG33" s="118"/>
      <c r="CH33" s="118"/>
      <c r="CI33" s="118"/>
      <c r="CJ33" s="118"/>
      <c r="CK33" s="128"/>
    </row>
    <row r="34" spans="2:89">
      <c r="B34" s="112" t="s">
        <v>326</v>
      </c>
      <c r="C34" s="113" t="s">
        <v>327</v>
      </c>
      <c r="D34" s="113" t="s">
        <v>328</v>
      </c>
      <c r="E34" s="113" t="s">
        <v>28</v>
      </c>
      <c r="F34" s="113" t="s">
        <v>246</v>
      </c>
      <c r="G34" s="130" t="s">
        <v>264</v>
      </c>
      <c r="H34" s="117"/>
      <c r="I34" s="131"/>
      <c r="J34" s="118"/>
      <c r="K34" s="118"/>
      <c r="L34" s="118"/>
      <c r="M34" s="118"/>
      <c r="N34" s="118"/>
      <c r="O34" s="118"/>
      <c r="P34" s="118"/>
      <c r="Q34" s="118"/>
      <c r="R34" s="118"/>
      <c r="S34" s="118"/>
      <c r="T34" s="118"/>
      <c r="U34" s="118"/>
      <c r="V34" s="118"/>
      <c r="W34" s="118"/>
      <c r="X34" s="118"/>
      <c r="Y34" s="118"/>
      <c r="Z34" s="118"/>
      <c r="AA34" s="118"/>
      <c r="AB34" s="118"/>
      <c r="AC34" s="126"/>
      <c r="AD34" s="127"/>
      <c r="AE34" s="118"/>
      <c r="AF34" s="118"/>
      <c r="AG34" s="118"/>
      <c r="AH34" s="128"/>
      <c r="AI34" s="129"/>
      <c r="AJ34" s="118"/>
      <c r="AK34" s="118"/>
      <c r="AL34" s="118"/>
      <c r="AM34" s="126"/>
      <c r="AN34" s="127"/>
      <c r="AO34" s="118"/>
      <c r="AP34" s="118"/>
      <c r="AQ34" s="118"/>
      <c r="AR34" s="128"/>
      <c r="AS34" s="127"/>
      <c r="AT34" s="118"/>
      <c r="AU34" s="118"/>
      <c r="AV34" s="118"/>
      <c r="AW34" s="118"/>
      <c r="AX34" s="118"/>
      <c r="AY34" s="118"/>
      <c r="AZ34" s="118"/>
      <c r="BA34" s="118"/>
      <c r="BB34" s="128"/>
      <c r="BC34" s="127">
        <v>2</v>
      </c>
      <c r="BD34" s="118">
        <v>2</v>
      </c>
      <c r="BE34" s="118">
        <v>2</v>
      </c>
      <c r="BF34" s="118">
        <v>4</v>
      </c>
      <c r="BG34" s="118">
        <v>4</v>
      </c>
      <c r="BH34" s="118"/>
      <c r="BI34" s="118"/>
      <c r="BJ34" s="118"/>
      <c r="BK34" s="118"/>
      <c r="BL34" s="118"/>
      <c r="BM34" s="118"/>
      <c r="BN34" s="118"/>
      <c r="BO34" s="118"/>
      <c r="BP34" s="118"/>
      <c r="BQ34" s="118"/>
      <c r="BR34" s="118"/>
      <c r="BS34" s="118"/>
      <c r="BT34" s="118"/>
      <c r="BU34" s="118"/>
      <c r="BV34" s="118"/>
      <c r="BW34" s="118">
        <v>4</v>
      </c>
      <c r="BX34" s="118">
        <v>3</v>
      </c>
      <c r="BY34" s="118">
        <v>3</v>
      </c>
      <c r="BZ34" s="118">
        <v>3</v>
      </c>
      <c r="CA34" s="118">
        <v>1</v>
      </c>
      <c r="CB34" s="118"/>
      <c r="CC34" s="118"/>
      <c r="CD34" s="118"/>
      <c r="CE34" s="118"/>
      <c r="CF34" s="118"/>
      <c r="CG34" s="118"/>
      <c r="CH34" s="118"/>
      <c r="CI34" s="118"/>
      <c r="CJ34" s="118"/>
      <c r="CK34" s="128"/>
    </row>
    <row r="35" spans="2:89">
      <c r="B35" s="112" t="s">
        <v>329</v>
      </c>
      <c r="C35" s="113" t="s">
        <v>330</v>
      </c>
      <c r="D35" s="113" t="s">
        <v>331</v>
      </c>
      <c r="E35" s="113" t="s">
        <v>28</v>
      </c>
      <c r="F35" s="113" t="s">
        <v>246</v>
      </c>
      <c r="G35" s="130" t="s">
        <v>264</v>
      </c>
      <c r="H35" s="117"/>
      <c r="I35" s="131"/>
      <c r="J35" s="118"/>
      <c r="K35" s="118"/>
      <c r="L35" s="118"/>
      <c r="M35" s="118"/>
      <c r="N35" s="118"/>
      <c r="O35" s="118"/>
      <c r="P35" s="118"/>
      <c r="Q35" s="118"/>
      <c r="R35" s="118"/>
      <c r="S35" s="118"/>
      <c r="T35" s="118"/>
      <c r="U35" s="118"/>
      <c r="V35" s="118"/>
      <c r="W35" s="118"/>
      <c r="X35" s="118"/>
      <c r="Y35" s="118"/>
      <c r="Z35" s="118"/>
      <c r="AA35" s="118"/>
      <c r="AB35" s="118"/>
      <c r="AC35" s="126"/>
      <c r="AD35" s="127"/>
      <c r="AE35" s="118"/>
      <c r="AF35" s="118"/>
      <c r="AG35" s="118"/>
      <c r="AH35" s="128"/>
      <c r="AI35" s="129"/>
      <c r="AJ35" s="118"/>
      <c r="AK35" s="118"/>
      <c r="AL35" s="118"/>
      <c r="AM35" s="126"/>
      <c r="AN35" s="127"/>
      <c r="AO35" s="118"/>
      <c r="AP35" s="118"/>
      <c r="AQ35" s="118"/>
      <c r="AR35" s="128"/>
      <c r="AS35" s="127"/>
      <c r="AT35" s="118"/>
      <c r="AU35" s="118"/>
      <c r="AV35" s="118"/>
      <c r="AW35" s="118"/>
      <c r="AX35" s="118"/>
      <c r="AY35" s="118"/>
      <c r="AZ35" s="118"/>
      <c r="BA35" s="118"/>
      <c r="BB35" s="128"/>
      <c r="BC35" s="127"/>
      <c r="BD35" s="118"/>
      <c r="BE35" s="118"/>
      <c r="BF35" s="118"/>
      <c r="BG35" s="118"/>
      <c r="BH35" s="118"/>
      <c r="BI35" s="118"/>
      <c r="BJ35" s="118"/>
      <c r="BK35" s="118"/>
      <c r="BL35" s="118"/>
      <c r="BM35" s="118"/>
      <c r="BN35" s="118"/>
      <c r="BO35" s="118"/>
      <c r="BP35" s="118"/>
      <c r="BQ35" s="118"/>
      <c r="BR35" s="118"/>
      <c r="BS35" s="118"/>
      <c r="BT35" s="118"/>
      <c r="BU35" s="118"/>
      <c r="BV35" s="118"/>
      <c r="BW35" s="118">
        <v>4</v>
      </c>
      <c r="BX35" s="118">
        <v>3</v>
      </c>
      <c r="BY35" s="118">
        <v>3</v>
      </c>
      <c r="BZ35" s="118">
        <v>3</v>
      </c>
      <c r="CA35" s="118">
        <v>1</v>
      </c>
      <c r="CB35" s="118"/>
      <c r="CC35" s="118"/>
      <c r="CD35" s="118"/>
      <c r="CE35" s="118"/>
      <c r="CF35" s="118"/>
      <c r="CG35" s="118"/>
      <c r="CH35" s="118"/>
      <c r="CI35" s="118"/>
      <c r="CJ35" s="118"/>
      <c r="CK35" s="128"/>
    </row>
    <row r="36" spans="2:89">
      <c r="B36" s="115" t="s">
        <v>332</v>
      </c>
      <c r="C36" s="116" t="s">
        <v>333</v>
      </c>
      <c r="D36" s="116" t="s">
        <v>334</v>
      </c>
      <c r="E36" s="116" t="s">
        <v>28</v>
      </c>
      <c r="F36" s="116" t="s">
        <v>246</v>
      </c>
      <c r="G36" s="132"/>
      <c r="H36" s="133" t="s">
        <v>247</v>
      </c>
      <c r="I36" s="134"/>
      <c r="J36" s="118">
        <v>5</v>
      </c>
      <c r="K36" s="135">
        <v>5</v>
      </c>
      <c r="L36" s="135">
        <v>5</v>
      </c>
      <c r="M36" s="135">
        <v>5</v>
      </c>
      <c r="N36" s="135">
        <v>4</v>
      </c>
      <c r="O36" s="135">
        <v>4</v>
      </c>
      <c r="P36" s="135">
        <v>4</v>
      </c>
      <c r="Q36" s="135">
        <v>4</v>
      </c>
      <c r="R36" s="135">
        <v>4</v>
      </c>
      <c r="S36" s="135"/>
      <c r="T36" s="135">
        <v>3</v>
      </c>
      <c r="U36" s="135"/>
      <c r="V36" s="135"/>
      <c r="W36" s="135"/>
      <c r="X36" s="135"/>
      <c r="Y36" s="135"/>
      <c r="Z36" s="135">
        <v>4</v>
      </c>
      <c r="AA36" s="135">
        <v>4</v>
      </c>
      <c r="AB36" s="135"/>
      <c r="AC36" s="136"/>
      <c r="AD36" s="137"/>
      <c r="AE36" s="135"/>
      <c r="AF36" s="135"/>
      <c r="AG36" s="135"/>
      <c r="AH36" s="138"/>
      <c r="AI36" s="139"/>
      <c r="AJ36" s="135"/>
      <c r="AK36" s="135"/>
      <c r="AL36" s="135"/>
      <c r="AM36" s="136"/>
      <c r="AN36" s="137"/>
      <c r="AO36" s="135"/>
      <c r="AP36" s="135"/>
      <c r="AQ36" s="135"/>
      <c r="AR36" s="138"/>
      <c r="AS36" s="137"/>
      <c r="AT36" s="135"/>
      <c r="AU36" s="135"/>
      <c r="AV36" s="135"/>
      <c r="AW36" s="135"/>
      <c r="AX36" s="135"/>
      <c r="AY36" s="135"/>
      <c r="AZ36" s="135"/>
      <c r="BA36" s="135"/>
      <c r="BB36" s="138"/>
      <c r="BC36" s="137">
        <v>3</v>
      </c>
      <c r="BD36" s="135">
        <v>3</v>
      </c>
      <c r="BE36" s="135">
        <v>3</v>
      </c>
      <c r="BF36" s="135">
        <v>5</v>
      </c>
      <c r="BG36" s="135">
        <v>5</v>
      </c>
      <c r="BH36" s="135"/>
      <c r="BI36" s="135"/>
      <c r="BJ36" s="135"/>
      <c r="BK36" s="135"/>
      <c r="BL36" s="135"/>
      <c r="BM36" s="135">
        <v>5</v>
      </c>
      <c r="BN36" s="135">
        <v>4</v>
      </c>
      <c r="BO36" s="135">
        <v>5</v>
      </c>
      <c r="BP36" s="135">
        <v>5</v>
      </c>
      <c r="BQ36" s="135">
        <v>5</v>
      </c>
      <c r="BR36" s="135"/>
      <c r="BS36" s="135"/>
      <c r="BT36" s="135"/>
      <c r="BU36" s="135"/>
      <c r="BV36" s="135"/>
      <c r="BW36" s="135"/>
      <c r="BX36" s="135"/>
      <c r="BY36" s="135"/>
      <c r="BZ36" s="135"/>
      <c r="CA36" s="135"/>
      <c r="CB36" s="135"/>
      <c r="CC36" s="135"/>
      <c r="CD36" s="135"/>
      <c r="CE36" s="135"/>
      <c r="CF36" s="135"/>
      <c r="CG36" s="135"/>
      <c r="CH36" s="135"/>
      <c r="CI36" s="135"/>
      <c r="CJ36" s="135"/>
      <c r="CK36" s="138"/>
    </row>
  </sheetData>
  <mergeCells count="15">
    <mergeCell ref="J1:S1"/>
    <mergeCell ref="T1:AC1"/>
    <mergeCell ref="J2:AC2"/>
    <mergeCell ref="BC2:CK2"/>
    <mergeCell ref="BC1:BG1"/>
    <mergeCell ref="BH1:BL1"/>
    <mergeCell ref="BM1:BQ1"/>
    <mergeCell ref="BR1:BV1"/>
    <mergeCell ref="BW1:CA1"/>
    <mergeCell ref="CB1:CF1"/>
    <mergeCell ref="CG1:CK1"/>
    <mergeCell ref="AD2:AH2"/>
    <mergeCell ref="AI2:AM2"/>
    <mergeCell ref="AN2:AR2"/>
    <mergeCell ref="AS2:BB2"/>
  </mergeCells>
  <phoneticPr fontId="1" type="noConversion"/>
  <conditionalFormatting sqref="BI11:BL11 BN11:BQ11 J11:BG11 J8:CK10 J12:BV12 J13:CK36 CB11:CK12 BS11:CA11">
    <cfRule type="colorScale" priority="5">
      <colorScale>
        <cfvo type="num" val="1"/>
        <cfvo type="num" val="3"/>
        <cfvo type="num" val="5"/>
        <color rgb="FFFFC000"/>
        <color rgb="FF00B050"/>
        <color theme="6" tint="-0.499984740745262"/>
      </colorScale>
    </cfRule>
  </conditionalFormatting>
  <conditionalFormatting sqref="J4:BB4">
    <cfRule type="duplicateValues" dxfId="222" priority="1"/>
  </conditionalFormatting>
  <dataValidations count="27">
    <dataValidation allowBlank="1" showInputMessage="1" showErrorMessage="1" sqref="B60:D1048576 A1:A1048576 BM1:XFD10 B1:D41 E1:I1048576 BI11:BL11 BN11:BQ11 BS11:BV11 CC11:XFD11 BX11:CA11 BH8:BL10 T1 BC1:BL6 J8:W1048576 AA2:AC6 AA8:AC1048576 AD1:BB1048576 J1:J6 K2:W6 X2:Z1048576 BC8:BG1048576 BW13:CA13 BH14:XFD1048576 BH12:BV13 CB12:XFD13" xr:uid="{CDB24A5B-3743-426D-9F82-7EBB88D90050}"/>
    <dataValidation allowBlank="1" showInputMessage="1" showErrorMessage="1" promptTitle="Requirements to Proposal" prompt="Translating business requirements into detailed project proposals and solution approaches." sqref="BC7" xr:uid="{D0C66B67-0474-CE44-BEF4-45030FAE59D7}"/>
    <dataValidation allowBlank="1" showInputMessage="1" showErrorMessage="1" promptTitle="SoW and Resource Plan" prompt="Developing statements of work and resourcing plans for successful engagements." sqref="BD7" xr:uid="{7D86690A-7A4A-234C-A31A-F1DE77529631}"/>
    <dataValidation allowBlank="1" showInputMessage="1" showErrorMessage="1" promptTitle="Implementation Plan &amp; WBS" prompt="Structuring and managing implementation plans using work breakdown structures." sqref="BE7" xr:uid="{FCE2B58D-40EE-D948-926E-780FF029F67E}"/>
    <dataValidation allowBlank="1" showInputMessage="1" showErrorMessage="1" promptTitle="RAID-Risk/Issue Management" prompt="Tracking risks, issues, actions, and decisions to mitigate delivery problems." sqref="BF7" xr:uid="{F65D74E0-6645-724C-AABC-D83CF8DD3884}"/>
    <dataValidation allowBlank="1" showInputMessage="1" showErrorMessage="1" promptTitle="Methodology Enforcement/Adher." prompt="Ensuring compliance with Syniti and industry-standard project delivery methodologies." sqref="BG7" xr:uid="{3A7DF652-D035-684F-8174-18639C514802}"/>
    <dataValidation allowBlank="1" showInputMessage="1" showErrorMessage="1" promptTitle="Overall DQOps Methodology" prompt="Applying the Syniti methodology for data quality operations across different projects." sqref="BH7" xr:uid="{CAEF152B-2237-8544-A1DF-F68DFD4FB4F8}"/>
    <dataValidation allowBlank="1" showInputMessage="1" showErrorMessage="1" promptTitle="Enforcement of DQOps Methodology" prompt="Driving consistency and governance in DQ processes through methodology adherence." sqref="BI7" xr:uid="{300DA4DC-559C-CC43-8BAC-09304F2B33E8}"/>
    <dataValidation allowBlank="1" showInputMessage="1" showErrorMessage="1" promptTitle="Specify rule" prompt="Defining and managing granular data quality rules for business scenarios." sqref="BJ7" xr:uid="{41890379-49FF-B74E-995D-D55BB38EB2FD}"/>
    <dataValidation allowBlank="1" showInputMessage="1" showErrorMessage="1" promptTitle="Build and execute QA" prompt="Designing, executing, and reviewing QA activities for data quality assurance." sqref="BK7" xr:uid="{3FF69ABD-85AF-4845-9C7E-67B54CDC7854}"/>
    <dataValidation allowBlank="1" showInputMessage="1" showErrorMessage="1" promptTitle="Iterate Validate &amp; Improve" prompt="Cycling through validation and continuous improvement of DQ processes." sqref="BL7" xr:uid="{FD672432-7025-B24F-B919-E40810C33C66}"/>
    <dataValidation allowBlank="1" showInputMessage="1" showErrorMessage="1" promptTitle="Construct - webApps" prompt="Creating, adapting, supporting customized solutions using Syniti Construct webApps" sqref="S7 AC7" xr:uid="{BD281399-7B2E-8D40-9596-875411ADE6AA}"/>
    <dataValidation allowBlank="1" showInputMessage="1" showErrorMessage="1" promptTitle="DQ Dev: DQ Components" prompt="Registering rules and configuring components such as notifications and thresholds for DQ." sqref="M7" xr:uid="{08E22E99-16D8-5449-B837-43A131E49BCE}"/>
    <dataValidation allowBlank="1" showInputMessage="1" showErrorMessage="1" promptTitle="DQ Dashboard: Scorecards" prompt="Adjusting thresholds and managing scorecard components for data quality metrics." sqref="N7" xr:uid="{0209B718-0D96-7543-8753-8B62EAF31D86}"/>
    <dataValidation allowBlank="1" showInputMessage="1" showErrorMessage="1" promptTitle="DQ Admin: ADM" prompt="Administering ADM settings for project governance and data operations." sqref="O7" xr:uid="{811EB16D-0026-7748-8D6D-1B8A59CC887D}"/>
    <dataValidation allowBlank="1" showInputMessage="1" showErrorMessage="1" promptTitle="ADM Architecture" prompt="Designing and maintaining the technical architecture of ADM solutions." sqref="P7" xr:uid="{9364C832-FFEC-0549-B3A8-046B354BA78C}"/>
    <dataValidation allowBlank="1" showInputMessage="1" showErrorMessage="1" promptTitle="DQ Match: Syniti Match (Cortex)" prompt="Configuring and deploying Syniti Match for deduplication and entity resolution using Cortex engine." sqref="Q7" xr:uid="{6A88BC7D-4E4E-BC44-9808-5DA2D60A3AFD}"/>
    <dataValidation allowBlank="1" showInputMessage="1" showErrorMessage="1" promptTitle="DQ Operate: Automate/Serv. page" prompt="Automating service tasks and workflows within ADM for efficient operations." sqref="R7" xr:uid="{627B603C-F7A8-D948-8076-2F61833419CC}"/>
    <dataValidation allowBlank="1" showInputMessage="1" showErrorMessage="1" promptTitle="DQ Dev: SQL View" prompt="Building SQL views to support data profiling, cleansing, and validation." sqref="L7" xr:uid="{EDA4C6D4-14DF-2B4E-A6CA-E538CC42C5E2}"/>
    <dataValidation allowBlank="1" showInputMessage="1" showErrorMessage="1" promptTitle="DQ Dev: DQ Components" prompt="Configuring data quality rules and related automation modules for data quality projects." sqref="W7" xr:uid="{8925C294-27E9-B844-BB0D-227064DA9FBD}"/>
    <dataValidation allowBlank="1" showInputMessage="1" showErrorMessage="1" promptTitle="DQ Match: Cloud Match" prompt="Applying cloud-based matching capabilities to deduplicate and resolve entities across systems." sqref="AA7" xr:uid="{23B4CD80-4B3D-764F-89E2-735B2694958E}"/>
    <dataValidation allowBlank="1" showInputMessage="1" showErrorMessage="1" promptTitle="DQ Operate: Orchestrate" prompt="Automating and orchestrating sequences of data quality tasks in ADM-M." sqref="AB7" xr:uid="{D8473E58-4E79-DF48-A310-C697376356F1}"/>
    <dataValidation allowBlank="1" showInputMessage="1" showErrorMessage="1" promptTitle="Data Prep: Collect" prompt="Gathering and organizing source system data for further processing and data quality activities." sqref="J7" xr:uid="{EE06459A-DEFE-3A46-940B-374A0D0D32BB}"/>
    <dataValidation allowBlank="1" showInputMessage="1" showErrorMessage="1" promptTitle="Data Prep: Transform/Relevancy" prompt="Applying transformations and logic to ensure data is relevant and accurate for data quality." sqref="K7" xr:uid="{5CA2432E-845B-F849-A396-9F5D84178A0E}"/>
    <dataValidation allowBlank="1" showInputMessage="1" showErrorMessage="1" promptTitle="DQ Dev: SQL (Within ADM-M)" prompt="Designing SQL views to facilitate data profiling, cleansing, and transformation during data quality." sqref="V7" xr:uid="{176C1793-FDF2-7F49-901E-2D1FD0FACEF3}"/>
    <dataValidation allowBlank="1" showInputMessage="1" showErrorMessage="1" promptTitle="Data Prep: Migrate/Relevancy" prompt="Assessing and preparing data objects for data quality, focusing on relevance and data scope." sqref="U7" xr:uid="{11EF8762-8E85-8F42-9F67-F904BCE119D8}"/>
    <dataValidation allowBlank="1" showInputMessage="1" showErrorMessage="1" promptTitle="Data Prep: Replicate/Snapshot" prompt="Creating and managing data replicas and snapshots to preserve source data state for data quality." sqref="T7" xr:uid="{778B7F25-4ED6-4D4A-9030-081C880A79C8}"/>
  </dataValidations>
  <pageMargins left="0.7" right="0.7" top="0.75" bottom="0.75" header="0.3" footer="0.3"/>
  <pageSetup paperSize="9" orientation="portrait" horizontalDpi="0" verticalDpi="0"/>
  <drawing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B40C2-4EFE-46AB-85BB-82D699F755C9}">
  <sheetPr codeName="Sheet8"/>
  <dimension ref="A2:CP64"/>
  <sheetViews>
    <sheetView topLeftCell="AV1" workbookViewId="0">
      <selection activeCell="A2" sqref="A2"/>
    </sheetView>
  </sheetViews>
  <sheetFormatPr defaultColWidth="11.19921875" defaultRowHeight="15.95"/>
  <cols>
    <col min="1" max="1" width="6.3984375" bestFit="1" customWidth="1"/>
    <col min="2" max="2" width="16.3984375" bestFit="1" customWidth="1"/>
    <col min="3" max="3" width="15" bestFit="1" customWidth="1"/>
    <col min="4" max="4" width="9.69921875" bestFit="1" customWidth="1"/>
    <col min="5" max="5" width="13.09765625" bestFit="1" customWidth="1"/>
    <col min="6" max="6" width="12.8984375" bestFit="1" customWidth="1"/>
    <col min="7" max="7" width="10.69921875" bestFit="1" customWidth="1"/>
    <col min="8" max="8" width="14.3984375" bestFit="1" customWidth="1"/>
    <col min="9" max="9" width="5" bestFit="1" customWidth="1"/>
    <col min="10" max="11" width="5.296875" bestFit="1" customWidth="1"/>
    <col min="12" max="12" width="5.3984375" bestFit="1" customWidth="1"/>
    <col min="13" max="15" width="5.296875" bestFit="1" customWidth="1"/>
    <col min="16" max="16" width="5.3984375" bestFit="1" customWidth="1"/>
    <col min="17" max="17" width="5.296875" bestFit="1" customWidth="1"/>
    <col min="18" max="18" width="6.09765625" bestFit="1" customWidth="1"/>
    <col min="19" max="19" width="5" bestFit="1" customWidth="1"/>
    <col min="20" max="21" width="5.296875" bestFit="1" customWidth="1"/>
    <col min="22" max="22" width="5.3984375" bestFit="1" customWidth="1"/>
    <col min="23" max="25" width="5.296875" bestFit="1" customWidth="1"/>
    <col min="26" max="26" width="5.3984375" bestFit="1" customWidth="1"/>
    <col min="27" max="27" width="5.296875" bestFit="1" customWidth="1"/>
    <col min="28" max="28" width="6.09765625" bestFit="1" customWidth="1"/>
    <col min="29" max="29" width="5" bestFit="1" customWidth="1"/>
    <col min="30" max="31" width="5.296875" bestFit="1" customWidth="1"/>
    <col min="32" max="32" width="5.3984375" bestFit="1" customWidth="1"/>
    <col min="33" max="33" width="5.296875" bestFit="1" customWidth="1"/>
    <col min="34" max="34" width="5.09765625" bestFit="1" customWidth="1"/>
    <col min="35" max="36" width="5.3984375" bestFit="1" customWidth="1"/>
    <col min="37" max="37" width="5.59765625" bestFit="1" customWidth="1"/>
    <col min="38" max="38" width="5.3984375" bestFit="1" customWidth="1"/>
    <col min="39" max="39" width="5" bestFit="1" customWidth="1"/>
    <col min="40" max="41" width="5.296875" bestFit="1" customWidth="1"/>
    <col min="42" max="42" width="5.3984375" bestFit="1" customWidth="1"/>
    <col min="43" max="43" width="5.296875" bestFit="1" customWidth="1"/>
    <col min="44" max="44" width="5" bestFit="1" customWidth="1"/>
    <col min="45" max="46" width="5.09765625" bestFit="1" customWidth="1"/>
    <col min="47" max="47" width="5.296875" bestFit="1" customWidth="1"/>
    <col min="48" max="50" width="5.09765625" bestFit="1" customWidth="1"/>
    <col min="51" max="51" width="5.296875" bestFit="1" customWidth="1"/>
    <col min="52" max="52" width="5.09765625" bestFit="1" customWidth="1"/>
    <col min="53" max="53" width="6" bestFit="1" customWidth="1"/>
    <col min="54" max="54" width="5.09765625" bestFit="1" customWidth="1"/>
    <col min="55" max="56" width="5.3984375" bestFit="1" customWidth="1"/>
    <col min="57" max="57" width="5.59765625" bestFit="1" customWidth="1"/>
    <col min="58" max="60" width="5.3984375" bestFit="1" customWidth="1"/>
    <col min="61" max="61" width="5.59765625" bestFit="1" customWidth="1"/>
    <col min="62" max="62" width="5.3984375" bestFit="1" customWidth="1"/>
    <col min="63" max="63" width="6.296875" bestFit="1" customWidth="1"/>
    <col min="64" max="64" width="5.8984375" bestFit="1" customWidth="1"/>
    <col min="65" max="66" width="6.09765625" bestFit="1" customWidth="1"/>
    <col min="67" max="67" width="6.296875" bestFit="1" customWidth="1"/>
    <col min="68" max="70" width="6.09765625" bestFit="1" customWidth="1"/>
    <col min="71" max="71" width="6.296875" bestFit="1" customWidth="1"/>
    <col min="72" max="72" width="6.09765625" bestFit="1" customWidth="1"/>
    <col min="73" max="73" width="6.59765625" bestFit="1" customWidth="1"/>
    <col min="74" max="74" width="6.09765625" bestFit="1" customWidth="1"/>
    <col min="75" max="76" width="6.3984375" bestFit="1" customWidth="1"/>
    <col min="77" max="77" width="6.59765625" bestFit="1" customWidth="1"/>
    <col min="78" max="80" width="6.3984375" bestFit="1" customWidth="1"/>
    <col min="81" max="81" width="6.59765625" bestFit="1" customWidth="1"/>
    <col min="82" max="82" width="6.3984375" bestFit="1" customWidth="1"/>
    <col min="83" max="83" width="6.59765625" bestFit="1" customWidth="1"/>
    <col min="84" max="84" width="6.09765625" bestFit="1" customWidth="1"/>
    <col min="85" max="86" width="6.3984375" bestFit="1" customWidth="1"/>
    <col min="87" max="87" width="6.59765625" bestFit="1" customWidth="1"/>
    <col min="88" max="88" width="6.3984375" bestFit="1" customWidth="1"/>
    <col min="89" max="89" width="5.09765625" bestFit="1" customWidth="1"/>
    <col min="90" max="91" width="5.3984375" bestFit="1" customWidth="1"/>
    <col min="92" max="92" width="5.59765625" bestFit="1" customWidth="1"/>
    <col min="93" max="94" width="5.3984375" bestFit="1" customWidth="1"/>
  </cols>
  <sheetData>
    <row r="2" spans="1:94">
      <c r="A2" t="s">
        <v>75</v>
      </c>
      <c r="B2" t="s">
        <v>156</v>
      </c>
      <c r="C2" t="s">
        <v>157</v>
      </c>
      <c r="D2" t="s">
        <v>158</v>
      </c>
      <c r="E2" t="s">
        <v>159</v>
      </c>
      <c r="F2" t="s">
        <v>160</v>
      </c>
      <c r="G2" t="s">
        <v>161</v>
      </c>
      <c r="H2" t="s">
        <v>162</v>
      </c>
      <c r="I2" t="s">
        <v>76</v>
      </c>
      <c r="J2" t="s">
        <v>77</v>
      </c>
      <c r="K2" t="s">
        <v>78</v>
      </c>
      <c r="L2" t="s">
        <v>79</v>
      </c>
      <c r="M2" t="s">
        <v>80</v>
      </c>
      <c r="N2" t="s">
        <v>81</v>
      </c>
      <c r="O2" t="s">
        <v>82</v>
      </c>
      <c r="P2" t="s">
        <v>83</v>
      </c>
      <c r="Q2" t="s">
        <v>84</v>
      </c>
      <c r="R2" t="s">
        <v>85</v>
      </c>
      <c r="S2" t="s">
        <v>86</v>
      </c>
      <c r="T2" t="s">
        <v>87</v>
      </c>
      <c r="U2" t="s">
        <v>88</v>
      </c>
      <c r="V2" t="s">
        <v>89</v>
      </c>
      <c r="W2" t="s">
        <v>90</v>
      </c>
      <c r="X2" t="s">
        <v>91</v>
      </c>
      <c r="Y2" t="s">
        <v>92</v>
      </c>
      <c r="Z2" t="s">
        <v>93</v>
      </c>
      <c r="AA2" t="s">
        <v>94</v>
      </c>
      <c r="AB2" t="s">
        <v>95</v>
      </c>
      <c r="AC2" t="s">
        <v>96</v>
      </c>
      <c r="AD2" t="s">
        <v>31</v>
      </c>
      <c r="AE2" t="s">
        <v>30</v>
      </c>
      <c r="AF2" t="s">
        <v>97</v>
      </c>
      <c r="AG2" t="s">
        <v>98</v>
      </c>
      <c r="AH2" t="s">
        <v>99</v>
      </c>
      <c r="AI2" t="s">
        <v>100</v>
      </c>
      <c r="AJ2" t="s">
        <v>101</v>
      </c>
      <c r="AK2" t="s">
        <v>102</v>
      </c>
      <c r="AL2" t="s">
        <v>103</v>
      </c>
      <c r="AM2" t="s">
        <v>104</v>
      </c>
      <c r="AN2" t="s">
        <v>105</v>
      </c>
      <c r="AO2" t="s">
        <v>106</v>
      </c>
      <c r="AP2" t="s">
        <v>107</v>
      </c>
      <c r="AQ2" t="s">
        <v>108</v>
      </c>
      <c r="AR2" t="s">
        <v>109</v>
      </c>
      <c r="AS2" t="s">
        <v>110</v>
      </c>
      <c r="AT2" t="s">
        <v>111</v>
      </c>
      <c r="AU2" t="s">
        <v>112</v>
      </c>
      <c r="AV2" t="s">
        <v>113</v>
      </c>
      <c r="AW2" t="s">
        <v>114</v>
      </c>
      <c r="AX2" t="s">
        <v>115</v>
      </c>
      <c r="AY2" t="s">
        <v>116</v>
      </c>
      <c r="AZ2" t="s">
        <v>117</v>
      </c>
      <c r="BA2" t="s">
        <v>118</v>
      </c>
      <c r="BB2" t="s">
        <v>119</v>
      </c>
      <c r="BC2" t="s">
        <v>120</v>
      </c>
      <c r="BD2" t="s">
        <v>121</v>
      </c>
      <c r="BE2" t="s">
        <v>122</v>
      </c>
      <c r="BF2" t="s">
        <v>123</v>
      </c>
      <c r="BG2" t="s">
        <v>124</v>
      </c>
      <c r="BH2" t="s">
        <v>125</v>
      </c>
      <c r="BI2" t="s">
        <v>126</v>
      </c>
      <c r="BJ2" t="s">
        <v>127</v>
      </c>
      <c r="BK2" t="s">
        <v>128</v>
      </c>
      <c r="BL2" t="s">
        <v>129</v>
      </c>
      <c r="BM2" t="s">
        <v>130</v>
      </c>
      <c r="BN2" t="s">
        <v>131</v>
      </c>
      <c r="BO2" t="s">
        <v>132</v>
      </c>
      <c r="BP2" t="s">
        <v>133</v>
      </c>
      <c r="BQ2" t="s">
        <v>134</v>
      </c>
      <c r="BR2" t="s">
        <v>135</v>
      </c>
      <c r="BS2" t="s">
        <v>136</v>
      </c>
      <c r="BT2" t="s">
        <v>137</v>
      </c>
      <c r="BU2" t="s">
        <v>138</v>
      </c>
      <c r="BV2" t="s">
        <v>139</v>
      </c>
      <c r="BW2" t="s">
        <v>140</v>
      </c>
      <c r="BX2" t="s">
        <v>141</v>
      </c>
      <c r="BY2" t="s">
        <v>142</v>
      </c>
      <c r="BZ2" t="s">
        <v>143</v>
      </c>
      <c r="CA2" t="s">
        <v>144</v>
      </c>
      <c r="CB2" t="s">
        <v>145</v>
      </c>
      <c r="CC2" t="s">
        <v>146</v>
      </c>
      <c r="CD2" t="s">
        <v>147</v>
      </c>
      <c r="CE2" t="s">
        <v>148</v>
      </c>
      <c r="CF2" t="s">
        <v>149</v>
      </c>
      <c r="CG2" t="s">
        <v>150</v>
      </c>
      <c r="CH2" t="s">
        <v>151</v>
      </c>
      <c r="CI2" t="s">
        <v>152</v>
      </c>
      <c r="CJ2" t="s">
        <v>153</v>
      </c>
      <c r="CK2" t="s">
        <v>335</v>
      </c>
      <c r="CL2" t="s">
        <v>336</v>
      </c>
      <c r="CM2" t="s">
        <v>337</v>
      </c>
      <c r="CN2" t="s">
        <v>338</v>
      </c>
      <c r="CO2" t="s">
        <v>339</v>
      </c>
      <c r="CP2" t="s">
        <v>340</v>
      </c>
    </row>
    <row r="3" spans="1:94">
      <c r="A3" t="s">
        <v>255</v>
      </c>
      <c r="B3" t="s">
        <v>256</v>
      </c>
      <c r="C3" t="s">
        <v>257</v>
      </c>
      <c r="D3" t="s">
        <v>31</v>
      </c>
      <c r="E3" t="s">
        <v>246</v>
      </c>
      <c r="I3">
        <v>3</v>
      </c>
      <c r="J3">
        <v>2</v>
      </c>
      <c r="K3">
        <v>2</v>
      </c>
      <c r="L3">
        <v>2</v>
      </c>
      <c r="M3">
        <v>2</v>
      </c>
      <c r="N3">
        <v>2</v>
      </c>
      <c r="O3">
        <v>2</v>
      </c>
      <c r="P3">
        <v>1</v>
      </c>
      <c r="Q3">
        <v>1</v>
      </c>
      <c r="R3">
        <v>2</v>
      </c>
      <c r="S3">
        <v>2</v>
      </c>
      <c r="T3">
        <v>2</v>
      </c>
      <c r="U3">
        <v>2</v>
      </c>
      <c r="V3">
        <v>2</v>
      </c>
      <c r="W3">
        <v>2</v>
      </c>
      <c r="X3">
        <v>1</v>
      </c>
      <c r="Y3">
        <v>2</v>
      </c>
      <c r="Z3">
        <v>2</v>
      </c>
      <c r="AA3">
        <v>2</v>
      </c>
      <c r="AB3">
        <v>2</v>
      </c>
      <c r="AC3">
        <v>2</v>
      </c>
      <c r="AD3">
        <v>2</v>
      </c>
      <c r="AE3">
        <v>2</v>
      </c>
      <c r="AF3">
        <v>2</v>
      </c>
      <c r="AG3">
        <v>1</v>
      </c>
      <c r="AH3">
        <v>1</v>
      </c>
      <c r="AI3">
        <v>2</v>
      </c>
      <c r="AJ3">
        <v>2</v>
      </c>
      <c r="AK3">
        <v>2</v>
      </c>
      <c r="AL3">
        <v>2</v>
      </c>
      <c r="AM3">
        <v>2</v>
      </c>
      <c r="AN3">
        <v>2</v>
      </c>
      <c r="AO3">
        <v>1</v>
      </c>
      <c r="AP3">
        <v>2</v>
      </c>
      <c r="AQ3">
        <v>2</v>
      </c>
      <c r="AR3">
        <v>2</v>
      </c>
      <c r="AS3">
        <v>2</v>
      </c>
      <c r="AT3">
        <v>2</v>
      </c>
      <c r="AU3">
        <v>2</v>
      </c>
      <c r="AV3">
        <v>2</v>
      </c>
      <c r="AW3">
        <v>2</v>
      </c>
      <c r="AX3">
        <v>1</v>
      </c>
      <c r="AY3">
        <v>1</v>
      </c>
      <c r="AZ3">
        <v>2</v>
      </c>
      <c r="BA3">
        <v>2</v>
      </c>
      <c r="BB3">
        <v>2</v>
      </c>
      <c r="BC3">
        <v>2</v>
      </c>
      <c r="BD3">
        <v>2</v>
      </c>
      <c r="BE3">
        <v>2</v>
      </c>
      <c r="BF3">
        <v>1</v>
      </c>
      <c r="BG3">
        <v>2</v>
      </c>
      <c r="BH3">
        <v>2</v>
      </c>
      <c r="BI3">
        <v>2</v>
      </c>
      <c r="BJ3">
        <v>2</v>
      </c>
      <c r="BK3">
        <v>2</v>
      </c>
      <c r="BL3">
        <v>2</v>
      </c>
      <c r="BM3">
        <v>2</v>
      </c>
      <c r="BN3">
        <v>2</v>
      </c>
      <c r="BO3">
        <v>1</v>
      </c>
      <c r="BP3">
        <v>1</v>
      </c>
      <c r="BQ3">
        <v>2</v>
      </c>
      <c r="BR3">
        <v>2</v>
      </c>
      <c r="BS3">
        <v>2</v>
      </c>
      <c r="BT3">
        <v>2</v>
      </c>
      <c r="BU3">
        <v>2</v>
      </c>
      <c r="BV3">
        <v>2</v>
      </c>
      <c r="BW3">
        <v>1</v>
      </c>
      <c r="BX3">
        <v>2</v>
      </c>
      <c r="BY3">
        <v>3</v>
      </c>
      <c r="BZ3">
        <v>4</v>
      </c>
      <c r="CA3">
        <v>4</v>
      </c>
      <c r="CB3">
        <v>4</v>
      </c>
      <c r="CC3">
        <v>4</v>
      </c>
      <c r="CD3">
        <v>4</v>
      </c>
      <c r="CE3">
        <v>5</v>
      </c>
      <c r="CF3">
        <v>5</v>
      </c>
      <c r="CG3">
        <v>5</v>
      </c>
      <c r="CH3">
        <v>5</v>
      </c>
      <c r="CI3">
        <v>5</v>
      </c>
      <c r="CJ3">
        <v>5</v>
      </c>
    </row>
    <row r="4" spans="1:94" ht="19.5" hidden="1">
      <c r="A4" t="s">
        <v>275</v>
      </c>
      <c r="B4" t="s">
        <v>276</v>
      </c>
      <c r="C4" t="s">
        <v>277</v>
      </c>
      <c r="D4" t="s">
        <v>31</v>
      </c>
      <c r="E4" t="s">
        <v>246</v>
      </c>
      <c r="I4">
        <v>2</v>
      </c>
      <c r="J4">
        <v>2</v>
      </c>
      <c r="K4">
        <v>2</v>
      </c>
      <c r="L4">
        <v>2</v>
      </c>
      <c r="M4">
        <v>2</v>
      </c>
      <c r="N4">
        <v>2</v>
      </c>
      <c r="O4">
        <v>2</v>
      </c>
      <c r="P4">
        <v>1</v>
      </c>
      <c r="Q4">
        <v>1</v>
      </c>
      <c r="R4">
        <v>2</v>
      </c>
      <c r="S4">
        <v>2</v>
      </c>
      <c r="T4">
        <v>2</v>
      </c>
      <c r="U4">
        <v>2</v>
      </c>
      <c r="V4">
        <v>2</v>
      </c>
      <c r="W4">
        <v>2</v>
      </c>
      <c r="X4">
        <v>1</v>
      </c>
      <c r="Y4">
        <v>2</v>
      </c>
      <c r="Z4">
        <v>2</v>
      </c>
      <c r="AA4">
        <v>2</v>
      </c>
      <c r="AB4">
        <v>2</v>
      </c>
      <c r="AC4">
        <v>2</v>
      </c>
      <c r="AD4">
        <v>2</v>
      </c>
      <c r="AE4">
        <v>2</v>
      </c>
      <c r="AF4">
        <v>2</v>
      </c>
      <c r="AG4">
        <v>1</v>
      </c>
      <c r="AH4">
        <v>1</v>
      </c>
      <c r="AI4">
        <v>2</v>
      </c>
      <c r="AJ4">
        <v>2</v>
      </c>
      <c r="AK4">
        <v>2</v>
      </c>
      <c r="AL4">
        <v>2</v>
      </c>
      <c r="AM4">
        <v>2</v>
      </c>
      <c r="AN4">
        <v>2</v>
      </c>
      <c r="AO4">
        <v>1</v>
      </c>
      <c r="AP4">
        <v>2</v>
      </c>
      <c r="AQ4">
        <v>2</v>
      </c>
      <c r="AR4">
        <v>2</v>
      </c>
      <c r="AS4">
        <v>2</v>
      </c>
      <c r="AT4">
        <v>2</v>
      </c>
      <c r="AU4">
        <v>2</v>
      </c>
      <c r="AV4">
        <v>2</v>
      </c>
      <c r="AW4">
        <v>2</v>
      </c>
      <c r="AX4">
        <v>1</v>
      </c>
      <c r="AY4">
        <v>1</v>
      </c>
      <c r="AZ4">
        <v>2</v>
      </c>
      <c r="BA4">
        <v>2</v>
      </c>
      <c r="BB4">
        <v>2</v>
      </c>
      <c r="BC4">
        <v>2</v>
      </c>
      <c r="BD4">
        <v>2</v>
      </c>
      <c r="BE4">
        <v>2</v>
      </c>
      <c r="BF4">
        <v>1</v>
      </c>
      <c r="BG4">
        <v>2</v>
      </c>
      <c r="BH4">
        <v>2</v>
      </c>
      <c r="BI4">
        <v>2</v>
      </c>
      <c r="BJ4">
        <v>2</v>
      </c>
      <c r="BK4">
        <v>2</v>
      </c>
      <c r="BL4">
        <v>2</v>
      </c>
      <c r="BM4">
        <v>2</v>
      </c>
      <c r="BN4">
        <v>2</v>
      </c>
      <c r="BO4">
        <v>1</v>
      </c>
      <c r="BP4">
        <v>1</v>
      </c>
      <c r="BQ4">
        <v>2</v>
      </c>
      <c r="BR4">
        <v>2</v>
      </c>
      <c r="BS4">
        <v>2</v>
      </c>
      <c r="BT4">
        <v>2</v>
      </c>
      <c r="BU4">
        <v>2</v>
      </c>
      <c r="BV4">
        <v>2</v>
      </c>
      <c r="BW4">
        <v>1</v>
      </c>
      <c r="BX4">
        <v>2</v>
      </c>
      <c r="BY4">
        <v>3</v>
      </c>
      <c r="BZ4">
        <v>4</v>
      </c>
      <c r="CA4">
        <v>4</v>
      </c>
      <c r="CB4">
        <v>4</v>
      </c>
      <c r="CC4">
        <v>4</v>
      </c>
      <c r="CD4">
        <v>4</v>
      </c>
      <c r="CE4">
        <v>5</v>
      </c>
      <c r="CF4">
        <v>5</v>
      </c>
      <c r="CG4">
        <v>5</v>
      </c>
      <c r="CH4">
        <v>5</v>
      </c>
      <c r="CI4">
        <v>5</v>
      </c>
      <c r="CJ4">
        <v>5</v>
      </c>
    </row>
    <row r="5" spans="1:94">
      <c r="A5" t="s">
        <v>260</v>
      </c>
      <c r="B5" t="s">
        <v>256</v>
      </c>
      <c r="C5" t="s">
        <v>261</v>
      </c>
      <c r="D5" t="s">
        <v>30</v>
      </c>
      <c r="E5" t="s">
        <v>246</v>
      </c>
      <c r="I5">
        <v>2</v>
      </c>
      <c r="J5">
        <v>2</v>
      </c>
      <c r="K5">
        <v>2</v>
      </c>
      <c r="L5">
        <v>2</v>
      </c>
      <c r="M5">
        <v>2</v>
      </c>
      <c r="N5">
        <v>2</v>
      </c>
      <c r="O5">
        <v>2</v>
      </c>
      <c r="P5">
        <v>1</v>
      </c>
      <c r="Q5">
        <v>1</v>
      </c>
      <c r="R5">
        <v>2</v>
      </c>
      <c r="S5">
        <v>2</v>
      </c>
      <c r="T5">
        <v>2</v>
      </c>
      <c r="U5">
        <v>2</v>
      </c>
      <c r="V5">
        <v>2</v>
      </c>
      <c r="W5">
        <v>2</v>
      </c>
      <c r="X5">
        <v>1</v>
      </c>
      <c r="Y5">
        <v>2</v>
      </c>
      <c r="Z5">
        <v>2</v>
      </c>
      <c r="AA5">
        <v>2</v>
      </c>
      <c r="AB5">
        <v>2</v>
      </c>
      <c r="AC5">
        <v>2</v>
      </c>
      <c r="AD5">
        <v>2</v>
      </c>
      <c r="AE5">
        <v>2</v>
      </c>
      <c r="AF5">
        <v>2</v>
      </c>
      <c r="AG5">
        <v>1</v>
      </c>
      <c r="AH5">
        <v>1</v>
      </c>
      <c r="AI5">
        <v>2</v>
      </c>
      <c r="AJ5">
        <v>2</v>
      </c>
      <c r="AK5">
        <v>2</v>
      </c>
      <c r="AL5">
        <v>2</v>
      </c>
      <c r="AM5">
        <v>2</v>
      </c>
      <c r="AN5">
        <v>2</v>
      </c>
      <c r="AO5">
        <v>1</v>
      </c>
      <c r="AP5">
        <v>2</v>
      </c>
      <c r="AQ5">
        <v>2</v>
      </c>
      <c r="AR5">
        <v>2</v>
      </c>
      <c r="AS5">
        <v>2</v>
      </c>
      <c r="AT5">
        <v>2</v>
      </c>
      <c r="AU5">
        <v>2</v>
      </c>
      <c r="AV5">
        <v>2</v>
      </c>
      <c r="AW5">
        <v>2</v>
      </c>
      <c r="AX5">
        <v>1</v>
      </c>
      <c r="AY5">
        <v>1</v>
      </c>
      <c r="AZ5">
        <v>2</v>
      </c>
      <c r="BA5">
        <v>2</v>
      </c>
      <c r="BB5">
        <v>2</v>
      </c>
      <c r="BC5">
        <v>2</v>
      </c>
      <c r="BD5">
        <v>2</v>
      </c>
      <c r="BE5">
        <v>2</v>
      </c>
      <c r="BF5">
        <v>1</v>
      </c>
      <c r="BG5">
        <v>2</v>
      </c>
      <c r="BH5">
        <v>2</v>
      </c>
      <c r="BI5">
        <v>2</v>
      </c>
      <c r="BJ5">
        <v>2</v>
      </c>
      <c r="BK5">
        <v>2</v>
      </c>
      <c r="BL5">
        <v>2</v>
      </c>
      <c r="BM5">
        <v>2</v>
      </c>
      <c r="BN5">
        <v>2</v>
      </c>
      <c r="BO5">
        <v>1</v>
      </c>
      <c r="BP5">
        <v>1</v>
      </c>
      <c r="BQ5">
        <v>2</v>
      </c>
      <c r="BR5">
        <v>2</v>
      </c>
      <c r="BS5">
        <v>2</v>
      </c>
      <c r="BT5">
        <v>2</v>
      </c>
      <c r="BU5">
        <v>2</v>
      </c>
      <c r="BV5">
        <v>2</v>
      </c>
      <c r="BW5">
        <v>1</v>
      </c>
      <c r="BX5">
        <v>2</v>
      </c>
      <c r="BY5">
        <v>3</v>
      </c>
      <c r="BZ5">
        <v>4</v>
      </c>
      <c r="CA5">
        <v>4</v>
      </c>
      <c r="CB5">
        <v>4</v>
      </c>
      <c r="CC5">
        <v>4</v>
      </c>
      <c r="CD5">
        <v>4</v>
      </c>
      <c r="CE5">
        <v>5</v>
      </c>
      <c r="CF5">
        <v>5</v>
      </c>
      <c r="CG5">
        <v>5</v>
      </c>
      <c r="CH5">
        <v>5</v>
      </c>
      <c r="CI5">
        <v>5</v>
      </c>
      <c r="CJ5">
        <v>5</v>
      </c>
    </row>
    <row r="6" spans="1:94" ht="19.5" hidden="1">
      <c r="A6" t="s">
        <v>289</v>
      </c>
      <c r="B6" t="s">
        <v>290</v>
      </c>
      <c r="C6" t="s">
        <v>291</v>
      </c>
      <c r="D6" t="s">
        <v>30</v>
      </c>
      <c r="E6" t="s">
        <v>246</v>
      </c>
      <c r="I6">
        <v>2</v>
      </c>
      <c r="J6">
        <v>2</v>
      </c>
      <c r="K6">
        <v>2</v>
      </c>
      <c r="L6">
        <v>2</v>
      </c>
      <c r="M6">
        <v>2</v>
      </c>
      <c r="N6">
        <v>2</v>
      </c>
      <c r="O6">
        <v>2</v>
      </c>
      <c r="P6">
        <v>1</v>
      </c>
      <c r="Q6">
        <v>1</v>
      </c>
      <c r="R6">
        <v>2</v>
      </c>
      <c r="S6">
        <v>2</v>
      </c>
      <c r="T6">
        <v>2</v>
      </c>
      <c r="U6">
        <v>2</v>
      </c>
      <c r="V6">
        <v>2</v>
      </c>
      <c r="W6">
        <v>2</v>
      </c>
      <c r="X6">
        <v>1</v>
      </c>
      <c r="Y6">
        <v>2</v>
      </c>
      <c r="Z6">
        <v>2</v>
      </c>
      <c r="AA6">
        <v>2</v>
      </c>
      <c r="AB6">
        <v>2</v>
      </c>
      <c r="AC6">
        <v>2</v>
      </c>
      <c r="AD6">
        <v>2</v>
      </c>
      <c r="AE6">
        <v>2</v>
      </c>
      <c r="AF6">
        <v>2</v>
      </c>
      <c r="AG6">
        <v>1</v>
      </c>
      <c r="AH6">
        <v>1</v>
      </c>
      <c r="AI6">
        <v>2</v>
      </c>
      <c r="AJ6">
        <v>2</v>
      </c>
      <c r="AK6">
        <v>2</v>
      </c>
      <c r="AL6">
        <v>2</v>
      </c>
      <c r="AM6">
        <v>2</v>
      </c>
      <c r="AN6">
        <v>2</v>
      </c>
      <c r="AO6">
        <v>1</v>
      </c>
      <c r="AP6">
        <v>2</v>
      </c>
      <c r="AQ6">
        <v>2</v>
      </c>
      <c r="AR6">
        <v>2</v>
      </c>
      <c r="AS6">
        <v>2</v>
      </c>
      <c r="AT6">
        <v>2</v>
      </c>
      <c r="AU6">
        <v>2</v>
      </c>
      <c r="AV6">
        <v>2</v>
      </c>
      <c r="AW6">
        <v>2</v>
      </c>
      <c r="AX6">
        <v>1</v>
      </c>
      <c r="AY6">
        <v>1</v>
      </c>
      <c r="AZ6">
        <v>2</v>
      </c>
      <c r="BA6">
        <v>2</v>
      </c>
      <c r="BB6">
        <v>2</v>
      </c>
      <c r="BC6">
        <v>2</v>
      </c>
      <c r="BD6">
        <v>2</v>
      </c>
      <c r="BE6">
        <v>2</v>
      </c>
      <c r="BF6">
        <v>1</v>
      </c>
      <c r="BG6">
        <v>2</v>
      </c>
      <c r="BH6">
        <v>2</v>
      </c>
      <c r="BI6">
        <v>2</v>
      </c>
      <c r="BJ6">
        <v>2</v>
      </c>
      <c r="BK6">
        <v>2</v>
      </c>
      <c r="BL6">
        <v>2</v>
      </c>
      <c r="BM6">
        <v>2</v>
      </c>
      <c r="BN6">
        <v>2</v>
      </c>
      <c r="BO6">
        <v>1</v>
      </c>
      <c r="BP6">
        <v>1</v>
      </c>
      <c r="BQ6">
        <v>2</v>
      </c>
      <c r="BR6">
        <v>2</v>
      </c>
      <c r="BS6">
        <v>2</v>
      </c>
      <c r="BT6">
        <v>2</v>
      </c>
      <c r="BU6">
        <v>2</v>
      </c>
      <c r="BV6">
        <v>2</v>
      </c>
      <c r="BW6">
        <v>1</v>
      </c>
      <c r="BX6">
        <v>2</v>
      </c>
      <c r="BY6">
        <v>3</v>
      </c>
      <c r="BZ6">
        <v>4</v>
      </c>
      <c r="CA6">
        <v>4</v>
      </c>
      <c r="CB6">
        <v>4</v>
      </c>
      <c r="CC6">
        <v>4</v>
      </c>
      <c r="CD6">
        <v>4</v>
      </c>
      <c r="CE6">
        <v>5</v>
      </c>
      <c r="CF6">
        <v>5</v>
      </c>
      <c r="CG6">
        <v>5</v>
      </c>
      <c r="CH6">
        <v>5</v>
      </c>
      <c r="CI6">
        <v>5</v>
      </c>
      <c r="CJ6">
        <v>5</v>
      </c>
    </row>
    <row r="7" spans="1:94" ht="19.5" hidden="1">
      <c r="A7" t="s">
        <v>265</v>
      </c>
      <c r="B7" t="s">
        <v>266</v>
      </c>
      <c r="C7" t="s">
        <v>267</v>
      </c>
      <c r="D7" t="s">
        <v>30</v>
      </c>
      <c r="E7" t="s">
        <v>246</v>
      </c>
      <c r="I7">
        <v>2</v>
      </c>
      <c r="J7">
        <v>2</v>
      </c>
      <c r="K7">
        <v>2</v>
      </c>
      <c r="L7">
        <v>2</v>
      </c>
      <c r="M7">
        <v>2</v>
      </c>
      <c r="N7">
        <v>2</v>
      </c>
      <c r="O7">
        <v>2</v>
      </c>
      <c r="P7">
        <v>1</v>
      </c>
      <c r="Q7">
        <v>1</v>
      </c>
      <c r="R7">
        <v>2</v>
      </c>
      <c r="S7">
        <v>2</v>
      </c>
      <c r="T7">
        <v>2</v>
      </c>
      <c r="U7">
        <v>2</v>
      </c>
      <c r="V7">
        <v>2</v>
      </c>
      <c r="W7">
        <v>2</v>
      </c>
      <c r="X7">
        <v>1</v>
      </c>
      <c r="Y7">
        <v>2</v>
      </c>
      <c r="Z7">
        <v>2</v>
      </c>
      <c r="AA7">
        <v>2</v>
      </c>
      <c r="AB7">
        <v>2</v>
      </c>
      <c r="AC7">
        <v>2</v>
      </c>
      <c r="AD7">
        <v>2</v>
      </c>
      <c r="AE7">
        <v>2</v>
      </c>
      <c r="AF7">
        <v>2</v>
      </c>
      <c r="AG7">
        <v>1</v>
      </c>
      <c r="AH7">
        <v>1</v>
      </c>
      <c r="AI7">
        <v>2</v>
      </c>
      <c r="AJ7">
        <v>2</v>
      </c>
      <c r="AK7">
        <v>2</v>
      </c>
      <c r="AL7">
        <v>2</v>
      </c>
      <c r="AM7">
        <v>2</v>
      </c>
      <c r="AN7">
        <v>2</v>
      </c>
      <c r="AO7">
        <v>1</v>
      </c>
      <c r="AP7">
        <v>2</v>
      </c>
      <c r="AQ7">
        <v>2</v>
      </c>
      <c r="AR7">
        <v>2</v>
      </c>
      <c r="AS7">
        <v>2</v>
      </c>
      <c r="AT7">
        <v>2</v>
      </c>
      <c r="AU7">
        <v>2</v>
      </c>
      <c r="AV7">
        <v>2</v>
      </c>
      <c r="AW7">
        <v>2</v>
      </c>
      <c r="AX7">
        <v>1</v>
      </c>
      <c r="AY7">
        <v>1</v>
      </c>
      <c r="AZ7">
        <v>2</v>
      </c>
      <c r="BA7">
        <v>2</v>
      </c>
      <c r="BB7">
        <v>2</v>
      </c>
      <c r="BC7">
        <v>2</v>
      </c>
      <c r="BD7">
        <v>2</v>
      </c>
      <c r="BE7">
        <v>2</v>
      </c>
      <c r="BF7">
        <v>1</v>
      </c>
      <c r="BG7">
        <v>2</v>
      </c>
      <c r="BH7">
        <v>2</v>
      </c>
      <c r="BI7">
        <v>2</v>
      </c>
      <c r="BJ7">
        <v>2</v>
      </c>
      <c r="BK7">
        <v>2</v>
      </c>
      <c r="BL7">
        <v>2</v>
      </c>
      <c r="BM7">
        <v>2</v>
      </c>
      <c r="BN7">
        <v>2</v>
      </c>
      <c r="BO7">
        <v>1</v>
      </c>
      <c r="BP7">
        <v>1</v>
      </c>
      <c r="BQ7">
        <v>2</v>
      </c>
      <c r="BR7">
        <v>2</v>
      </c>
      <c r="BS7">
        <v>2</v>
      </c>
      <c r="BT7">
        <v>2</v>
      </c>
      <c r="BU7">
        <v>2</v>
      </c>
      <c r="BV7">
        <v>2</v>
      </c>
      <c r="BW7">
        <v>1</v>
      </c>
      <c r="BX7">
        <v>2</v>
      </c>
      <c r="BY7">
        <v>3</v>
      </c>
      <c r="BZ7">
        <v>4</v>
      </c>
      <c r="CA7">
        <v>4</v>
      </c>
      <c r="CB7">
        <v>4</v>
      </c>
      <c r="CC7">
        <v>4</v>
      </c>
      <c r="CD7">
        <v>4</v>
      </c>
      <c r="CE7">
        <v>5</v>
      </c>
      <c r="CF7">
        <v>5</v>
      </c>
      <c r="CG7">
        <v>5</v>
      </c>
      <c r="CH7">
        <v>5</v>
      </c>
      <c r="CI7">
        <v>5</v>
      </c>
      <c r="CJ7">
        <v>5</v>
      </c>
    </row>
    <row r="8" spans="1:94" ht="19.5" hidden="1">
      <c r="A8" t="s">
        <v>317</v>
      </c>
      <c r="B8" t="s">
        <v>318</v>
      </c>
      <c r="C8" t="s">
        <v>319</v>
      </c>
      <c r="D8" t="s">
        <v>30</v>
      </c>
      <c r="E8" t="s">
        <v>246</v>
      </c>
      <c r="I8">
        <v>2</v>
      </c>
      <c r="J8">
        <v>2</v>
      </c>
      <c r="K8">
        <v>2</v>
      </c>
      <c r="L8">
        <v>2</v>
      </c>
      <c r="M8">
        <v>2</v>
      </c>
      <c r="N8">
        <v>2</v>
      </c>
      <c r="O8">
        <v>2</v>
      </c>
      <c r="P8">
        <v>1</v>
      </c>
      <c r="Q8">
        <v>1</v>
      </c>
      <c r="R8">
        <v>2</v>
      </c>
      <c r="S8">
        <v>2</v>
      </c>
      <c r="T8">
        <v>2</v>
      </c>
      <c r="U8">
        <v>2</v>
      </c>
      <c r="V8">
        <v>2</v>
      </c>
      <c r="W8">
        <v>2</v>
      </c>
      <c r="X8">
        <v>1</v>
      </c>
      <c r="Y8">
        <v>2</v>
      </c>
      <c r="Z8">
        <v>2</v>
      </c>
      <c r="AA8">
        <v>2</v>
      </c>
      <c r="AB8">
        <v>2</v>
      </c>
      <c r="AC8">
        <v>2</v>
      </c>
      <c r="AD8">
        <v>2</v>
      </c>
      <c r="AE8">
        <v>2</v>
      </c>
      <c r="AF8">
        <v>2</v>
      </c>
      <c r="AG8">
        <v>1</v>
      </c>
      <c r="AH8">
        <v>1</v>
      </c>
      <c r="AI8">
        <v>2</v>
      </c>
      <c r="AJ8">
        <v>2</v>
      </c>
      <c r="AK8">
        <v>2</v>
      </c>
      <c r="AL8">
        <v>2</v>
      </c>
      <c r="AM8">
        <v>2</v>
      </c>
      <c r="AN8">
        <v>2</v>
      </c>
      <c r="AO8">
        <v>1</v>
      </c>
      <c r="AP8">
        <v>2</v>
      </c>
      <c r="AQ8">
        <v>2</v>
      </c>
      <c r="AR8">
        <v>2</v>
      </c>
      <c r="AS8">
        <v>2</v>
      </c>
      <c r="AT8">
        <v>2</v>
      </c>
      <c r="AU8">
        <v>2</v>
      </c>
      <c r="AV8">
        <v>2</v>
      </c>
      <c r="AW8">
        <v>2</v>
      </c>
      <c r="AX8">
        <v>1</v>
      </c>
      <c r="AY8">
        <v>1</v>
      </c>
      <c r="AZ8">
        <v>2</v>
      </c>
      <c r="BA8">
        <v>2</v>
      </c>
      <c r="BB8">
        <v>2</v>
      </c>
      <c r="BC8">
        <v>2</v>
      </c>
      <c r="BD8">
        <v>2</v>
      </c>
      <c r="BE8">
        <v>2</v>
      </c>
      <c r="BF8">
        <v>1</v>
      </c>
      <c r="BG8">
        <v>2</v>
      </c>
      <c r="BH8">
        <v>2</v>
      </c>
      <c r="BI8">
        <v>2</v>
      </c>
      <c r="BJ8">
        <v>2</v>
      </c>
      <c r="BK8">
        <v>2</v>
      </c>
      <c r="BL8">
        <v>2</v>
      </c>
      <c r="BM8">
        <v>2</v>
      </c>
      <c r="BN8">
        <v>2</v>
      </c>
      <c r="BO8">
        <v>1</v>
      </c>
      <c r="BP8">
        <v>1</v>
      </c>
      <c r="BQ8">
        <v>2</v>
      </c>
      <c r="BR8">
        <v>2</v>
      </c>
      <c r="BS8">
        <v>2</v>
      </c>
      <c r="BT8">
        <v>2</v>
      </c>
      <c r="BU8">
        <v>2</v>
      </c>
      <c r="BV8">
        <v>2</v>
      </c>
      <c r="BW8">
        <v>1</v>
      </c>
      <c r="BX8">
        <v>2</v>
      </c>
      <c r="BY8">
        <v>3</v>
      </c>
      <c r="BZ8">
        <v>4</v>
      </c>
      <c r="CA8">
        <v>4</v>
      </c>
      <c r="CB8">
        <v>4</v>
      </c>
      <c r="CC8">
        <v>4</v>
      </c>
      <c r="CD8">
        <v>4</v>
      </c>
      <c r="CE8">
        <v>5</v>
      </c>
      <c r="CF8">
        <v>5</v>
      </c>
      <c r="CG8">
        <v>5</v>
      </c>
      <c r="CH8">
        <v>5</v>
      </c>
      <c r="CI8">
        <v>5</v>
      </c>
      <c r="CJ8">
        <v>5</v>
      </c>
    </row>
    <row r="9" spans="1:94" ht="19.5" hidden="1">
      <c r="A9" t="s">
        <v>320</v>
      </c>
      <c r="B9" t="s">
        <v>321</v>
      </c>
      <c r="C9" t="s">
        <v>322</v>
      </c>
      <c r="D9" t="s">
        <v>30</v>
      </c>
      <c r="E9" t="s">
        <v>246</v>
      </c>
      <c r="I9">
        <v>1</v>
      </c>
      <c r="J9">
        <v>5</v>
      </c>
      <c r="K9">
        <v>2</v>
      </c>
      <c r="L9">
        <v>5</v>
      </c>
      <c r="M9">
        <v>5</v>
      </c>
      <c r="N9">
        <v>5</v>
      </c>
      <c r="O9">
        <v>5</v>
      </c>
      <c r="P9">
        <v>4</v>
      </c>
      <c r="Q9">
        <v>4</v>
      </c>
      <c r="R9">
        <v>4</v>
      </c>
      <c r="S9">
        <v>4</v>
      </c>
      <c r="T9">
        <v>4</v>
      </c>
      <c r="U9">
        <v>3</v>
      </c>
      <c r="V9">
        <v>3</v>
      </c>
      <c r="W9">
        <v>3</v>
      </c>
      <c r="X9">
        <v>3</v>
      </c>
      <c r="Y9">
        <v>3</v>
      </c>
      <c r="Z9">
        <v>3</v>
      </c>
      <c r="AA9">
        <v>2</v>
      </c>
      <c r="AB9">
        <v>2</v>
      </c>
      <c r="AC9">
        <v>2</v>
      </c>
      <c r="AD9">
        <v>2</v>
      </c>
      <c r="AE9">
        <v>2</v>
      </c>
      <c r="AF9">
        <v>3</v>
      </c>
      <c r="AG9">
        <v>3</v>
      </c>
      <c r="AH9">
        <v>3</v>
      </c>
      <c r="AI9">
        <v>3</v>
      </c>
      <c r="AJ9">
        <v>2</v>
      </c>
      <c r="AK9">
        <v>2</v>
      </c>
      <c r="AL9">
        <v>2</v>
      </c>
      <c r="AM9">
        <v>2</v>
      </c>
      <c r="AN9">
        <v>2</v>
      </c>
      <c r="AO9">
        <v>2</v>
      </c>
      <c r="AP9">
        <v>2</v>
      </c>
      <c r="AQ9">
        <v>2</v>
      </c>
      <c r="AR9">
        <v>2</v>
      </c>
      <c r="AS9">
        <v>2</v>
      </c>
      <c r="AT9">
        <v>2</v>
      </c>
      <c r="AU9">
        <v>2</v>
      </c>
      <c r="AV9">
        <v>2</v>
      </c>
      <c r="AW9">
        <v>2</v>
      </c>
      <c r="AX9">
        <v>2</v>
      </c>
      <c r="AY9">
        <v>2</v>
      </c>
      <c r="AZ9">
        <v>2</v>
      </c>
      <c r="BA9">
        <v>2</v>
      </c>
      <c r="BB9">
        <v>2</v>
      </c>
      <c r="BC9">
        <v>2</v>
      </c>
      <c r="BD9">
        <v>2</v>
      </c>
      <c r="BE9">
        <v>2</v>
      </c>
      <c r="BF9">
        <v>2</v>
      </c>
      <c r="BG9">
        <v>2</v>
      </c>
      <c r="BH9">
        <v>2</v>
      </c>
      <c r="BI9">
        <v>2</v>
      </c>
      <c r="BJ9">
        <v>2</v>
      </c>
      <c r="BK9">
        <v>2</v>
      </c>
      <c r="BL9">
        <v>2</v>
      </c>
      <c r="BM9">
        <v>2</v>
      </c>
      <c r="BN9">
        <v>2</v>
      </c>
      <c r="BO9">
        <v>2</v>
      </c>
      <c r="BP9">
        <v>2</v>
      </c>
      <c r="BQ9">
        <v>2</v>
      </c>
      <c r="BR9">
        <v>2</v>
      </c>
      <c r="BS9">
        <v>2</v>
      </c>
      <c r="BT9">
        <v>2</v>
      </c>
      <c r="BU9">
        <v>2</v>
      </c>
      <c r="BV9">
        <v>2</v>
      </c>
      <c r="BW9">
        <v>2</v>
      </c>
      <c r="BX9">
        <v>2</v>
      </c>
      <c r="BY9">
        <v>2</v>
      </c>
      <c r="BZ9">
        <v>2</v>
      </c>
      <c r="CA9">
        <v>2</v>
      </c>
      <c r="CB9">
        <v>2</v>
      </c>
      <c r="CC9">
        <v>2</v>
      </c>
      <c r="CD9">
        <v>2</v>
      </c>
      <c r="CE9">
        <v>2</v>
      </c>
      <c r="CF9">
        <v>2</v>
      </c>
      <c r="CG9">
        <v>2</v>
      </c>
      <c r="CH9">
        <v>2</v>
      </c>
      <c r="CI9">
        <v>2</v>
      </c>
      <c r="CJ9">
        <v>2</v>
      </c>
    </row>
    <row r="10" spans="1:94" ht="19.5" hidden="1">
      <c r="A10" t="s">
        <v>301</v>
      </c>
      <c r="B10" t="s">
        <v>302</v>
      </c>
      <c r="C10" t="s">
        <v>303</v>
      </c>
      <c r="D10" t="s">
        <v>30</v>
      </c>
      <c r="E10" t="s">
        <v>246</v>
      </c>
      <c r="I10">
        <v>1</v>
      </c>
      <c r="J10">
        <v>5</v>
      </c>
      <c r="K10">
        <v>2</v>
      </c>
      <c r="L10">
        <v>5</v>
      </c>
      <c r="M10">
        <v>5</v>
      </c>
      <c r="N10">
        <v>5</v>
      </c>
      <c r="O10">
        <v>5</v>
      </c>
      <c r="P10">
        <v>5</v>
      </c>
      <c r="Q10">
        <v>5</v>
      </c>
      <c r="R10">
        <v>5</v>
      </c>
      <c r="S10">
        <v>5</v>
      </c>
      <c r="T10">
        <v>5</v>
      </c>
      <c r="U10">
        <v>5</v>
      </c>
      <c r="V10">
        <v>5</v>
      </c>
      <c r="W10">
        <v>5</v>
      </c>
      <c r="X10">
        <v>5</v>
      </c>
      <c r="Y10">
        <v>5</v>
      </c>
      <c r="Z10">
        <v>5</v>
      </c>
      <c r="AA10">
        <v>5</v>
      </c>
      <c r="AB10">
        <v>5</v>
      </c>
      <c r="AC10">
        <v>5</v>
      </c>
      <c r="AD10">
        <v>5</v>
      </c>
      <c r="AE10">
        <v>5</v>
      </c>
      <c r="AF10">
        <v>5</v>
      </c>
      <c r="AG10">
        <v>5</v>
      </c>
      <c r="AH10">
        <v>5</v>
      </c>
      <c r="AI10">
        <v>5</v>
      </c>
      <c r="AJ10">
        <v>5</v>
      </c>
      <c r="AK10">
        <v>5</v>
      </c>
      <c r="AL10">
        <v>5</v>
      </c>
      <c r="AM10">
        <v>5</v>
      </c>
      <c r="AN10">
        <v>5</v>
      </c>
      <c r="AO10">
        <v>5</v>
      </c>
      <c r="AP10">
        <v>5</v>
      </c>
      <c r="AQ10">
        <v>5</v>
      </c>
      <c r="AR10">
        <v>5</v>
      </c>
      <c r="AS10">
        <v>5</v>
      </c>
      <c r="AT10">
        <v>5</v>
      </c>
      <c r="AU10">
        <v>5</v>
      </c>
      <c r="AV10">
        <v>5</v>
      </c>
      <c r="AW10">
        <v>5</v>
      </c>
      <c r="AX10">
        <v>5</v>
      </c>
      <c r="AY10">
        <v>5</v>
      </c>
      <c r="AZ10">
        <v>5</v>
      </c>
      <c r="BA10">
        <v>5</v>
      </c>
      <c r="BB10">
        <v>5</v>
      </c>
      <c r="BC10">
        <v>5</v>
      </c>
      <c r="BD10">
        <v>5</v>
      </c>
      <c r="BE10">
        <v>5</v>
      </c>
      <c r="BF10">
        <v>5</v>
      </c>
      <c r="BG10">
        <v>5</v>
      </c>
      <c r="BH10">
        <v>5</v>
      </c>
      <c r="BI10">
        <v>5</v>
      </c>
      <c r="BJ10">
        <v>5</v>
      </c>
      <c r="BK10">
        <v>5</v>
      </c>
      <c r="BL10">
        <v>5</v>
      </c>
      <c r="BM10">
        <v>5</v>
      </c>
      <c r="BN10">
        <v>5</v>
      </c>
      <c r="BO10">
        <v>5</v>
      </c>
      <c r="BP10">
        <v>5</v>
      </c>
      <c r="BQ10">
        <v>5</v>
      </c>
      <c r="BR10">
        <v>5</v>
      </c>
      <c r="BS10">
        <v>5</v>
      </c>
      <c r="BT10">
        <v>5</v>
      </c>
      <c r="BU10">
        <v>5</v>
      </c>
      <c r="BV10">
        <v>5</v>
      </c>
      <c r="BW10">
        <v>5</v>
      </c>
      <c r="BX10">
        <v>5</v>
      </c>
      <c r="BY10">
        <v>5</v>
      </c>
      <c r="BZ10">
        <v>5</v>
      </c>
      <c r="CA10">
        <v>5</v>
      </c>
      <c r="CB10">
        <v>5</v>
      </c>
      <c r="CC10">
        <v>5</v>
      </c>
      <c r="CD10">
        <v>5</v>
      </c>
      <c r="CE10">
        <v>5</v>
      </c>
      <c r="CF10">
        <v>5</v>
      </c>
      <c r="CG10">
        <v>5</v>
      </c>
      <c r="CH10">
        <v>5</v>
      </c>
      <c r="CI10">
        <v>5</v>
      </c>
      <c r="CJ10">
        <v>5</v>
      </c>
    </row>
    <row r="11" spans="1:94" ht="19.5" hidden="1">
      <c r="A11" t="s">
        <v>272</v>
      </c>
      <c r="B11" t="s">
        <v>273</v>
      </c>
      <c r="C11" t="s">
        <v>274</v>
      </c>
      <c r="D11" t="s">
        <v>30</v>
      </c>
      <c r="E11" t="s">
        <v>246</v>
      </c>
      <c r="I11">
        <v>1</v>
      </c>
      <c r="J11">
        <v>5</v>
      </c>
      <c r="K11">
        <v>2</v>
      </c>
      <c r="L11">
        <v>5</v>
      </c>
      <c r="M11">
        <v>5</v>
      </c>
      <c r="N11">
        <v>5</v>
      </c>
      <c r="O11">
        <v>5</v>
      </c>
      <c r="P11">
        <v>5</v>
      </c>
      <c r="Q11">
        <v>5</v>
      </c>
      <c r="R11">
        <v>5</v>
      </c>
      <c r="S11">
        <v>5</v>
      </c>
      <c r="T11">
        <v>5</v>
      </c>
      <c r="U11">
        <v>5</v>
      </c>
      <c r="V11">
        <v>5</v>
      </c>
      <c r="W11">
        <v>5</v>
      </c>
      <c r="X11">
        <v>5</v>
      </c>
      <c r="Y11">
        <v>5</v>
      </c>
      <c r="Z11">
        <v>5</v>
      </c>
      <c r="AA11">
        <v>5</v>
      </c>
      <c r="AB11">
        <v>5</v>
      </c>
      <c r="AC11">
        <v>5</v>
      </c>
      <c r="AD11">
        <v>5</v>
      </c>
      <c r="AE11">
        <v>5</v>
      </c>
      <c r="AF11">
        <v>5</v>
      </c>
      <c r="AG11">
        <v>5</v>
      </c>
      <c r="AH11">
        <v>5</v>
      </c>
      <c r="AI11">
        <v>5</v>
      </c>
      <c r="AJ11">
        <v>5</v>
      </c>
      <c r="AK11">
        <v>5</v>
      </c>
      <c r="AL11">
        <v>5</v>
      </c>
      <c r="AM11">
        <v>5</v>
      </c>
      <c r="AN11">
        <v>5</v>
      </c>
      <c r="AO11">
        <v>5</v>
      </c>
      <c r="AP11">
        <v>5</v>
      </c>
      <c r="AQ11">
        <v>5</v>
      </c>
      <c r="AR11">
        <v>5</v>
      </c>
      <c r="AS11">
        <v>5</v>
      </c>
      <c r="AT11">
        <v>5</v>
      </c>
      <c r="AU11">
        <v>5</v>
      </c>
      <c r="AV11">
        <v>5</v>
      </c>
      <c r="AW11">
        <v>5</v>
      </c>
      <c r="AX11">
        <v>5</v>
      </c>
      <c r="AY11">
        <v>5</v>
      </c>
      <c r="AZ11">
        <v>5</v>
      </c>
      <c r="BA11">
        <v>5</v>
      </c>
      <c r="BB11">
        <v>5</v>
      </c>
      <c r="BC11">
        <v>5</v>
      </c>
      <c r="BD11">
        <v>5</v>
      </c>
      <c r="BE11">
        <v>5</v>
      </c>
      <c r="BF11">
        <v>5</v>
      </c>
      <c r="BG11">
        <v>5</v>
      </c>
      <c r="BH11">
        <v>5</v>
      </c>
      <c r="BI11">
        <v>5</v>
      </c>
      <c r="BJ11">
        <v>5</v>
      </c>
      <c r="BK11">
        <v>5</v>
      </c>
      <c r="BL11">
        <v>5</v>
      </c>
      <c r="BM11">
        <v>5</v>
      </c>
      <c r="BN11">
        <v>5</v>
      </c>
      <c r="BO11">
        <v>5</v>
      </c>
      <c r="BP11">
        <v>5</v>
      </c>
      <c r="BQ11">
        <v>5</v>
      </c>
      <c r="BR11">
        <v>5</v>
      </c>
      <c r="BS11">
        <v>5</v>
      </c>
      <c r="BT11">
        <v>5</v>
      </c>
      <c r="BU11">
        <v>5</v>
      </c>
      <c r="BV11">
        <v>5</v>
      </c>
      <c r="BW11">
        <v>5</v>
      </c>
      <c r="BX11">
        <v>5</v>
      </c>
      <c r="BY11">
        <v>5</v>
      </c>
      <c r="BZ11">
        <v>5</v>
      </c>
      <c r="CA11">
        <v>5</v>
      </c>
      <c r="CB11">
        <v>5</v>
      </c>
      <c r="CC11">
        <v>5</v>
      </c>
      <c r="CD11">
        <v>5</v>
      </c>
      <c r="CE11">
        <v>5</v>
      </c>
      <c r="CF11">
        <v>5</v>
      </c>
      <c r="CG11">
        <v>5</v>
      </c>
      <c r="CH11">
        <v>5</v>
      </c>
      <c r="CI11">
        <v>5</v>
      </c>
      <c r="CJ11">
        <v>5</v>
      </c>
    </row>
    <row r="12" spans="1:94" ht="19.5" hidden="1">
      <c r="A12" t="s">
        <v>243</v>
      </c>
      <c r="B12" t="s">
        <v>244</v>
      </c>
      <c r="C12" t="s">
        <v>245</v>
      </c>
      <c r="D12" t="s">
        <v>29</v>
      </c>
      <c r="E12" t="s">
        <v>246</v>
      </c>
      <c r="I12">
        <v>3</v>
      </c>
      <c r="J12">
        <v>3</v>
      </c>
      <c r="K12">
        <v>2</v>
      </c>
      <c r="L12">
        <v>3</v>
      </c>
      <c r="M12">
        <v>3</v>
      </c>
      <c r="N12">
        <v>3</v>
      </c>
      <c r="O12">
        <v>3</v>
      </c>
      <c r="P12">
        <v>3</v>
      </c>
      <c r="Q12">
        <v>3</v>
      </c>
      <c r="R12">
        <v>3</v>
      </c>
      <c r="S12">
        <v>3</v>
      </c>
      <c r="T12">
        <v>3</v>
      </c>
      <c r="U12">
        <v>3</v>
      </c>
      <c r="V12">
        <v>3</v>
      </c>
      <c r="W12">
        <v>3</v>
      </c>
      <c r="X12">
        <v>3</v>
      </c>
      <c r="Y12">
        <v>3</v>
      </c>
      <c r="Z12">
        <v>3</v>
      </c>
      <c r="AA12">
        <v>3</v>
      </c>
      <c r="AB12">
        <v>3</v>
      </c>
      <c r="AC12">
        <v>3</v>
      </c>
      <c r="AD12">
        <v>3</v>
      </c>
      <c r="AE12">
        <v>3</v>
      </c>
      <c r="AF12">
        <v>3</v>
      </c>
      <c r="AG12">
        <v>3</v>
      </c>
      <c r="AH12">
        <v>3</v>
      </c>
      <c r="AI12">
        <v>3</v>
      </c>
      <c r="AJ12">
        <v>3</v>
      </c>
      <c r="AK12">
        <v>3</v>
      </c>
      <c r="AL12">
        <v>3</v>
      </c>
      <c r="AM12">
        <v>3</v>
      </c>
      <c r="AN12">
        <v>3</v>
      </c>
      <c r="AO12">
        <v>3</v>
      </c>
      <c r="AP12">
        <v>3</v>
      </c>
      <c r="AQ12">
        <v>3</v>
      </c>
      <c r="AR12">
        <v>3</v>
      </c>
      <c r="AS12">
        <v>3</v>
      </c>
      <c r="AT12">
        <v>3</v>
      </c>
      <c r="AU12">
        <v>3</v>
      </c>
      <c r="AV12">
        <v>3</v>
      </c>
      <c r="AW12">
        <v>3</v>
      </c>
      <c r="AX12">
        <v>3</v>
      </c>
      <c r="AY12">
        <v>3</v>
      </c>
      <c r="AZ12">
        <v>3</v>
      </c>
      <c r="BA12">
        <v>3</v>
      </c>
      <c r="BB12">
        <v>3</v>
      </c>
      <c r="BC12">
        <v>3</v>
      </c>
      <c r="BD12">
        <v>3</v>
      </c>
      <c r="BE12">
        <v>3</v>
      </c>
      <c r="BF12">
        <v>3</v>
      </c>
      <c r="BG12">
        <v>3</v>
      </c>
      <c r="BH12">
        <v>3</v>
      </c>
      <c r="BI12">
        <v>3</v>
      </c>
      <c r="BJ12">
        <v>3</v>
      </c>
      <c r="BK12">
        <v>3</v>
      </c>
      <c r="BL12">
        <v>3</v>
      </c>
      <c r="BM12">
        <v>3</v>
      </c>
      <c r="BN12">
        <v>3</v>
      </c>
      <c r="BO12">
        <v>3</v>
      </c>
      <c r="BP12">
        <v>3</v>
      </c>
      <c r="BQ12">
        <v>3</v>
      </c>
      <c r="BR12">
        <v>3</v>
      </c>
      <c r="BS12">
        <v>3</v>
      </c>
      <c r="BT12">
        <v>3</v>
      </c>
      <c r="BU12">
        <v>3</v>
      </c>
      <c r="BV12">
        <v>3</v>
      </c>
      <c r="BW12">
        <v>3</v>
      </c>
      <c r="BX12">
        <v>3</v>
      </c>
      <c r="BY12">
        <v>3</v>
      </c>
      <c r="BZ12">
        <v>3</v>
      </c>
      <c r="CA12">
        <v>3</v>
      </c>
      <c r="CB12">
        <v>3</v>
      </c>
      <c r="CC12">
        <v>3</v>
      </c>
      <c r="CD12">
        <v>3</v>
      </c>
      <c r="CE12">
        <v>3</v>
      </c>
      <c r="CF12">
        <v>3</v>
      </c>
      <c r="CG12">
        <v>3</v>
      </c>
      <c r="CH12">
        <v>3</v>
      </c>
      <c r="CI12">
        <v>3</v>
      </c>
      <c r="CJ12">
        <v>3</v>
      </c>
    </row>
    <row r="13" spans="1:94" ht="19.5" hidden="1">
      <c r="A13" t="s">
        <v>292</v>
      </c>
      <c r="B13" t="s">
        <v>293</v>
      </c>
      <c r="C13" t="s">
        <v>294</v>
      </c>
      <c r="D13" t="s">
        <v>29</v>
      </c>
      <c r="E13" t="s">
        <v>246</v>
      </c>
      <c r="I13">
        <v>5</v>
      </c>
      <c r="J13">
        <v>4</v>
      </c>
      <c r="K13">
        <v>2</v>
      </c>
      <c r="L13">
        <v>5</v>
      </c>
      <c r="M13">
        <v>5</v>
      </c>
      <c r="N13">
        <v>4</v>
      </c>
      <c r="O13">
        <v>4</v>
      </c>
      <c r="P13">
        <v>5</v>
      </c>
      <c r="Q13">
        <v>3</v>
      </c>
      <c r="R13">
        <v>4</v>
      </c>
      <c r="S13">
        <v>4</v>
      </c>
      <c r="T13">
        <v>3</v>
      </c>
      <c r="U13">
        <v>4</v>
      </c>
      <c r="V13">
        <v>4</v>
      </c>
      <c r="W13">
        <v>5</v>
      </c>
      <c r="X13">
        <v>3</v>
      </c>
      <c r="Y13">
        <v>3</v>
      </c>
      <c r="Z13">
        <v>4</v>
      </c>
      <c r="AA13">
        <v>3</v>
      </c>
      <c r="AB13">
        <v>3</v>
      </c>
      <c r="AC13">
        <v>3</v>
      </c>
      <c r="AD13">
        <v>4</v>
      </c>
      <c r="AE13">
        <v>4</v>
      </c>
      <c r="AF13">
        <v>4</v>
      </c>
      <c r="AG13">
        <v>4</v>
      </c>
      <c r="AH13">
        <v>4</v>
      </c>
      <c r="AI13">
        <v>4</v>
      </c>
      <c r="AJ13">
        <v>4</v>
      </c>
      <c r="AK13">
        <v>4</v>
      </c>
      <c r="AL13">
        <v>4</v>
      </c>
      <c r="AM13">
        <v>3</v>
      </c>
      <c r="AN13">
        <v>3</v>
      </c>
      <c r="AO13">
        <v>3</v>
      </c>
      <c r="AP13">
        <v>3</v>
      </c>
      <c r="AQ13">
        <v>3</v>
      </c>
      <c r="AR13">
        <v>4</v>
      </c>
      <c r="AS13">
        <v>4</v>
      </c>
      <c r="AT13">
        <v>4</v>
      </c>
      <c r="AU13">
        <v>4</v>
      </c>
      <c r="AV13">
        <v>3</v>
      </c>
      <c r="AW13">
        <v>4</v>
      </c>
      <c r="AX13">
        <v>4</v>
      </c>
      <c r="AY13">
        <v>3</v>
      </c>
      <c r="AZ13">
        <v>3</v>
      </c>
      <c r="BA13">
        <v>4</v>
      </c>
      <c r="BB13">
        <v>3</v>
      </c>
      <c r="BC13">
        <v>3</v>
      </c>
      <c r="BD13">
        <v>4</v>
      </c>
      <c r="BE13">
        <v>3</v>
      </c>
      <c r="BF13">
        <v>3</v>
      </c>
      <c r="BG13">
        <v>5</v>
      </c>
      <c r="BH13">
        <v>5</v>
      </c>
      <c r="BI13">
        <v>5</v>
      </c>
      <c r="BJ13">
        <v>5</v>
      </c>
      <c r="BK13">
        <v>5</v>
      </c>
      <c r="BL13">
        <v>4</v>
      </c>
      <c r="BM13">
        <v>4</v>
      </c>
      <c r="BN13">
        <v>4</v>
      </c>
      <c r="BO13">
        <v>4</v>
      </c>
      <c r="BP13">
        <v>4</v>
      </c>
      <c r="BQ13">
        <v>4</v>
      </c>
      <c r="BR13">
        <v>4</v>
      </c>
      <c r="BS13">
        <v>4</v>
      </c>
      <c r="BT13">
        <v>4</v>
      </c>
      <c r="BU13">
        <v>4</v>
      </c>
      <c r="BV13">
        <v>5</v>
      </c>
      <c r="BW13">
        <v>5</v>
      </c>
      <c r="BX13">
        <v>5</v>
      </c>
      <c r="BY13">
        <v>5</v>
      </c>
      <c r="BZ13">
        <v>5</v>
      </c>
      <c r="CA13">
        <v>4</v>
      </c>
      <c r="CB13">
        <v>4</v>
      </c>
      <c r="CC13">
        <v>5</v>
      </c>
      <c r="CD13">
        <v>4</v>
      </c>
      <c r="CE13">
        <v>2</v>
      </c>
      <c r="CF13">
        <v>1</v>
      </c>
      <c r="CG13">
        <v>1</v>
      </c>
      <c r="CH13">
        <v>1</v>
      </c>
      <c r="CI13">
        <v>1</v>
      </c>
      <c r="CJ13">
        <v>1</v>
      </c>
    </row>
    <row r="14" spans="1:94" ht="19.5" hidden="1">
      <c r="A14" t="s">
        <v>284</v>
      </c>
      <c r="B14" t="s">
        <v>259</v>
      </c>
      <c r="C14" t="s">
        <v>285</v>
      </c>
      <c r="D14" t="s">
        <v>29</v>
      </c>
      <c r="E14" t="s">
        <v>246</v>
      </c>
      <c r="I14">
        <v>5</v>
      </c>
      <c r="J14">
        <v>4</v>
      </c>
      <c r="K14">
        <v>2</v>
      </c>
      <c r="L14">
        <v>5</v>
      </c>
      <c r="M14">
        <v>5</v>
      </c>
      <c r="N14">
        <v>4</v>
      </c>
      <c r="O14">
        <v>4</v>
      </c>
      <c r="P14">
        <v>5</v>
      </c>
      <c r="Q14">
        <v>3</v>
      </c>
      <c r="R14">
        <v>4</v>
      </c>
      <c r="S14">
        <v>4</v>
      </c>
      <c r="T14">
        <v>3</v>
      </c>
      <c r="U14">
        <v>4</v>
      </c>
      <c r="V14">
        <v>4</v>
      </c>
      <c r="W14">
        <v>5</v>
      </c>
      <c r="X14">
        <v>3</v>
      </c>
      <c r="Y14">
        <v>3</v>
      </c>
      <c r="Z14">
        <v>4</v>
      </c>
      <c r="AA14">
        <v>3</v>
      </c>
      <c r="AB14">
        <v>3</v>
      </c>
      <c r="AC14">
        <v>3</v>
      </c>
      <c r="AD14">
        <v>4</v>
      </c>
      <c r="AE14">
        <v>4</v>
      </c>
      <c r="AF14">
        <v>4</v>
      </c>
      <c r="AG14">
        <v>4</v>
      </c>
      <c r="AH14">
        <v>4</v>
      </c>
      <c r="AI14">
        <v>4</v>
      </c>
      <c r="AJ14">
        <v>4</v>
      </c>
      <c r="AK14">
        <v>4</v>
      </c>
      <c r="AL14">
        <v>4</v>
      </c>
      <c r="AM14">
        <v>3</v>
      </c>
      <c r="AN14">
        <v>3</v>
      </c>
      <c r="AO14">
        <v>3</v>
      </c>
      <c r="AP14">
        <v>3</v>
      </c>
      <c r="AQ14">
        <v>3</v>
      </c>
      <c r="AR14">
        <v>4</v>
      </c>
      <c r="AS14">
        <v>4</v>
      </c>
      <c r="AT14">
        <v>4</v>
      </c>
      <c r="AU14">
        <v>4</v>
      </c>
      <c r="AV14">
        <v>3</v>
      </c>
      <c r="AW14">
        <v>4</v>
      </c>
      <c r="AX14">
        <v>4</v>
      </c>
      <c r="AY14">
        <v>3</v>
      </c>
      <c r="AZ14">
        <v>3</v>
      </c>
      <c r="BA14">
        <v>4</v>
      </c>
      <c r="BB14">
        <v>3</v>
      </c>
      <c r="BC14">
        <v>3</v>
      </c>
      <c r="BD14">
        <v>4</v>
      </c>
      <c r="BE14">
        <v>3</v>
      </c>
      <c r="BF14">
        <v>3</v>
      </c>
      <c r="BG14">
        <v>5</v>
      </c>
      <c r="BH14">
        <v>5</v>
      </c>
      <c r="BI14">
        <v>5</v>
      </c>
      <c r="BJ14">
        <v>5</v>
      </c>
      <c r="BK14">
        <v>5</v>
      </c>
      <c r="BL14">
        <v>4</v>
      </c>
      <c r="BM14">
        <v>4</v>
      </c>
      <c r="BN14">
        <v>4</v>
      </c>
      <c r="BO14">
        <v>4</v>
      </c>
      <c r="BP14">
        <v>4</v>
      </c>
      <c r="BQ14">
        <v>4</v>
      </c>
      <c r="BR14">
        <v>4</v>
      </c>
      <c r="BS14">
        <v>4</v>
      </c>
      <c r="BT14">
        <v>4</v>
      </c>
      <c r="BU14">
        <v>4</v>
      </c>
      <c r="BV14">
        <v>5</v>
      </c>
      <c r="BW14">
        <v>5</v>
      </c>
      <c r="BX14">
        <v>5</v>
      </c>
      <c r="BY14">
        <v>5</v>
      </c>
      <c r="BZ14">
        <v>5</v>
      </c>
      <c r="CA14">
        <v>4</v>
      </c>
      <c r="CB14">
        <v>4</v>
      </c>
      <c r="CC14">
        <v>5</v>
      </c>
      <c r="CD14">
        <v>4</v>
      </c>
      <c r="CE14">
        <v>2</v>
      </c>
      <c r="CF14">
        <v>1</v>
      </c>
      <c r="CG14">
        <v>1</v>
      </c>
      <c r="CH14">
        <v>1</v>
      </c>
      <c r="CI14">
        <v>1</v>
      </c>
      <c r="CJ14">
        <v>1</v>
      </c>
    </row>
    <row r="15" spans="1:94" ht="19.5" hidden="1">
      <c r="A15" t="s">
        <v>298</v>
      </c>
      <c r="B15" t="s">
        <v>299</v>
      </c>
      <c r="C15" t="s">
        <v>300</v>
      </c>
      <c r="D15" t="s">
        <v>29</v>
      </c>
      <c r="E15" t="s">
        <v>246</v>
      </c>
      <c r="I15">
        <v>5</v>
      </c>
      <c r="J15">
        <v>4</v>
      </c>
      <c r="K15">
        <v>2</v>
      </c>
      <c r="L15">
        <v>5</v>
      </c>
      <c r="M15">
        <v>5</v>
      </c>
      <c r="N15">
        <v>4</v>
      </c>
      <c r="O15">
        <v>4</v>
      </c>
      <c r="P15">
        <v>5</v>
      </c>
      <c r="Q15">
        <v>3</v>
      </c>
      <c r="R15">
        <v>4</v>
      </c>
      <c r="S15">
        <v>4</v>
      </c>
      <c r="T15">
        <v>3</v>
      </c>
      <c r="U15">
        <v>4</v>
      </c>
      <c r="V15">
        <v>4</v>
      </c>
      <c r="W15">
        <v>5</v>
      </c>
      <c r="X15">
        <v>3</v>
      </c>
      <c r="Y15">
        <v>3</v>
      </c>
      <c r="Z15">
        <v>4</v>
      </c>
      <c r="AA15">
        <v>3</v>
      </c>
      <c r="AB15">
        <v>3</v>
      </c>
      <c r="AC15">
        <v>3</v>
      </c>
      <c r="AD15">
        <v>4</v>
      </c>
      <c r="AE15">
        <v>4</v>
      </c>
      <c r="AF15">
        <v>4</v>
      </c>
      <c r="AG15">
        <v>4</v>
      </c>
      <c r="AH15">
        <v>4</v>
      </c>
      <c r="AI15">
        <v>4</v>
      </c>
      <c r="AJ15">
        <v>4</v>
      </c>
      <c r="AK15">
        <v>4</v>
      </c>
      <c r="AL15">
        <v>4</v>
      </c>
      <c r="AM15">
        <v>3</v>
      </c>
      <c r="AN15">
        <v>3</v>
      </c>
      <c r="AO15">
        <v>3</v>
      </c>
      <c r="AP15">
        <v>3</v>
      </c>
      <c r="AQ15">
        <v>3</v>
      </c>
      <c r="AR15">
        <v>4</v>
      </c>
      <c r="AS15">
        <v>4</v>
      </c>
      <c r="AT15">
        <v>4</v>
      </c>
      <c r="AU15">
        <v>4</v>
      </c>
      <c r="AV15">
        <v>3</v>
      </c>
      <c r="AW15">
        <v>4</v>
      </c>
      <c r="AX15">
        <v>4</v>
      </c>
      <c r="AY15">
        <v>3</v>
      </c>
      <c r="AZ15">
        <v>3</v>
      </c>
      <c r="BA15">
        <v>4</v>
      </c>
      <c r="BB15">
        <v>3</v>
      </c>
      <c r="BC15">
        <v>3</v>
      </c>
      <c r="BD15">
        <v>4</v>
      </c>
      <c r="BE15">
        <v>3</v>
      </c>
      <c r="BF15">
        <v>3</v>
      </c>
      <c r="BG15">
        <v>5</v>
      </c>
      <c r="BH15">
        <v>5</v>
      </c>
      <c r="BI15">
        <v>5</v>
      </c>
      <c r="BJ15">
        <v>5</v>
      </c>
      <c r="BK15">
        <v>5</v>
      </c>
      <c r="BL15">
        <v>4</v>
      </c>
      <c r="BM15">
        <v>4</v>
      </c>
      <c r="BN15">
        <v>4</v>
      </c>
      <c r="BO15">
        <v>4</v>
      </c>
      <c r="BP15">
        <v>4</v>
      </c>
      <c r="BQ15">
        <v>4</v>
      </c>
      <c r="BR15">
        <v>4</v>
      </c>
      <c r="BS15">
        <v>4</v>
      </c>
      <c r="BT15">
        <v>4</v>
      </c>
      <c r="BU15">
        <v>4</v>
      </c>
      <c r="BV15">
        <v>5</v>
      </c>
      <c r="BW15">
        <v>5</v>
      </c>
      <c r="BX15">
        <v>5</v>
      </c>
      <c r="BY15">
        <v>5</v>
      </c>
      <c r="BZ15">
        <v>5</v>
      </c>
      <c r="CA15">
        <v>4</v>
      </c>
      <c r="CB15">
        <v>4</v>
      </c>
      <c r="CC15">
        <v>5</v>
      </c>
      <c r="CD15">
        <v>4</v>
      </c>
      <c r="CE15">
        <v>2</v>
      </c>
      <c r="CF15">
        <v>1</v>
      </c>
      <c r="CG15">
        <v>1</v>
      </c>
      <c r="CH15">
        <v>1</v>
      </c>
      <c r="CI15">
        <v>1</v>
      </c>
      <c r="CJ15">
        <v>1</v>
      </c>
    </row>
    <row r="16" spans="1:94" ht="19.5" hidden="1">
      <c r="A16" t="s">
        <v>281</v>
      </c>
      <c r="B16" t="s">
        <v>282</v>
      </c>
      <c r="C16" t="s">
        <v>283</v>
      </c>
      <c r="D16" t="s">
        <v>29</v>
      </c>
      <c r="E16" t="s">
        <v>246</v>
      </c>
      <c r="I16">
        <v>1</v>
      </c>
      <c r="J16">
        <v>5</v>
      </c>
      <c r="K16">
        <v>2</v>
      </c>
      <c r="L16">
        <v>5</v>
      </c>
      <c r="M16">
        <v>5</v>
      </c>
      <c r="N16">
        <v>5</v>
      </c>
      <c r="O16">
        <v>5</v>
      </c>
      <c r="P16">
        <v>4</v>
      </c>
      <c r="Q16">
        <v>4</v>
      </c>
      <c r="R16">
        <v>4</v>
      </c>
      <c r="S16">
        <v>4</v>
      </c>
      <c r="T16">
        <v>4</v>
      </c>
      <c r="U16">
        <v>3</v>
      </c>
      <c r="V16">
        <v>3</v>
      </c>
      <c r="W16">
        <v>3</v>
      </c>
      <c r="X16">
        <v>3</v>
      </c>
      <c r="Y16">
        <v>3</v>
      </c>
      <c r="Z16">
        <v>3</v>
      </c>
      <c r="AA16">
        <v>2</v>
      </c>
      <c r="AB16">
        <v>2</v>
      </c>
      <c r="AC16">
        <v>2</v>
      </c>
      <c r="AD16">
        <v>2</v>
      </c>
      <c r="AE16">
        <v>2</v>
      </c>
      <c r="AF16">
        <v>3</v>
      </c>
      <c r="AG16">
        <v>3</v>
      </c>
      <c r="AH16">
        <v>3</v>
      </c>
      <c r="AI16">
        <v>3</v>
      </c>
      <c r="AJ16">
        <v>2</v>
      </c>
      <c r="AK16">
        <v>2</v>
      </c>
      <c r="AL16">
        <v>2</v>
      </c>
      <c r="AM16">
        <v>2</v>
      </c>
      <c r="AN16">
        <v>2</v>
      </c>
      <c r="AO16">
        <v>2</v>
      </c>
      <c r="AP16">
        <v>2</v>
      </c>
      <c r="AQ16">
        <v>2</v>
      </c>
      <c r="AR16">
        <v>2</v>
      </c>
      <c r="AS16">
        <v>2</v>
      </c>
      <c r="AT16">
        <v>2</v>
      </c>
      <c r="AU16">
        <v>2</v>
      </c>
      <c r="AV16">
        <v>2</v>
      </c>
      <c r="AW16">
        <v>2</v>
      </c>
      <c r="AX16">
        <v>1</v>
      </c>
      <c r="AY16">
        <v>1</v>
      </c>
      <c r="AZ16">
        <v>2</v>
      </c>
      <c r="BA16">
        <v>2</v>
      </c>
      <c r="BB16">
        <v>2</v>
      </c>
      <c r="BC16">
        <v>2</v>
      </c>
      <c r="BD16">
        <v>2</v>
      </c>
      <c r="BE16">
        <v>2</v>
      </c>
      <c r="BF16">
        <v>1</v>
      </c>
      <c r="BG16">
        <v>2</v>
      </c>
      <c r="BH16">
        <v>2</v>
      </c>
      <c r="BI16">
        <v>2</v>
      </c>
      <c r="BJ16">
        <v>2</v>
      </c>
      <c r="BK16">
        <v>2</v>
      </c>
      <c r="BL16">
        <v>2</v>
      </c>
      <c r="BM16">
        <v>2</v>
      </c>
      <c r="BN16">
        <v>2</v>
      </c>
      <c r="BO16">
        <v>1</v>
      </c>
      <c r="BP16">
        <v>1</v>
      </c>
      <c r="BQ16">
        <v>2</v>
      </c>
      <c r="BR16">
        <v>2</v>
      </c>
      <c r="BS16">
        <v>2</v>
      </c>
      <c r="BT16">
        <v>2</v>
      </c>
      <c r="BU16">
        <v>2</v>
      </c>
      <c r="BV16">
        <v>2</v>
      </c>
      <c r="BW16">
        <v>1</v>
      </c>
      <c r="BX16">
        <v>2</v>
      </c>
      <c r="BY16">
        <v>3</v>
      </c>
      <c r="BZ16">
        <v>4</v>
      </c>
      <c r="CA16">
        <v>4</v>
      </c>
      <c r="CB16">
        <v>4</v>
      </c>
      <c r="CC16">
        <v>4</v>
      </c>
      <c r="CD16">
        <v>4</v>
      </c>
      <c r="CE16">
        <v>5</v>
      </c>
      <c r="CF16">
        <v>5</v>
      </c>
      <c r="CG16">
        <v>5</v>
      </c>
      <c r="CH16">
        <v>5</v>
      </c>
      <c r="CI16">
        <v>5</v>
      </c>
      <c r="CJ16">
        <v>5</v>
      </c>
    </row>
    <row r="17" spans="1:88" ht="19.5" hidden="1">
      <c r="A17" t="s">
        <v>252</v>
      </c>
      <c r="B17" t="s">
        <v>253</v>
      </c>
      <c r="C17" t="s">
        <v>254</v>
      </c>
      <c r="D17" t="s">
        <v>28</v>
      </c>
      <c r="E17" t="s">
        <v>246</v>
      </c>
      <c r="I17">
        <v>1</v>
      </c>
      <c r="J17">
        <v>5</v>
      </c>
      <c r="K17">
        <v>2</v>
      </c>
      <c r="L17">
        <v>5</v>
      </c>
      <c r="M17">
        <v>5</v>
      </c>
      <c r="N17">
        <v>5</v>
      </c>
      <c r="O17">
        <v>5</v>
      </c>
      <c r="P17">
        <v>4</v>
      </c>
      <c r="Q17">
        <v>4</v>
      </c>
      <c r="R17">
        <v>4</v>
      </c>
      <c r="S17">
        <v>4</v>
      </c>
      <c r="T17">
        <v>4</v>
      </c>
      <c r="U17">
        <v>3</v>
      </c>
      <c r="V17">
        <v>3</v>
      </c>
      <c r="W17">
        <v>3</v>
      </c>
      <c r="X17">
        <v>3</v>
      </c>
      <c r="Y17">
        <v>3</v>
      </c>
      <c r="Z17">
        <v>3</v>
      </c>
      <c r="AA17">
        <v>2</v>
      </c>
      <c r="AB17">
        <v>2</v>
      </c>
      <c r="AC17">
        <v>2</v>
      </c>
      <c r="AD17">
        <v>2</v>
      </c>
      <c r="AE17">
        <v>2</v>
      </c>
      <c r="AF17">
        <v>3</v>
      </c>
      <c r="AG17">
        <v>3</v>
      </c>
      <c r="AH17">
        <v>3</v>
      </c>
      <c r="AI17">
        <v>3</v>
      </c>
      <c r="AJ17">
        <v>2</v>
      </c>
      <c r="AK17">
        <v>2</v>
      </c>
      <c r="AL17">
        <v>2</v>
      </c>
      <c r="AM17">
        <v>2</v>
      </c>
      <c r="AN17">
        <v>2</v>
      </c>
      <c r="AO17">
        <v>2</v>
      </c>
      <c r="AP17">
        <v>2</v>
      </c>
      <c r="AQ17">
        <v>2</v>
      </c>
      <c r="AR17">
        <v>2</v>
      </c>
      <c r="AS17">
        <v>2</v>
      </c>
      <c r="AT17">
        <v>2</v>
      </c>
      <c r="AU17">
        <v>2</v>
      </c>
      <c r="AV17">
        <v>2</v>
      </c>
      <c r="AW17">
        <v>2</v>
      </c>
      <c r="AX17">
        <v>1</v>
      </c>
      <c r="AY17">
        <v>1</v>
      </c>
      <c r="AZ17">
        <v>2</v>
      </c>
      <c r="BA17">
        <v>2</v>
      </c>
      <c r="BB17">
        <v>2</v>
      </c>
      <c r="BC17">
        <v>2</v>
      </c>
      <c r="BD17">
        <v>2</v>
      </c>
      <c r="BE17">
        <v>2</v>
      </c>
      <c r="BF17">
        <v>1</v>
      </c>
      <c r="BG17">
        <v>2</v>
      </c>
      <c r="BH17">
        <v>2</v>
      </c>
      <c r="BI17">
        <v>2</v>
      </c>
      <c r="BJ17">
        <v>2</v>
      </c>
      <c r="BK17">
        <v>2</v>
      </c>
      <c r="BL17">
        <v>2</v>
      </c>
      <c r="BM17">
        <v>2</v>
      </c>
      <c r="BN17">
        <v>2</v>
      </c>
      <c r="BO17">
        <v>1</v>
      </c>
      <c r="BP17">
        <v>1</v>
      </c>
      <c r="BQ17">
        <v>2</v>
      </c>
      <c r="BR17">
        <v>2</v>
      </c>
      <c r="BS17">
        <v>2</v>
      </c>
      <c r="BT17">
        <v>2</v>
      </c>
      <c r="BU17">
        <v>2</v>
      </c>
      <c r="BV17">
        <v>2</v>
      </c>
      <c r="BW17">
        <v>1</v>
      </c>
      <c r="BX17">
        <v>2</v>
      </c>
      <c r="BY17">
        <v>3</v>
      </c>
      <c r="BZ17">
        <v>4</v>
      </c>
      <c r="CA17">
        <v>4</v>
      </c>
      <c r="CB17">
        <v>4</v>
      </c>
      <c r="CC17">
        <v>4</v>
      </c>
      <c r="CD17">
        <v>4</v>
      </c>
      <c r="CE17">
        <v>5</v>
      </c>
      <c r="CF17">
        <v>5</v>
      </c>
      <c r="CG17">
        <v>5</v>
      </c>
      <c r="CH17">
        <v>5</v>
      </c>
      <c r="CI17">
        <v>5</v>
      </c>
      <c r="CJ17">
        <v>5</v>
      </c>
    </row>
    <row r="18" spans="1:88" ht="19.5" hidden="1">
      <c r="A18" t="s">
        <v>314</v>
      </c>
      <c r="B18" t="s">
        <v>315</v>
      </c>
      <c r="C18" t="s">
        <v>316</v>
      </c>
      <c r="D18" t="s">
        <v>27</v>
      </c>
      <c r="E18" t="s">
        <v>246</v>
      </c>
      <c r="I18">
        <v>1</v>
      </c>
      <c r="J18">
        <v>5</v>
      </c>
      <c r="K18">
        <v>2</v>
      </c>
      <c r="L18">
        <v>5</v>
      </c>
      <c r="M18">
        <v>5</v>
      </c>
      <c r="N18">
        <v>5</v>
      </c>
      <c r="O18">
        <v>5</v>
      </c>
      <c r="P18">
        <v>4</v>
      </c>
      <c r="Q18">
        <v>4</v>
      </c>
      <c r="R18">
        <v>4</v>
      </c>
      <c r="S18">
        <v>4</v>
      </c>
      <c r="T18">
        <v>4</v>
      </c>
      <c r="U18">
        <v>3</v>
      </c>
      <c r="V18">
        <v>3</v>
      </c>
      <c r="W18">
        <v>3</v>
      </c>
      <c r="X18">
        <v>3</v>
      </c>
      <c r="Y18">
        <v>3</v>
      </c>
      <c r="Z18">
        <v>3</v>
      </c>
      <c r="AA18">
        <v>2</v>
      </c>
      <c r="AB18">
        <v>2</v>
      </c>
      <c r="AC18">
        <v>2</v>
      </c>
      <c r="AD18">
        <v>2</v>
      </c>
      <c r="AE18">
        <v>2</v>
      </c>
      <c r="AF18">
        <v>3</v>
      </c>
      <c r="AG18">
        <v>3</v>
      </c>
      <c r="AH18">
        <v>3</v>
      </c>
      <c r="AI18">
        <v>3</v>
      </c>
      <c r="AJ18">
        <v>2</v>
      </c>
      <c r="AK18">
        <v>2</v>
      </c>
      <c r="AL18">
        <v>2</v>
      </c>
      <c r="AM18">
        <v>2</v>
      </c>
      <c r="AN18">
        <v>2</v>
      </c>
      <c r="AO18">
        <v>2</v>
      </c>
      <c r="AP18">
        <v>2</v>
      </c>
      <c r="AQ18">
        <v>2</v>
      </c>
      <c r="AR18">
        <v>2</v>
      </c>
      <c r="AS18">
        <v>2</v>
      </c>
      <c r="AT18">
        <v>2</v>
      </c>
      <c r="AU18">
        <v>2</v>
      </c>
      <c r="AV18">
        <v>2</v>
      </c>
      <c r="AW18">
        <v>2</v>
      </c>
      <c r="AX18">
        <v>1</v>
      </c>
      <c r="AY18">
        <v>1</v>
      </c>
      <c r="AZ18">
        <v>2</v>
      </c>
      <c r="BA18">
        <v>2</v>
      </c>
      <c r="BB18">
        <v>2</v>
      </c>
      <c r="BC18">
        <v>2</v>
      </c>
      <c r="BD18">
        <v>2</v>
      </c>
      <c r="BE18">
        <v>2</v>
      </c>
      <c r="BF18">
        <v>1</v>
      </c>
      <c r="BG18">
        <v>2</v>
      </c>
      <c r="BH18">
        <v>2</v>
      </c>
      <c r="BI18">
        <v>2</v>
      </c>
      <c r="BJ18">
        <v>2</v>
      </c>
      <c r="BK18">
        <v>2</v>
      </c>
      <c r="BL18">
        <v>2</v>
      </c>
      <c r="BM18">
        <v>2</v>
      </c>
      <c r="BN18">
        <v>2</v>
      </c>
      <c r="BO18">
        <v>1</v>
      </c>
      <c r="BP18">
        <v>1</v>
      </c>
      <c r="BQ18">
        <v>2</v>
      </c>
      <c r="BR18">
        <v>2</v>
      </c>
      <c r="BS18">
        <v>2</v>
      </c>
      <c r="BT18">
        <v>2</v>
      </c>
      <c r="BU18">
        <v>2</v>
      </c>
      <c r="BV18">
        <v>2</v>
      </c>
      <c r="BW18">
        <v>1</v>
      </c>
      <c r="BX18">
        <v>2</v>
      </c>
      <c r="BY18">
        <v>3</v>
      </c>
      <c r="BZ18">
        <v>4</v>
      </c>
      <c r="CA18">
        <v>4</v>
      </c>
      <c r="CB18">
        <v>4</v>
      </c>
      <c r="CC18">
        <v>4</v>
      </c>
      <c r="CD18">
        <v>4</v>
      </c>
      <c r="CE18">
        <v>5</v>
      </c>
      <c r="CF18">
        <v>5</v>
      </c>
      <c r="CG18">
        <v>5</v>
      </c>
      <c r="CH18">
        <v>5</v>
      </c>
      <c r="CI18">
        <v>5</v>
      </c>
      <c r="CJ18">
        <v>5</v>
      </c>
    </row>
    <row r="19" spans="1:88" ht="19.5" hidden="1">
      <c r="A19" t="s">
        <v>269</v>
      </c>
      <c r="B19" t="s">
        <v>270</v>
      </c>
      <c r="C19" t="s">
        <v>271</v>
      </c>
      <c r="D19" t="s">
        <v>26</v>
      </c>
      <c r="E19" t="s">
        <v>246</v>
      </c>
      <c r="I19">
        <v>1</v>
      </c>
      <c r="J19">
        <v>5</v>
      </c>
      <c r="K19">
        <v>2</v>
      </c>
      <c r="L19">
        <v>5</v>
      </c>
      <c r="M19">
        <v>5</v>
      </c>
      <c r="N19">
        <v>5</v>
      </c>
      <c r="O19">
        <v>5</v>
      </c>
      <c r="P19">
        <v>4</v>
      </c>
      <c r="Q19">
        <v>4</v>
      </c>
      <c r="R19">
        <v>4</v>
      </c>
      <c r="S19">
        <v>4</v>
      </c>
      <c r="T19">
        <v>4</v>
      </c>
      <c r="U19">
        <v>3</v>
      </c>
      <c r="V19">
        <v>3</v>
      </c>
      <c r="W19">
        <v>3</v>
      </c>
      <c r="X19">
        <v>3</v>
      </c>
      <c r="Y19">
        <v>3</v>
      </c>
      <c r="Z19">
        <v>3</v>
      </c>
      <c r="AA19">
        <v>2</v>
      </c>
      <c r="AB19">
        <v>2</v>
      </c>
      <c r="AC19">
        <v>2</v>
      </c>
      <c r="AD19">
        <v>2</v>
      </c>
      <c r="AE19">
        <v>2</v>
      </c>
      <c r="AF19">
        <v>3</v>
      </c>
      <c r="AG19">
        <v>3</v>
      </c>
      <c r="AH19">
        <v>3</v>
      </c>
      <c r="AI19">
        <v>3</v>
      </c>
      <c r="AJ19">
        <v>2</v>
      </c>
      <c r="AK19">
        <v>2</v>
      </c>
      <c r="AL19">
        <v>2</v>
      </c>
      <c r="AM19">
        <v>2</v>
      </c>
      <c r="AN19">
        <v>2</v>
      </c>
      <c r="AO19">
        <v>2</v>
      </c>
      <c r="AP19">
        <v>2</v>
      </c>
      <c r="AQ19">
        <v>2</v>
      </c>
      <c r="AR19">
        <v>2</v>
      </c>
      <c r="AS19">
        <v>2</v>
      </c>
      <c r="AT19">
        <v>2</v>
      </c>
      <c r="AU19">
        <v>2</v>
      </c>
      <c r="AV19">
        <v>2</v>
      </c>
      <c r="AW19">
        <v>2</v>
      </c>
      <c r="AX19">
        <v>1</v>
      </c>
      <c r="AY19">
        <v>1</v>
      </c>
      <c r="AZ19">
        <v>2</v>
      </c>
      <c r="BA19">
        <v>2</v>
      </c>
      <c r="BB19">
        <v>2</v>
      </c>
      <c r="BC19">
        <v>2</v>
      </c>
      <c r="BD19">
        <v>2</v>
      </c>
      <c r="BE19">
        <v>2</v>
      </c>
      <c r="BF19">
        <v>1</v>
      </c>
      <c r="BG19">
        <v>2</v>
      </c>
      <c r="BH19">
        <v>2</v>
      </c>
      <c r="BI19">
        <v>2</v>
      </c>
      <c r="BJ19">
        <v>2</v>
      </c>
      <c r="BK19">
        <v>2</v>
      </c>
      <c r="BL19">
        <v>2</v>
      </c>
      <c r="BM19">
        <v>2</v>
      </c>
      <c r="BN19">
        <v>2</v>
      </c>
      <c r="BO19">
        <v>1</v>
      </c>
      <c r="BP19">
        <v>1</v>
      </c>
      <c r="BQ19">
        <v>2</v>
      </c>
      <c r="BR19">
        <v>2</v>
      </c>
      <c r="BS19">
        <v>2</v>
      </c>
      <c r="BT19">
        <v>2</v>
      </c>
      <c r="BU19">
        <v>2</v>
      </c>
      <c r="BV19">
        <v>2</v>
      </c>
      <c r="BW19">
        <v>1</v>
      </c>
      <c r="BX19">
        <v>2</v>
      </c>
      <c r="BY19">
        <v>3</v>
      </c>
      <c r="BZ19">
        <v>4</v>
      </c>
      <c r="CA19">
        <v>4</v>
      </c>
      <c r="CB19">
        <v>4</v>
      </c>
      <c r="CC19">
        <v>4</v>
      </c>
      <c r="CD19">
        <v>4</v>
      </c>
      <c r="CE19">
        <v>5</v>
      </c>
      <c r="CF19">
        <v>5</v>
      </c>
      <c r="CG19">
        <v>5</v>
      </c>
      <c r="CH19">
        <v>5</v>
      </c>
      <c r="CI19">
        <v>5</v>
      </c>
      <c r="CJ19">
        <v>5</v>
      </c>
    </row>
    <row r="20" spans="1:88" ht="19.5" hidden="1">
      <c r="A20" t="s">
        <v>332</v>
      </c>
      <c r="B20" t="s">
        <v>333</v>
      </c>
      <c r="D20" t="s">
        <v>28</v>
      </c>
      <c r="E20" t="s">
        <v>246</v>
      </c>
    </row>
    <row r="21" spans="1:88" ht="19.5" hidden="1">
      <c r="A21" t="s">
        <v>248</v>
      </c>
      <c r="B21" t="s">
        <v>249</v>
      </c>
      <c r="D21" t="s">
        <v>31</v>
      </c>
      <c r="E21" t="s">
        <v>246</v>
      </c>
    </row>
    <row r="22" spans="1:88">
      <c r="A22" t="s">
        <v>262</v>
      </c>
      <c r="B22" t="s">
        <v>256</v>
      </c>
      <c r="D22" t="s">
        <v>30</v>
      </c>
      <c r="E22" t="s">
        <v>246</v>
      </c>
    </row>
    <row r="23" spans="1:88" ht="19.5" hidden="1">
      <c r="A23" t="s">
        <v>341</v>
      </c>
      <c r="B23" t="s">
        <v>342</v>
      </c>
      <c r="D23" t="s">
        <v>31</v>
      </c>
      <c r="E23" t="s">
        <v>246</v>
      </c>
    </row>
    <row r="24" spans="1:88" ht="19.5" hidden="1">
      <c r="A24" t="s">
        <v>278</v>
      </c>
      <c r="B24" t="s">
        <v>279</v>
      </c>
      <c r="D24" t="s">
        <v>31</v>
      </c>
      <c r="E24" t="s">
        <v>246</v>
      </c>
    </row>
    <row r="25" spans="1:88" ht="19.5" hidden="1">
      <c r="A25" t="s">
        <v>343</v>
      </c>
      <c r="B25" t="s">
        <v>344</v>
      </c>
      <c r="D25" t="s">
        <v>30</v>
      </c>
      <c r="E25" t="s">
        <v>246</v>
      </c>
    </row>
    <row r="26" spans="1:88" ht="19.5" hidden="1">
      <c r="A26" t="s">
        <v>305</v>
      </c>
      <c r="B26" t="s">
        <v>306</v>
      </c>
      <c r="D26" t="s">
        <v>31</v>
      </c>
      <c r="E26" t="s">
        <v>246</v>
      </c>
    </row>
    <row r="27" spans="1:88" ht="19.5" hidden="1">
      <c r="A27" t="s">
        <v>308</v>
      </c>
      <c r="B27" t="s">
        <v>309</v>
      </c>
      <c r="D27" t="s">
        <v>30</v>
      </c>
      <c r="E27" t="s">
        <v>246</v>
      </c>
    </row>
    <row r="28" spans="1:88" ht="19.5" hidden="1">
      <c r="A28" t="s">
        <v>311</v>
      </c>
      <c r="B28" t="s">
        <v>312</v>
      </c>
      <c r="D28" t="s">
        <v>30</v>
      </c>
      <c r="E28" t="s">
        <v>246</v>
      </c>
    </row>
    <row r="29" spans="1:88" ht="19.5" hidden="1">
      <c r="A29" t="s">
        <v>326</v>
      </c>
      <c r="B29" t="s">
        <v>327</v>
      </c>
      <c r="D29" t="s">
        <v>28</v>
      </c>
      <c r="E29" t="s">
        <v>246</v>
      </c>
    </row>
    <row r="30" spans="1:88" ht="19.5" hidden="1">
      <c r="A30" t="s">
        <v>329</v>
      </c>
      <c r="B30" t="s">
        <v>330</v>
      </c>
      <c r="D30" t="s">
        <v>28</v>
      </c>
      <c r="E30" t="s">
        <v>246</v>
      </c>
    </row>
    <row r="31" spans="1:88" ht="19.5" hidden="1">
      <c r="A31" t="s">
        <v>295</v>
      </c>
      <c r="B31" t="s">
        <v>296</v>
      </c>
      <c r="D31" t="s">
        <v>26</v>
      </c>
      <c r="E31" t="s">
        <v>246</v>
      </c>
    </row>
    <row r="32" spans="1:88" ht="19.5" hidden="1">
      <c r="A32" t="s">
        <v>323</v>
      </c>
      <c r="B32" t="s">
        <v>324</v>
      </c>
      <c r="D32" t="s">
        <v>31</v>
      </c>
      <c r="E32" t="s">
        <v>246</v>
      </c>
    </row>
    <row r="33" spans="1:88" ht="19.5" hidden="1">
      <c r="A33" t="s">
        <v>286</v>
      </c>
      <c r="B33" t="s">
        <v>287</v>
      </c>
      <c r="D33" t="s">
        <v>31</v>
      </c>
      <c r="E33" t="s">
        <v>246</v>
      </c>
    </row>
    <row r="34" spans="1:88">
      <c r="A34" t="s">
        <v>255</v>
      </c>
      <c r="B34" t="s">
        <v>256</v>
      </c>
      <c r="C34" t="s">
        <v>257</v>
      </c>
      <c r="D34" t="s">
        <v>31</v>
      </c>
      <c r="E34" t="s">
        <v>345</v>
      </c>
      <c r="I34">
        <v>2.92</v>
      </c>
      <c r="J34">
        <v>2</v>
      </c>
      <c r="K34">
        <v>2</v>
      </c>
      <c r="L34">
        <v>2</v>
      </c>
      <c r="M34">
        <v>2</v>
      </c>
      <c r="N34">
        <v>2</v>
      </c>
      <c r="O34">
        <v>2</v>
      </c>
      <c r="P34">
        <v>2</v>
      </c>
      <c r="Q34">
        <v>2</v>
      </c>
      <c r="R34">
        <v>2</v>
      </c>
      <c r="S34">
        <v>2</v>
      </c>
      <c r="T34">
        <v>2</v>
      </c>
      <c r="U34">
        <v>2</v>
      </c>
      <c r="V34">
        <v>1.08</v>
      </c>
      <c r="W34">
        <v>1.08</v>
      </c>
      <c r="X34">
        <v>1.08</v>
      </c>
      <c r="Y34">
        <v>1.08</v>
      </c>
      <c r="Z34">
        <v>2</v>
      </c>
      <c r="AA34">
        <v>2</v>
      </c>
      <c r="AB34">
        <v>2</v>
      </c>
      <c r="AC34">
        <v>2</v>
      </c>
      <c r="AD34">
        <v>2</v>
      </c>
      <c r="AE34">
        <v>2</v>
      </c>
      <c r="AF34">
        <v>2</v>
      </c>
      <c r="AG34">
        <v>2</v>
      </c>
      <c r="AH34">
        <v>2</v>
      </c>
      <c r="AI34">
        <v>2</v>
      </c>
      <c r="AJ34">
        <v>2</v>
      </c>
      <c r="AK34">
        <v>2</v>
      </c>
      <c r="AL34">
        <v>1.08</v>
      </c>
      <c r="AM34">
        <v>1.08</v>
      </c>
      <c r="AN34">
        <v>2</v>
      </c>
      <c r="AO34">
        <v>2</v>
      </c>
      <c r="AP34">
        <v>2</v>
      </c>
      <c r="AQ34">
        <v>2</v>
      </c>
      <c r="AR34">
        <v>2</v>
      </c>
      <c r="AS34">
        <v>2</v>
      </c>
      <c r="AT34">
        <v>2</v>
      </c>
      <c r="AU34">
        <v>2</v>
      </c>
      <c r="AV34">
        <v>2</v>
      </c>
      <c r="AW34">
        <v>2</v>
      </c>
      <c r="AX34">
        <v>2</v>
      </c>
      <c r="AY34">
        <v>2</v>
      </c>
      <c r="AZ34">
        <v>2</v>
      </c>
      <c r="BA34">
        <v>2</v>
      </c>
      <c r="BB34">
        <v>2</v>
      </c>
      <c r="BC34">
        <v>2</v>
      </c>
      <c r="BD34">
        <v>1.08</v>
      </c>
      <c r="BE34">
        <v>1.08</v>
      </c>
      <c r="BF34">
        <v>1.08</v>
      </c>
      <c r="BG34">
        <v>1.08</v>
      </c>
      <c r="BH34">
        <v>2</v>
      </c>
      <c r="BI34">
        <v>2</v>
      </c>
      <c r="BJ34">
        <v>2</v>
      </c>
      <c r="BK34">
        <v>2</v>
      </c>
      <c r="BL34">
        <v>2</v>
      </c>
      <c r="BM34">
        <v>2</v>
      </c>
      <c r="BN34">
        <v>2</v>
      </c>
      <c r="BO34">
        <v>2</v>
      </c>
      <c r="BP34">
        <v>2</v>
      </c>
      <c r="BQ34">
        <v>2</v>
      </c>
      <c r="BR34">
        <v>2</v>
      </c>
      <c r="BS34">
        <v>2</v>
      </c>
      <c r="BT34">
        <v>1.08</v>
      </c>
      <c r="BU34">
        <v>1.08</v>
      </c>
      <c r="BV34">
        <v>2</v>
      </c>
      <c r="BW34">
        <v>2</v>
      </c>
      <c r="BX34">
        <v>2</v>
      </c>
      <c r="BY34">
        <v>2</v>
      </c>
      <c r="BZ34">
        <v>2</v>
      </c>
      <c r="CA34">
        <v>2</v>
      </c>
      <c r="CB34">
        <v>2</v>
      </c>
      <c r="CC34">
        <v>2</v>
      </c>
      <c r="CD34">
        <v>2</v>
      </c>
      <c r="CE34">
        <v>2</v>
      </c>
      <c r="CF34">
        <v>2</v>
      </c>
      <c r="CG34">
        <v>2</v>
      </c>
      <c r="CH34">
        <v>2</v>
      </c>
      <c r="CI34">
        <v>2</v>
      </c>
      <c r="CJ34">
        <v>2</v>
      </c>
    </row>
    <row r="35" spans="1:88" ht="19.5" hidden="1">
      <c r="A35" t="s">
        <v>275</v>
      </c>
      <c r="B35" t="s">
        <v>276</v>
      </c>
      <c r="C35" t="s">
        <v>277</v>
      </c>
      <c r="D35" t="s">
        <v>31</v>
      </c>
      <c r="E35" t="s">
        <v>345</v>
      </c>
      <c r="I35">
        <v>2</v>
      </c>
      <c r="J35">
        <v>2</v>
      </c>
      <c r="K35">
        <v>2</v>
      </c>
      <c r="L35">
        <v>2</v>
      </c>
      <c r="M35">
        <v>2</v>
      </c>
      <c r="N35">
        <v>2</v>
      </c>
      <c r="O35">
        <v>2</v>
      </c>
      <c r="P35">
        <v>2</v>
      </c>
      <c r="Q35">
        <v>2</v>
      </c>
      <c r="R35">
        <v>2</v>
      </c>
      <c r="S35">
        <v>2</v>
      </c>
      <c r="T35">
        <v>2</v>
      </c>
      <c r="U35">
        <v>2</v>
      </c>
      <c r="V35">
        <v>1.08</v>
      </c>
      <c r="W35">
        <v>1.08</v>
      </c>
      <c r="X35">
        <v>1.08</v>
      </c>
      <c r="Y35">
        <v>1.08</v>
      </c>
      <c r="Z35">
        <v>2</v>
      </c>
      <c r="AA35">
        <v>2</v>
      </c>
      <c r="AB35">
        <v>2</v>
      </c>
      <c r="AC35">
        <v>2</v>
      </c>
      <c r="AD35">
        <v>2</v>
      </c>
      <c r="AE35">
        <v>2</v>
      </c>
      <c r="AF35">
        <v>2</v>
      </c>
      <c r="AG35">
        <v>2</v>
      </c>
      <c r="AH35">
        <v>2</v>
      </c>
      <c r="AI35">
        <v>2</v>
      </c>
      <c r="AJ35">
        <v>2</v>
      </c>
      <c r="AK35">
        <v>2</v>
      </c>
      <c r="AL35">
        <v>1.08</v>
      </c>
      <c r="AM35">
        <v>1.08</v>
      </c>
      <c r="AN35">
        <v>2</v>
      </c>
      <c r="AO35">
        <v>2</v>
      </c>
      <c r="AP35">
        <v>2</v>
      </c>
      <c r="AQ35">
        <v>2</v>
      </c>
      <c r="AR35">
        <v>2</v>
      </c>
      <c r="AS35">
        <v>2</v>
      </c>
      <c r="AT35">
        <v>2</v>
      </c>
      <c r="AU35">
        <v>2</v>
      </c>
      <c r="AV35">
        <v>2</v>
      </c>
      <c r="AW35">
        <v>2</v>
      </c>
      <c r="AX35">
        <v>2</v>
      </c>
      <c r="AY35">
        <v>2</v>
      </c>
      <c r="AZ35">
        <v>2</v>
      </c>
      <c r="BA35">
        <v>2</v>
      </c>
      <c r="BB35">
        <v>2</v>
      </c>
      <c r="BC35">
        <v>2</v>
      </c>
      <c r="BD35">
        <v>1.08</v>
      </c>
      <c r="BE35">
        <v>1.08</v>
      </c>
      <c r="BF35">
        <v>1.08</v>
      </c>
      <c r="BG35">
        <v>1.08</v>
      </c>
      <c r="BH35">
        <v>2</v>
      </c>
      <c r="BI35">
        <v>2</v>
      </c>
      <c r="BJ35">
        <v>2</v>
      </c>
      <c r="BK35">
        <v>2</v>
      </c>
      <c r="BL35">
        <v>2</v>
      </c>
      <c r="BM35">
        <v>2</v>
      </c>
      <c r="BN35">
        <v>2</v>
      </c>
      <c r="BO35">
        <v>2</v>
      </c>
      <c r="BP35">
        <v>2</v>
      </c>
      <c r="BQ35">
        <v>2</v>
      </c>
      <c r="BR35">
        <v>2</v>
      </c>
      <c r="BS35">
        <v>2</v>
      </c>
      <c r="BT35">
        <v>1.08</v>
      </c>
      <c r="BU35">
        <v>1.08</v>
      </c>
      <c r="BV35">
        <v>2</v>
      </c>
      <c r="BW35">
        <v>2</v>
      </c>
      <c r="BX35">
        <v>2</v>
      </c>
      <c r="BY35">
        <v>2</v>
      </c>
      <c r="BZ35">
        <v>2</v>
      </c>
      <c r="CA35">
        <v>2</v>
      </c>
      <c r="CB35">
        <v>2</v>
      </c>
      <c r="CC35">
        <v>2</v>
      </c>
      <c r="CD35">
        <v>2</v>
      </c>
      <c r="CE35">
        <v>2</v>
      </c>
      <c r="CF35">
        <v>2</v>
      </c>
      <c r="CG35">
        <v>2</v>
      </c>
      <c r="CH35">
        <v>2</v>
      </c>
      <c r="CI35">
        <v>2</v>
      </c>
      <c r="CJ35">
        <v>2</v>
      </c>
    </row>
    <row r="36" spans="1:88">
      <c r="A36" t="s">
        <v>260</v>
      </c>
      <c r="B36" t="s">
        <v>256</v>
      </c>
      <c r="C36" t="s">
        <v>261</v>
      </c>
      <c r="D36" t="s">
        <v>30</v>
      </c>
      <c r="E36" t="s">
        <v>345</v>
      </c>
      <c r="I36">
        <v>1.61</v>
      </c>
      <c r="J36">
        <v>1.61</v>
      </c>
      <c r="K36">
        <v>1.61</v>
      </c>
      <c r="L36">
        <v>1.61</v>
      </c>
      <c r="M36">
        <v>1.61</v>
      </c>
      <c r="N36">
        <v>1.61</v>
      </c>
      <c r="O36">
        <v>1.61</v>
      </c>
      <c r="P36">
        <v>1.61</v>
      </c>
      <c r="Q36">
        <v>1.61</v>
      </c>
      <c r="R36">
        <v>1.61</v>
      </c>
      <c r="S36">
        <v>1.61</v>
      </c>
      <c r="T36">
        <v>1.61</v>
      </c>
      <c r="U36">
        <v>1.61</v>
      </c>
      <c r="V36">
        <v>0.72</v>
      </c>
      <c r="W36">
        <v>0.72</v>
      </c>
      <c r="X36">
        <v>0.72</v>
      </c>
      <c r="Y36">
        <v>0.72</v>
      </c>
      <c r="Z36">
        <v>1.61</v>
      </c>
      <c r="AA36">
        <v>1.61</v>
      </c>
      <c r="AB36">
        <v>1.61</v>
      </c>
      <c r="AC36">
        <v>1.61</v>
      </c>
      <c r="AD36">
        <v>1.61</v>
      </c>
      <c r="AE36">
        <v>1.61</v>
      </c>
      <c r="AF36">
        <v>1.61</v>
      </c>
      <c r="AG36">
        <v>1.61</v>
      </c>
      <c r="AH36">
        <v>1.61</v>
      </c>
      <c r="AI36">
        <v>1.61</v>
      </c>
      <c r="AJ36">
        <v>1.61</v>
      </c>
      <c r="AK36">
        <v>1.61</v>
      </c>
      <c r="AL36">
        <v>0.72</v>
      </c>
      <c r="AM36">
        <v>0.72</v>
      </c>
      <c r="AN36">
        <v>1.61</v>
      </c>
      <c r="AO36">
        <v>1.61</v>
      </c>
      <c r="AP36">
        <v>1.61</v>
      </c>
      <c r="AQ36">
        <v>1.61</v>
      </c>
      <c r="AR36">
        <v>1.61</v>
      </c>
      <c r="AS36">
        <v>1.61</v>
      </c>
      <c r="AT36">
        <v>1.61</v>
      </c>
      <c r="AU36">
        <v>1.61</v>
      </c>
      <c r="AV36">
        <v>1.61</v>
      </c>
      <c r="AW36">
        <v>1.61</v>
      </c>
      <c r="AX36">
        <v>1.61</v>
      </c>
      <c r="AY36">
        <v>1.61</v>
      </c>
      <c r="AZ36">
        <v>1.61</v>
      </c>
      <c r="BA36">
        <v>1.61</v>
      </c>
      <c r="BB36">
        <v>1.61</v>
      </c>
      <c r="BC36">
        <v>1.61</v>
      </c>
      <c r="BD36">
        <v>0.72</v>
      </c>
      <c r="BE36">
        <v>0.72</v>
      </c>
      <c r="BF36">
        <v>1.08</v>
      </c>
      <c r="BG36">
        <v>1.08</v>
      </c>
      <c r="BH36">
        <v>2</v>
      </c>
      <c r="BI36">
        <v>2</v>
      </c>
      <c r="BJ36">
        <v>2</v>
      </c>
      <c r="BK36">
        <v>2</v>
      </c>
      <c r="BL36">
        <v>2</v>
      </c>
      <c r="BM36">
        <v>2</v>
      </c>
      <c r="BN36">
        <v>1.61</v>
      </c>
      <c r="BO36">
        <v>1.61</v>
      </c>
      <c r="BP36">
        <v>1.61</v>
      </c>
      <c r="BQ36">
        <v>1.61</v>
      </c>
      <c r="BR36">
        <v>1.61</v>
      </c>
      <c r="BS36">
        <v>1.61</v>
      </c>
      <c r="BT36">
        <v>0.72</v>
      </c>
      <c r="BU36">
        <v>0.72</v>
      </c>
      <c r="BV36">
        <v>1.61</v>
      </c>
      <c r="BW36">
        <v>1.61</v>
      </c>
      <c r="BX36">
        <v>1.61</v>
      </c>
      <c r="BY36">
        <v>1.61</v>
      </c>
      <c r="BZ36">
        <v>1.61</v>
      </c>
      <c r="CA36">
        <v>1.61</v>
      </c>
      <c r="CB36">
        <v>1.61</v>
      </c>
      <c r="CC36">
        <v>1.61</v>
      </c>
      <c r="CD36">
        <v>1.61</v>
      </c>
      <c r="CE36">
        <v>1.61</v>
      </c>
      <c r="CF36">
        <v>1.61</v>
      </c>
      <c r="CG36">
        <v>1.61</v>
      </c>
      <c r="CH36">
        <v>1.61</v>
      </c>
      <c r="CI36">
        <v>1.61</v>
      </c>
      <c r="CJ36">
        <v>1.61</v>
      </c>
    </row>
    <row r="37" spans="1:88" ht="19.5" hidden="1">
      <c r="A37" t="s">
        <v>289</v>
      </c>
      <c r="B37" t="s">
        <v>290</v>
      </c>
      <c r="C37" t="s">
        <v>291</v>
      </c>
      <c r="D37" t="s">
        <v>30</v>
      </c>
      <c r="E37" t="s">
        <v>345</v>
      </c>
      <c r="I37">
        <v>1.61</v>
      </c>
      <c r="J37">
        <v>1.61</v>
      </c>
      <c r="K37">
        <v>1.61</v>
      </c>
      <c r="L37">
        <v>1.61</v>
      </c>
      <c r="M37">
        <v>1.61</v>
      </c>
      <c r="N37">
        <v>1.61</v>
      </c>
      <c r="O37">
        <v>1.61</v>
      </c>
      <c r="P37">
        <v>1.61</v>
      </c>
      <c r="Q37">
        <v>1.61</v>
      </c>
      <c r="R37">
        <v>1.61</v>
      </c>
      <c r="S37">
        <v>1.61</v>
      </c>
      <c r="T37">
        <v>1.61</v>
      </c>
      <c r="U37">
        <v>1.61</v>
      </c>
      <c r="V37">
        <v>0.72</v>
      </c>
      <c r="W37">
        <v>0.72</v>
      </c>
      <c r="X37">
        <v>0.72</v>
      </c>
      <c r="Y37">
        <v>0.72</v>
      </c>
      <c r="Z37">
        <v>1.61</v>
      </c>
      <c r="AA37">
        <v>1.61</v>
      </c>
      <c r="AB37">
        <v>1.61</v>
      </c>
      <c r="AC37">
        <v>1.61</v>
      </c>
      <c r="AD37">
        <v>1.61</v>
      </c>
      <c r="AE37">
        <v>1.61</v>
      </c>
      <c r="AF37">
        <v>1.61</v>
      </c>
      <c r="AG37">
        <v>1.61</v>
      </c>
      <c r="AH37">
        <v>1.61</v>
      </c>
      <c r="AI37">
        <v>1.61</v>
      </c>
      <c r="AJ37">
        <v>1.61</v>
      </c>
      <c r="AK37">
        <v>1.61</v>
      </c>
      <c r="AL37">
        <v>0.72</v>
      </c>
      <c r="AM37">
        <v>0.72</v>
      </c>
      <c r="AN37">
        <v>1.61</v>
      </c>
      <c r="AO37">
        <v>1.61</v>
      </c>
      <c r="AP37">
        <v>1.61</v>
      </c>
      <c r="AQ37">
        <v>1.61</v>
      </c>
      <c r="AR37">
        <v>1.61</v>
      </c>
      <c r="AS37">
        <v>1.61</v>
      </c>
      <c r="AT37">
        <v>1.61</v>
      </c>
      <c r="AU37">
        <v>1.61</v>
      </c>
      <c r="AV37">
        <v>1.61</v>
      </c>
      <c r="AW37">
        <v>1.61</v>
      </c>
      <c r="AX37">
        <v>1.61</v>
      </c>
      <c r="AY37">
        <v>1.61</v>
      </c>
      <c r="AZ37">
        <v>1.61</v>
      </c>
      <c r="BA37">
        <v>1.61</v>
      </c>
      <c r="BB37">
        <v>1.61</v>
      </c>
      <c r="BC37">
        <v>1.61</v>
      </c>
      <c r="BD37">
        <v>0.72</v>
      </c>
      <c r="BE37">
        <v>0.72</v>
      </c>
      <c r="BF37">
        <v>1.08</v>
      </c>
      <c r="BG37">
        <v>1.08</v>
      </c>
      <c r="BH37">
        <v>2</v>
      </c>
      <c r="BI37">
        <v>2</v>
      </c>
      <c r="BJ37">
        <v>2</v>
      </c>
      <c r="BK37">
        <v>2</v>
      </c>
      <c r="BL37">
        <v>2</v>
      </c>
      <c r="BM37">
        <v>2</v>
      </c>
      <c r="BN37">
        <v>1.61</v>
      </c>
      <c r="BO37">
        <v>1.61</v>
      </c>
      <c r="BP37">
        <v>1.61</v>
      </c>
      <c r="BQ37">
        <v>1.61</v>
      </c>
      <c r="BR37">
        <v>1.61</v>
      </c>
      <c r="BS37">
        <v>1.61</v>
      </c>
      <c r="BT37">
        <v>0.72</v>
      </c>
      <c r="BU37">
        <v>0.72</v>
      </c>
      <c r="BV37">
        <v>1.61</v>
      </c>
      <c r="BW37">
        <v>1.61</v>
      </c>
      <c r="BX37">
        <v>1.61</v>
      </c>
      <c r="BY37">
        <v>1.61</v>
      </c>
      <c r="BZ37">
        <v>1.61</v>
      </c>
      <c r="CA37">
        <v>1.61</v>
      </c>
      <c r="CB37">
        <v>1.61</v>
      </c>
      <c r="CC37">
        <v>1.61</v>
      </c>
      <c r="CD37">
        <v>1.61</v>
      </c>
      <c r="CE37">
        <v>1.61</v>
      </c>
      <c r="CF37">
        <v>1.61</v>
      </c>
      <c r="CG37">
        <v>1.61</v>
      </c>
      <c r="CH37">
        <v>1.61</v>
      </c>
      <c r="CI37">
        <v>1.61</v>
      </c>
      <c r="CJ37">
        <v>1.61</v>
      </c>
    </row>
    <row r="38" spans="1:88" ht="19.5" hidden="1">
      <c r="A38" t="s">
        <v>265</v>
      </c>
      <c r="B38" t="s">
        <v>266</v>
      </c>
      <c r="C38" t="s">
        <v>267</v>
      </c>
      <c r="D38" t="s">
        <v>30</v>
      </c>
      <c r="E38" t="s">
        <v>345</v>
      </c>
      <c r="I38">
        <v>1.61</v>
      </c>
      <c r="J38">
        <v>1.61</v>
      </c>
      <c r="K38">
        <v>1.61</v>
      </c>
      <c r="L38">
        <v>1.61</v>
      </c>
      <c r="M38">
        <v>1.61</v>
      </c>
      <c r="N38">
        <v>1.61</v>
      </c>
      <c r="O38">
        <v>1.61</v>
      </c>
      <c r="P38">
        <v>1.61</v>
      </c>
      <c r="Q38">
        <v>1.61</v>
      </c>
      <c r="R38">
        <v>1.61</v>
      </c>
      <c r="S38">
        <v>1.61</v>
      </c>
      <c r="T38">
        <v>1.61</v>
      </c>
      <c r="U38">
        <v>1.61</v>
      </c>
      <c r="V38">
        <v>0.72</v>
      </c>
      <c r="W38">
        <v>0.72</v>
      </c>
      <c r="X38">
        <v>0.72</v>
      </c>
      <c r="Y38">
        <v>0.72</v>
      </c>
      <c r="Z38">
        <v>1.61</v>
      </c>
      <c r="AA38">
        <v>1.61</v>
      </c>
      <c r="AB38">
        <v>1.61</v>
      </c>
      <c r="AC38">
        <v>1.61</v>
      </c>
      <c r="AD38">
        <v>1.61</v>
      </c>
      <c r="AE38">
        <v>1.61</v>
      </c>
      <c r="AF38">
        <v>1.61</v>
      </c>
      <c r="AG38">
        <v>1.61</v>
      </c>
      <c r="AH38">
        <v>1.61</v>
      </c>
      <c r="AI38">
        <v>1.61</v>
      </c>
      <c r="AJ38">
        <v>1.61</v>
      </c>
      <c r="AK38">
        <v>1.61</v>
      </c>
      <c r="AL38">
        <v>0.72</v>
      </c>
      <c r="AM38">
        <v>0.72</v>
      </c>
      <c r="AN38">
        <v>1.61</v>
      </c>
      <c r="AO38">
        <v>1.61</v>
      </c>
      <c r="AP38">
        <v>1.61</v>
      </c>
      <c r="AQ38">
        <v>1.61</v>
      </c>
      <c r="AR38">
        <v>1.61</v>
      </c>
      <c r="AS38">
        <v>1.61</v>
      </c>
      <c r="AT38">
        <v>1.61</v>
      </c>
      <c r="AU38">
        <v>1.61</v>
      </c>
      <c r="AV38">
        <v>1.61</v>
      </c>
      <c r="AW38">
        <v>1.61</v>
      </c>
      <c r="AX38">
        <v>1.61</v>
      </c>
      <c r="AY38">
        <v>1.61</v>
      </c>
      <c r="AZ38">
        <v>1.61</v>
      </c>
      <c r="BA38">
        <v>1.61</v>
      </c>
      <c r="BB38">
        <v>1.61</v>
      </c>
      <c r="BC38">
        <v>1.61</v>
      </c>
      <c r="BD38">
        <v>0.72</v>
      </c>
      <c r="BE38">
        <v>0.72</v>
      </c>
      <c r="BF38">
        <v>1.08</v>
      </c>
      <c r="BG38">
        <v>1.08</v>
      </c>
      <c r="BH38">
        <v>2</v>
      </c>
      <c r="BI38">
        <v>2</v>
      </c>
      <c r="BJ38">
        <v>2</v>
      </c>
      <c r="BK38">
        <v>2</v>
      </c>
      <c r="BL38">
        <v>2</v>
      </c>
      <c r="BM38">
        <v>2</v>
      </c>
      <c r="BN38">
        <v>1.61</v>
      </c>
      <c r="BO38">
        <v>1.61</v>
      </c>
      <c r="BP38">
        <v>1.61</v>
      </c>
      <c r="BQ38">
        <v>1.61</v>
      </c>
      <c r="BR38">
        <v>1.61</v>
      </c>
      <c r="BS38">
        <v>1.61</v>
      </c>
      <c r="BT38">
        <v>0.72</v>
      </c>
      <c r="BU38">
        <v>0.72</v>
      </c>
      <c r="BV38">
        <v>1.61</v>
      </c>
      <c r="BW38">
        <v>1.61</v>
      </c>
      <c r="BX38">
        <v>1.61</v>
      </c>
      <c r="BY38">
        <v>1.61</v>
      </c>
      <c r="BZ38">
        <v>1.61</v>
      </c>
      <c r="CA38">
        <v>1.61</v>
      </c>
      <c r="CB38">
        <v>1.61</v>
      </c>
      <c r="CC38">
        <v>1.61</v>
      </c>
      <c r="CD38">
        <v>1.61</v>
      </c>
      <c r="CE38">
        <v>1.61</v>
      </c>
      <c r="CF38">
        <v>1.61</v>
      </c>
      <c r="CG38">
        <v>1.61</v>
      </c>
      <c r="CH38">
        <v>1.61</v>
      </c>
      <c r="CI38">
        <v>1.61</v>
      </c>
      <c r="CJ38">
        <v>1.61</v>
      </c>
    </row>
    <row r="39" spans="1:88" ht="19.5" hidden="1">
      <c r="A39" t="s">
        <v>317</v>
      </c>
      <c r="B39" t="s">
        <v>318</v>
      </c>
      <c r="C39" t="s">
        <v>319</v>
      </c>
      <c r="D39" t="s">
        <v>30</v>
      </c>
      <c r="E39" t="s">
        <v>345</v>
      </c>
      <c r="I39">
        <v>1.61</v>
      </c>
      <c r="J39">
        <v>1.61</v>
      </c>
      <c r="K39">
        <v>1.61</v>
      </c>
      <c r="L39">
        <v>1.61</v>
      </c>
      <c r="M39">
        <v>1.61</v>
      </c>
      <c r="N39">
        <v>1.61</v>
      </c>
      <c r="O39">
        <v>1.61</v>
      </c>
      <c r="P39">
        <v>1.61</v>
      </c>
      <c r="Q39">
        <v>1.61</v>
      </c>
      <c r="R39">
        <v>1.61</v>
      </c>
      <c r="S39">
        <v>1.61</v>
      </c>
      <c r="T39">
        <v>1.61</v>
      </c>
      <c r="U39">
        <v>1.61</v>
      </c>
      <c r="V39">
        <v>0.72</v>
      </c>
      <c r="W39">
        <v>0.72</v>
      </c>
      <c r="X39">
        <v>0.72</v>
      </c>
      <c r="Y39">
        <v>0.72</v>
      </c>
      <c r="Z39">
        <v>1.61</v>
      </c>
      <c r="AA39">
        <v>1.61</v>
      </c>
      <c r="AB39">
        <v>1.61</v>
      </c>
      <c r="AC39">
        <v>1.61</v>
      </c>
      <c r="AD39">
        <v>1.61</v>
      </c>
      <c r="AE39">
        <v>1.61</v>
      </c>
      <c r="AF39">
        <v>1.61</v>
      </c>
      <c r="AG39">
        <v>1.61</v>
      </c>
      <c r="AH39">
        <v>1.61</v>
      </c>
      <c r="AI39">
        <v>1.61</v>
      </c>
      <c r="AJ39">
        <v>1.61</v>
      </c>
      <c r="AK39">
        <v>1.61</v>
      </c>
      <c r="AL39">
        <v>0.72</v>
      </c>
      <c r="AM39">
        <v>0.72</v>
      </c>
      <c r="AN39">
        <v>1.61</v>
      </c>
      <c r="AO39">
        <v>1.61</v>
      </c>
      <c r="AP39">
        <v>1.61</v>
      </c>
      <c r="AQ39">
        <v>1.61</v>
      </c>
      <c r="AR39">
        <v>1.61</v>
      </c>
      <c r="AS39">
        <v>1.61</v>
      </c>
      <c r="AT39">
        <v>1.61</v>
      </c>
      <c r="AU39">
        <v>1.61</v>
      </c>
      <c r="AV39">
        <v>1.61</v>
      </c>
      <c r="AW39">
        <v>1.61</v>
      </c>
      <c r="AX39">
        <v>1.61</v>
      </c>
      <c r="AY39">
        <v>1.61</v>
      </c>
      <c r="AZ39">
        <v>1.61</v>
      </c>
      <c r="BA39">
        <v>1.61</v>
      </c>
      <c r="BB39">
        <v>1.61</v>
      </c>
      <c r="BC39">
        <v>1.61</v>
      </c>
      <c r="BD39">
        <v>0.72</v>
      </c>
      <c r="BE39">
        <v>0.72</v>
      </c>
      <c r="BF39">
        <v>1.08</v>
      </c>
      <c r="BG39">
        <v>1.08</v>
      </c>
      <c r="BH39">
        <v>2</v>
      </c>
      <c r="BI39">
        <v>2</v>
      </c>
      <c r="BJ39">
        <v>2</v>
      </c>
      <c r="BK39">
        <v>2</v>
      </c>
      <c r="BL39">
        <v>2</v>
      </c>
      <c r="BM39">
        <v>2</v>
      </c>
      <c r="BN39">
        <v>1.61</v>
      </c>
      <c r="BO39">
        <v>1.61</v>
      </c>
      <c r="BP39">
        <v>1.61</v>
      </c>
      <c r="BQ39">
        <v>1.61</v>
      </c>
      <c r="BR39">
        <v>1.61</v>
      </c>
      <c r="BS39">
        <v>1.61</v>
      </c>
      <c r="BT39">
        <v>0.72</v>
      </c>
      <c r="BU39">
        <v>0.72</v>
      </c>
      <c r="BV39">
        <v>1.61</v>
      </c>
      <c r="BW39">
        <v>1.61</v>
      </c>
      <c r="BX39">
        <v>1.61</v>
      </c>
      <c r="BY39">
        <v>1.61</v>
      </c>
      <c r="BZ39">
        <v>1.61</v>
      </c>
      <c r="CA39">
        <v>1.61</v>
      </c>
      <c r="CB39">
        <v>1.61</v>
      </c>
      <c r="CC39">
        <v>1.61</v>
      </c>
      <c r="CD39">
        <v>1.61</v>
      </c>
      <c r="CE39">
        <v>1.61</v>
      </c>
      <c r="CF39">
        <v>1.61</v>
      </c>
      <c r="CG39">
        <v>1.61</v>
      </c>
      <c r="CH39">
        <v>1.61</v>
      </c>
      <c r="CI39">
        <v>1.61</v>
      </c>
      <c r="CJ39">
        <v>1.61</v>
      </c>
    </row>
    <row r="40" spans="1:88" ht="19.5" hidden="1">
      <c r="A40" t="s">
        <v>320</v>
      </c>
      <c r="B40" t="s">
        <v>321</v>
      </c>
      <c r="C40" t="s">
        <v>322</v>
      </c>
      <c r="D40" t="s">
        <v>30</v>
      </c>
      <c r="E40" t="s">
        <v>345</v>
      </c>
      <c r="I40">
        <v>0.72</v>
      </c>
      <c r="J40">
        <v>5</v>
      </c>
      <c r="K40">
        <v>5</v>
      </c>
      <c r="L40">
        <v>1.61</v>
      </c>
      <c r="M40">
        <v>1.61</v>
      </c>
      <c r="N40">
        <v>5</v>
      </c>
      <c r="O40">
        <v>5</v>
      </c>
      <c r="P40">
        <v>5</v>
      </c>
      <c r="Q40">
        <v>5</v>
      </c>
      <c r="R40">
        <v>5</v>
      </c>
      <c r="S40">
        <v>5</v>
      </c>
      <c r="T40">
        <v>5</v>
      </c>
      <c r="U40">
        <v>5</v>
      </c>
      <c r="V40">
        <v>4.3899999999999997</v>
      </c>
      <c r="W40">
        <v>4.3899999999999997</v>
      </c>
      <c r="X40">
        <v>4.3899999999999997</v>
      </c>
      <c r="Y40">
        <v>4.3899999999999997</v>
      </c>
      <c r="Z40">
        <v>4.3899999999999997</v>
      </c>
      <c r="AA40">
        <v>4.3899999999999997</v>
      </c>
      <c r="AB40">
        <v>4.3899999999999997</v>
      </c>
      <c r="AC40">
        <v>4.3899999999999997</v>
      </c>
      <c r="AD40">
        <v>4.3899999999999997</v>
      </c>
      <c r="AE40">
        <v>4.3899999999999997</v>
      </c>
      <c r="AF40">
        <v>3</v>
      </c>
      <c r="AG40">
        <v>3</v>
      </c>
      <c r="AH40">
        <v>3</v>
      </c>
      <c r="AI40">
        <v>3</v>
      </c>
      <c r="AJ40">
        <v>3</v>
      </c>
      <c r="AK40">
        <v>3</v>
      </c>
      <c r="AL40">
        <v>3</v>
      </c>
      <c r="AM40">
        <v>3</v>
      </c>
      <c r="AN40">
        <v>3</v>
      </c>
      <c r="AO40">
        <v>3</v>
      </c>
      <c r="AP40">
        <v>3</v>
      </c>
      <c r="AQ40">
        <v>3</v>
      </c>
      <c r="AR40">
        <v>1.61</v>
      </c>
      <c r="AS40">
        <v>1.61</v>
      </c>
      <c r="AT40">
        <v>1.61</v>
      </c>
      <c r="AU40">
        <v>1.61</v>
      </c>
      <c r="AV40">
        <v>1.61</v>
      </c>
      <c r="AW40">
        <v>1.61</v>
      </c>
      <c r="AX40">
        <v>1.61</v>
      </c>
      <c r="AY40">
        <v>1.61</v>
      </c>
      <c r="AZ40">
        <v>1.61</v>
      </c>
      <c r="BA40">
        <v>1.61</v>
      </c>
      <c r="BB40">
        <v>3</v>
      </c>
      <c r="BC40">
        <v>3</v>
      </c>
      <c r="BD40">
        <v>3</v>
      </c>
      <c r="BE40">
        <v>3</v>
      </c>
      <c r="BF40">
        <v>2.92</v>
      </c>
      <c r="BG40">
        <v>2.92</v>
      </c>
      <c r="BH40">
        <v>2.92</v>
      </c>
      <c r="BI40">
        <v>2.92</v>
      </c>
      <c r="BJ40">
        <v>2</v>
      </c>
      <c r="BK40">
        <v>2</v>
      </c>
      <c r="BL40">
        <v>2</v>
      </c>
      <c r="BM40">
        <v>2</v>
      </c>
      <c r="BN40">
        <v>1.61</v>
      </c>
      <c r="BO40">
        <v>1.61</v>
      </c>
      <c r="BP40">
        <v>1.61</v>
      </c>
      <c r="BQ40">
        <v>1.61</v>
      </c>
      <c r="BR40">
        <v>1.61</v>
      </c>
      <c r="BS40">
        <v>1.61</v>
      </c>
      <c r="BT40">
        <v>1.61</v>
      </c>
      <c r="BU40">
        <v>1.61</v>
      </c>
      <c r="BV40">
        <v>1.61</v>
      </c>
      <c r="BW40">
        <v>1.61</v>
      </c>
      <c r="BX40">
        <v>1.61</v>
      </c>
      <c r="BY40">
        <v>1.61</v>
      </c>
      <c r="BZ40">
        <v>1.61</v>
      </c>
      <c r="CA40">
        <v>1.61</v>
      </c>
      <c r="CB40">
        <v>1.61</v>
      </c>
      <c r="CC40">
        <v>1.61</v>
      </c>
      <c r="CD40">
        <v>1.61</v>
      </c>
      <c r="CE40">
        <v>1.61</v>
      </c>
      <c r="CF40">
        <v>1.61</v>
      </c>
      <c r="CG40">
        <v>1.61</v>
      </c>
      <c r="CH40">
        <v>1.61</v>
      </c>
      <c r="CI40">
        <v>1.61</v>
      </c>
      <c r="CJ40">
        <v>1.61</v>
      </c>
    </row>
    <row r="41" spans="1:88" ht="19.5" hidden="1">
      <c r="A41" t="s">
        <v>301</v>
      </c>
      <c r="B41" t="s">
        <v>302</v>
      </c>
      <c r="C41" t="s">
        <v>303</v>
      </c>
      <c r="D41" t="s">
        <v>30</v>
      </c>
      <c r="E41" t="s">
        <v>345</v>
      </c>
      <c r="I41">
        <v>0.72</v>
      </c>
      <c r="J41">
        <v>5</v>
      </c>
      <c r="K41">
        <v>5</v>
      </c>
      <c r="L41">
        <v>1.61</v>
      </c>
      <c r="M41">
        <v>1.61</v>
      </c>
      <c r="N41">
        <v>5</v>
      </c>
      <c r="O41">
        <v>5</v>
      </c>
      <c r="P41">
        <v>5</v>
      </c>
      <c r="Q41">
        <v>5</v>
      </c>
      <c r="R41">
        <v>5</v>
      </c>
      <c r="S41">
        <v>5</v>
      </c>
      <c r="T41">
        <v>5</v>
      </c>
      <c r="U41">
        <v>5</v>
      </c>
      <c r="V41">
        <v>5</v>
      </c>
      <c r="W41">
        <v>5</v>
      </c>
      <c r="X41">
        <v>5</v>
      </c>
      <c r="Y41">
        <v>5</v>
      </c>
      <c r="Z41">
        <v>5</v>
      </c>
      <c r="AA41">
        <v>5</v>
      </c>
      <c r="AB41">
        <v>5</v>
      </c>
      <c r="AC41">
        <v>5</v>
      </c>
      <c r="AD41">
        <v>5</v>
      </c>
      <c r="AE41">
        <v>5</v>
      </c>
      <c r="AF41">
        <v>5</v>
      </c>
      <c r="AG41">
        <v>5</v>
      </c>
      <c r="AH41">
        <v>5</v>
      </c>
      <c r="AI41">
        <v>5</v>
      </c>
      <c r="AJ41">
        <v>5</v>
      </c>
      <c r="AK41">
        <v>5</v>
      </c>
      <c r="AL41">
        <v>5</v>
      </c>
      <c r="AM41">
        <v>5</v>
      </c>
      <c r="AN41">
        <v>5</v>
      </c>
      <c r="AO41">
        <v>5</v>
      </c>
      <c r="AP41">
        <v>5</v>
      </c>
      <c r="AQ41">
        <v>5</v>
      </c>
      <c r="AR41">
        <v>5</v>
      </c>
      <c r="AS41">
        <v>5</v>
      </c>
      <c r="AT41">
        <v>5</v>
      </c>
      <c r="AU41">
        <v>5</v>
      </c>
      <c r="AV41">
        <v>5</v>
      </c>
      <c r="AW41">
        <v>5</v>
      </c>
      <c r="AX41">
        <v>5</v>
      </c>
      <c r="AY41">
        <v>5</v>
      </c>
      <c r="AZ41">
        <v>5</v>
      </c>
      <c r="BA41">
        <v>5</v>
      </c>
      <c r="BB41">
        <v>5</v>
      </c>
      <c r="BC41">
        <v>5</v>
      </c>
      <c r="BD41">
        <v>5</v>
      </c>
      <c r="BE41">
        <v>5</v>
      </c>
      <c r="BF41">
        <v>3.81</v>
      </c>
      <c r="BG41">
        <v>3.81</v>
      </c>
      <c r="BH41">
        <v>3.81</v>
      </c>
      <c r="BI41">
        <v>3.81</v>
      </c>
      <c r="BJ41">
        <v>3.81</v>
      </c>
      <c r="BK41">
        <v>3.81</v>
      </c>
      <c r="BL41">
        <v>3.81</v>
      </c>
      <c r="BM41">
        <v>3.81</v>
      </c>
      <c r="BN41">
        <v>5</v>
      </c>
      <c r="BO41">
        <v>5</v>
      </c>
      <c r="BP41">
        <v>5</v>
      </c>
      <c r="BQ41">
        <v>5</v>
      </c>
      <c r="BR41">
        <v>5</v>
      </c>
      <c r="BS41">
        <v>5</v>
      </c>
      <c r="BT41">
        <v>5</v>
      </c>
      <c r="BU41">
        <v>5</v>
      </c>
      <c r="BV41">
        <v>5</v>
      </c>
      <c r="BW41">
        <v>5</v>
      </c>
      <c r="BX41">
        <v>5</v>
      </c>
      <c r="BY41">
        <v>5</v>
      </c>
      <c r="BZ41">
        <v>5</v>
      </c>
      <c r="CA41">
        <v>5</v>
      </c>
      <c r="CB41">
        <v>5</v>
      </c>
      <c r="CC41">
        <v>5</v>
      </c>
      <c r="CD41">
        <v>5</v>
      </c>
      <c r="CE41">
        <v>5</v>
      </c>
      <c r="CF41">
        <v>5</v>
      </c>
      <c r="CG41">
        <v>5</v>
      </c>
      <c r="CH41">
        <v>5</v>
      </c>
      <c r="CI41">
        <v>5</v>
      </c>
      <c r="CJ41">
        <v>5</v>
      </c>
    </row>
    <row r="42" spans="1:88" ht="19.5" hidden="1">
      <c r="A42" t="s">
        <v>272</v>
      </c>
      <c r="B42" t="s">
        <v>273</v>
      </c>
      <c r="C42" t="s">
        <v>274</v>
      </c>
      <c r="D42" t="s">
        <v>30</v>
      </c>
      <c r="E42" t="s">
        <v>345</v>
      </c>
      <c r="I42">
        <v>0.72</v>
      </c>
      <c r="J42">
        <v>5</v>
      </c>
      <c r="K42">
        <v>5</v>
      </c>
      <c r="L42">
        <v>1.61</v>
      </c>
      <c r="M42">
        <v>1.61</v>
      </c>
      <c r="N42">
        <v>5</v>
      </c>
      <c r="O42">
        <v>5</v>
      </c>
      <c r="P42">
        <v>5</v>
      </c>
      <c r="Q42">
        <v>5</v>
      </c>
      <c r="R42">
        <v>5</v>
      </c>
      <c r="S42">
        <v>5</v>
      </c>
      <c r="T42">
        <v>5</v>
      </c>
      <c r="U42">
        <v>5</v>
      </c>
      <c r="V42">
        <v>5</v>
      </c>
      <c r="W42">
        <v>5</v>
      </c>
      <c r="X42">
        <v>5</v>
      </c>
      <c r="Y42">
        <v>5</v>
      </c>
      <c r="Z42">
        <v>5</v>
      </c>
      <c r="AA42">
        <v>5</v>
      </c>
      <c r="AB42">
        <v>5</v>
      </c>
      <c r="AC42">
        <v>5</v>
      </c>
      <c r="AD42">
        <v>5</v>
      </c>
      <c r="AE42">
        <v>5</v>
      </c>
      <c r="AF42">
        <v>5</v>
      </c>
      <c r="AG42">
        <v>5</v>
      </c>
      <c r="AH42">
        <v>5</v>
      </c>
      <c r="AI42">
        <v>5</v>
      </c>
      <c r="AJ42">
        <v>5</v>
      </c>
      <c r="AK42">
        <v>5</v>
      </c>
      <c r="AL42">
        <v>5</v>
      </c>
      <c r="AM42">
        <v>5</v>
      </c>
      <c r="AN42">
        <v>5</v>
      </c>
      <c r="AO42">
        <v>5</v>
      </c>
      <c r="AP42">
        <v>5</v>
      </c>
      <c r="AQ42">
        <v>5</v>
      </c>
      <c r="AR42">
        <v>5</v>
      </c>
      <c r="AS42">
        <v>5</v>
      </c>
      <c r="AT42">
        <v>5</v>
      </c>
      <c r="AU42">
        <v>5</v>
      </c>
      <c r="AV42">
        <v>5</v>
      </c>
      <c r="AW42">
        <v>5</v>
      </c>
      <c r="AX42">
        <v>5</v>
      </c>
      <c r="AY42">
        <v>5</v>
      </c>
      <c r="AZ42">
        <v>5</v>
      </c>
      <c r="BA42">
        <v>5</v>
      </c>
      <c r="BB42">
        <v>5</v>
      </c>
      <c r="BC42">
        <v>5</v>
      </c>
      <c r="BD42">
        <v>5</v>
      </c>
      <c r="BE42">
        <v>5</v>
      </c>
      <c r="BF42">
        <v>3.81</v>
      </c>
      <c r="BG42">
        <v>3.81</v>
      </c>
      <c r="BH42">
        <v>3.81</v>
      </c>
      <c r="BI42">
        <v>3.81</v>
      </c>
      <c r="BJ42">
        <v>3.81</v>
      </c>
      <c r="BK42">
        <v>3.81</v>
      </c>
      <c r="BL42">
        <v>3.81</v>
      </c>
      <c r="BM42">
        <v>3.81</v>
      </c>
      <c r="BN42">
        <v>5</v>
      </c>
      <c r="BO42">
        <v>5</v>
      </c>
      <c r="BP42">
        <v>5</v>
      </c>
      <c r="BQ42">
        <v>5</v>
      </c>
      <c r="BR42">
        <v>5</v>
      </c>
      <c r="BS42">
        <v>5</v>
      </c>
      <c r="BT42">
        <v>5</v>
      </c>
      <c r="BU42">
        <v>5</v>
      </c>
      <c r="BV42">
        <v>5</v>
      </c>
      <c r="BW42">
        <v>5</v>
      </c>
      <c r="BX42">
        <v>5</v>
      </c>
      <c r="BY42">
        <v>5</v>
      </c>
      <c r="BZ42">
        <v>5</v>
      </c>
      <c r="CA42">
        <v>5</v>
      </c>
      <c r="CB42">
        <v>5</v>
      </c>
      <c r="CC42">
        <v>5</v>
      </c>
      <c r="CD42">
        <v>5</v>
      </c>
      <c r="CE42">
        <v>5</v>
      </c>
      <c r="CF42">
        <v>5</v>
      </c>
      <c r="CG42">
        <v>5</v>
      </c>
      <c r="CH42">
        <v>5</v>
      </c>
      <c r="CI42">
        <v>5</v>
      </c>
      <c r="CJ42">
        <v>5</v>
      </c>
    </row>
    <row r="43" spans="1:88" ht="19.5" hidden="1">
      <c r="A43" t="s">
        <v>243</v>
      </c>
      <c r="B43" t="s">
        <v>244</v>
      </c>
      <c r="C43" t="s">
        <v>245</v>
      </c>
      <c r="D43" t="s">
        <v>29</v>
      </c>
      <c r="E43" t="s">
        <v>345</v>
      </c>
      <c r="I43">
        <v>2.15</v>
      </c>
      <c r="J43">
        <v>2.15</v>
      </c>
      <c r="K43">
        <v>2.15</v>
      </c>
      <c r="L43">
        <v>0.95</v>
      </c>
      <c r="M43">
        <v>0.95</v>
      </c>
      <c r="N43">
        <v>2.15</v>
      </c>
      <c r="O43">
        <v>2.15</v>
      </c>
      <c r="P43">
        <v>2.15</v>
      </c>
      <c r="Q43">
        <v>2.15</v>
      </c>
      <c r="R43">
        <v>2.15</v>
      </c>
      <c r="S43">
        <v>2.15</v>
      </c>
      <c r="T43">
        <v>2.15</v>
      </c>
      <c r="U43">
        <v>2.15</v>
      </c>
      <c r="V43">
        <v>2.15</v>
      </c>
      <c r="W43">
        <v>2.15</v>
      </c>
      <c r="X43">
        <v>2.15</v>
      </c>
      <c r="Y43">
        <v>2.15</v>
      </c>
      <c r="Z43">
        <v>2.15</v>
      </c>
      <c r="AA43">
        <v>2.15</v>
      </c>
      <c r="AB43">
        <v>2.15</v>
      </c>
      <c r="AC43">
        <v>2.15</v>
      </c>
      <c r="AD43">
        <v>2.15</v>
      </c>
      <c r="AE43">
        <v>2.15</v>
      </c>
      <c r="AF43">
        <v>2.15</v>
      </c>
      <c r="AG43">
        <v>2.15</v>
      </c>
      <c r="AH43">
        <v>2.15</v>
      </c>
      <c r="AI43">
        <v>2.15</v>
      </c>
      <c r="AJ43">
        <v>2.15</v>
      </c>
      <c r="AK43">
        <v>2.15</v>
      </c>
      <c r="AL43">
        <v>2.15</v>
      </c>
      <c r="AM43">
        <v>2.15</v>
      </c>
      <c r="AN43">
        <v>2.15</v>
      </c>
      <c r="AO43">
        <v>2.15</v>
      </c>
      <c r="AP43">
        <v>2.15</v>
      </c>
      <c r="AQ43">
        <v>2.15</v>
      </c>
      <c r="AR43">
        <v>2.15</v>
      </c>
      <c r="AS43">
        <v>2.15</v>
      </c>
      <c r="AT43">
        <v>2.15</v>
      </c>
      <c r="AU43">
        <v>2.15</v>
      </c>
      <c r="AV43">
        <v>2.15</v>
      </c>
      <c r="AW43">
        <v>2.15</v>
      </c>
      <c r="AX43">
        <v>2.15</v>
      </c>
      <c r="AY43">
        <v>2.15</v>
      </c>
      <c r="AZ43">
        <v>2.15</v>
      </c>
      <c r="BA43">
        <v>2.15</v>
      </c>
      <c r="BB43">
        <v>2.15</v>
      </c>
      <c r="BC43">
        <v>2.15</v>
      </c>
      <c r="BD43">
        <v>2.15</v>
      </c>
      <c r="BE43">
        <v>2.15</v>
      </c>
      <c r="BF43">
        <v>3</v>
      </c>
      <c r="BG43">
        <v>3</v>
      </c>
      <c r="BH43">
        <v>3</v>
      </c>
      <c r="BI43">
        <v>3</v>
      </c>
      <c r="BJ43">
        <v>3</v>
      </c>
      <c r="BK43">
        <v>3</v>
      </c>
      <c r="BL43">
        <v>3</v>
      </c>
      <c r="BM43">
        <v>3</v>
      </c>
      <c r="BN43">
        <v>3</v>
      </c>
      <c r="BO43">
        <v>3</v>
      </c>
      <c r="BP43">
        <v>2.15</v>
      </c>
      <c r="BQ43">
        <v>2.15</v>
      </c>
      <c r="BR43">
        <v>2.15</v>
      </c>
      <c r="BS43">
        <v>2.15</v>
      </c>
      <c r="BT43">
        <v>2.15</v>
      </c>
      <c r="BU43">
        <v>2.15</v>
      </c>
      <c r="BV43">
        <v>2.15</v>
      </c>
      <c r="BW43">
        <v>2.15</v>
      </c>
      <c r="BX43">
        <v>2.15</v>
      </c>
      <c r="BY43">
        <v>2.15</v>
      </c>
      <c r="BZ43">
        <v>3</v>
      </c>
      <c r="CA43">
        <v>3</v>
      </c>
      <c r="CB43">
        <v>3</v>
      </c>
      <c r="CC43">
        <v>3</v>
      </c>
      <c r="CD43">
        <v>3</v>
      </c>
      <c r="CE43">
        <v>3</v>
      </c>
      <c r="CF43">
        <v>3</v>
      </c>
      <c r="CG43">
        <v>3</v>
      </c>
      <c r="CH43">
        <v>3</v>
      </c>
      <c r="CI43">
        <v>3</v>
      </c>
      <c r="CJ43">
        <v>3</v>
      </c>
    </row>
    <row r="44" spans="1:88" ht="19.5" hidden="1">
      <c r="A44" t="s">
        <v>292</v>
      </c>
      <c r="B44" t="s">
        <v>293</v>
      </c>
      <c r="C44" t="s">
        <v>294</v>
      </c>
      <c r="D44" t="s">
        <v>29</v>
      </c>
      <c r="E44" t="s">
        <v>345</v>
      </c>
      <c r="I44">
        <v>5</v>
      </c>
      <c r="J44">
        <v>4</v>
      </c>
      <c r="K44">
        <v>4</v>
      </c>
      <c r="L44">
        <v>0.95</v>
      </c>
      <c r="M44">
        <v>0.95</v>
      </c>
      <c r="N44">
        <v>5</v>
      </c>
      <c r="O44">
        <v>5</v>
      </c>
      <c r="P44">
        <v>5</v>
      </c>
      <c r="Q44">
        <v>5</v>
      </c>
      <c r="R44">
        <v>4</v>
      </c>
      <c r="S44">
        <v>4</v>
      </c>
      <c r="T44">
        <v>4</v>
      </c>
      <c r="U44">
        <v>4</v>
      </c>
      <c r="V44">
        <v>5</v>
      </c>
      <c r="W44">
        <v>5</v>
      </c>
      <c r="X44">
        <v>2.15</v>
      </c>
      <c r="Y44">
        <v>2.15</v>
      </c>
      <c r="Z44">
        <v>4</v>
      </c>
      <c r="AA44">
        <v>4</v>
      </c>
      <c r="AB44">
        <v>4</v>
      </c>
      <c r="AC44">
        <v>4</v>
      </c>
      <c r="AD44">
        <v>2.15</v>
      </c>
      <c r="AE44">
        <v>2.15</v>
      </c>
      <c r="AF44">
        <v>4</v>
      </c>
      <c r="AG44">
        <v>4</v>
      </c>
      <c r="AH44">
        <v>4</v>
      </c>
      <c r="AI44">
        <v>4</v>
      </c>
      <c r="AJ44">
        <v>5</v>
      </c>
      <c r="AK44">
        <v>5</v>
      </c>
      <c r="AL44">
        <v>2.15</v>
      </c>
      <c r="AM44">
        <v>2.15</v>
      </c>
      <c r="AN44">
        <v>2.15</v>
      </c>
      <c r="AO44">
        <v>2.15</v>
      </c>
      <c r="AP44">
        <v>4</v>
      </c>
      <c r="AQ44">
        <v>4</v>
      </c>
      <c r="AR44">
        <v>2.15</v>
      </c>
      <c r="AS44">
        <v>2.15</v>
      </c>
      <c r="AT44">
        <v>2.15</v>
      </c>
      <c r="AU44">
        <v>2.15</v>
      </c>
      <c r="AV44">
        <v>2.15</v>
      </c>
      <c r="AW44">
        <v>2.15</v>
      </c>
      <c r="AX44">
        <v>4</v>
      </c>
      <c r="AY44">
        <v>4</v>
      </c>
      <c r="AZ44">
        <v>4</v>
      </c>
      <c r="BA44">
        <v>4</v>
      </c>
      <c r="BB44">
        <v>4</v>
      </c>
      <c r="BC44">
        <v>4</v>
      </c>
      <c r="BD44">
        <v>4</v>
      </c>
      <c r="BE44">
        <v>4</v>
      </c>
      <c r="BF44">
        <v>4.3899999999999997</v>
      </c>
      <c r="BG44">
        <v>4.3899999999999997</v>
      </c>
      <c r="BH44">
        <v>4.3899999999999997</v>
      </c>
      <c r="BI44">
        <v>4.3899999999999997</v>
      </c>
      <c r="BJ44">
        <v>4.3899999999999997</v>
      </c>
      <c r="BK44">
        <v>4.3899999999999997</v>
      </c>
      <c r="BL44">
        <v>4.3899999999999997</v>
      </c>
      <c r="BM44">
        <v>4.3899999999999997</v>
      </c>
      <c r="BN44">
        <v>4.3899999999999997</v>
      </c>
      <c r="BO44">
        <v>4.3899999999999997</v>
      </c>
      <c r="BP44">
        <v>2.15</v>
      </c>
      <c r="BQ44">
        <v>2.15</v>
      </c>
      <c r="BR44">
        <v>2.15</v>
      </c>
      <c r="BS44">
        <v>2.15</v>
      </c>
      <c r="BT44">
        <v>2.15</v>
      </c>
      <c r="BU44">
        <v>2.15</v>
      </c>
      <c r="BV44">
        <v>2.15</v>
      </c>
      <c r="BW44">
        <v>2.15</v>
      </c>
      <c r="BX44">
        <v>2.15</v>
      </c>
      <c r="BY44">
        <v>2.15</v>
      </c>
      <c r="BZ44">
        <v>4.3899999999999997</v>
      </c>
      <c r="CA44">
        <v>4.3899999999999997</v>
      </c>
      <c r="CB44">
        <v>4.3899999999999997</v>
      </c>
      <c r="CC44">
        <v>4.3899999999999997</v>
      </c>
      <c r="CD44">
        <v>4.3899999999999997</v>
      </c>
      <c r="CE44">
        <v>4.3899999999999997</v>
      </c>
      <c r="CF44">
        <v>4.3899999999999997</v>
      </c>
      <c r="CG44">
        <v>4.3899999999999997</v>
      </c>
      <c r="CH44">
        <v>3</v>
      </c>
      <c r="CI44">
        <v>3</v>
      </c>
      <c r="CJ44">
        <v>4.3899999999999997</v>
      </c>
    </row>
    <row r="45" spans="1:88" ht="19.5" hidden="1">
      <c r="A45" t="s">
        <v>284</v>
      </c>
      <c r="B45" t="s">
        <v>259</v>
      </c>
      <c r="C45" t="s">
        <v>285</v>
      </c>
      <c r="D45" t="s">
        <v>29</v>
      </c>
      <c r="E45" t="s">
        <v>345</v>
      </c>
      <c r="I45">
        <v>5</v>
      </c>
      <c r="J45">
        <v>4</v>
      </c>
      <c r="K45">
        <v>4</v>
      </c>
      <c r="L45">
        <v>0.95</v>
      </c>
      <c r="M45">
        <v>0.95</v>
      </c>
      <c r="N45">
        <v>5</v>
      </c>
      <c r="O45">
        <v>5</v>
      </c>
      <c r="P45">
        <v>5</v>
      </c>
      <c r="Q45">
        <v>5</v>
      </c>
      <c r="R45">
        <v>4</v>
      </c>
      <c r="S45">
        <v>4</v>
      </c>
      <c r="T45">
        <v>4</v>
      </c>
      <c r="U45">
        <v>4</v>
      </c>
      <c r="V45">
        <v>5</v>
      </c>
      <c r="W45">
        <v>5</v>
      </c>
      <c r="X45">
        <v>2.15</v>
      </c>
      <c r="Y45">
        <v>2.15</v>
      </c>
      <c r="Z45">
        <v>4</v>
      </c>
      <c r="AA45">
        <v>4</v>
      </c>
      <c r="AB45">
        <v>4</v>
      </c>
      <c r="AC45">
        <v>4</v>
      </c>
      <c r="AD45">
        <v>2.15</v>
      </c>
      <c r="AE45">
        <v>2.15</v>
      </c>
      <c r="AF45">
        <v>4</v>
      </c>
      <c r="AG45">
        <v>4</v>
      </c>
      <c r="AH45">
        <v>4</v>
      </c>
      <c r="AI45">
        <v>4</v>
      </c>
      <c r="AJ45">
        <v>5</v>
      </c>
      <c r="AK45">
        <v>5</v>
      </c>
      <c r="AL45">
        <v>2.15</v>
      </c>
      <c r="AM45">
        <v>2.15</v>
      </c>
      <c r="AN45">
        <v>2.15</v>
      </c>
      <c r="AO45">
        <v>2.15</v>
      </c>
      <c r="AP45">
        <v>4</v>
      </c>
      <c r="AQ45">
        <v>4</v>
      </c>
      <c r="AR45">
        <v>2.15</v>
      </c>
      <c r="AS45">
        <v>2.15</v>
      </c>
      <c r="AT45">
        <v>2.15</v>
      </c>
      <c r="AU45">
        <v>2.15</v>
      </c>
      <c r="AV45">
        <v>2.15</v>
      </c>
      <c r="AW45">
        <v>2.15</v>
      </c>
      <c r="AX45">
        <v>4</v>
      </c>
      <c r="AY45">
        <v>4</v>
      </c>
      <c r="AZ45">
        <v>4</v>
      </c>
      <c r="BA45">
        <v>4</v>
      </c>
      <c r="BB45">
        <v>4</v>
      </c>
      <c r="BC45">
        <v>4</v>
      </c>
      <c r="BD45">
        <v>4</v>
      </c>
      <c r="BE45">
        <v>4</v>
      </c>
      <c r="BF45">
        <v>4.3899999999999997</v>
      </c>
      <c r="BG45">
        <v>4.3899999999999997</v>
      </c>
      <c r="BH45">
        <v>4.3899999999999997</v>
      </c>
      <c r="BI45">
        <v>4.3899999999999997</v>
      </c>
      <c r="BJ45">
        <v>4.3899999999999997</v>
      </c>
      <c r="BK45">
        <v>4.3899999999999997</v>
      </c>
      <c r="BL45">
        <v>4.3899999999999997</v>
      </c>
      <c r="BM45">
        <v>4.3899999999999997</v>
      </c>
      <c r="BN45">
        <v>4.3899999999999997</v>
      </c>
      <c r="BO45">
        <v>4.3899999999999997</v>
      </c>
      <c r="BP45">
        <v>2.15</v>
      </c>
      <c r="BQ45">
        <v>2.15</v>
      </c>
      <c r="BR45">
        <v>2.15</v>
      </c>
      <c r="BS45">
        <v>2.15</v>
      </c>
      <c r="BT45">
        <v>2.15</v>
      </c>
      <c r="BU45">
        <v>2.15</v>
      </c>
      <c r="BV45">
        <v>2.15</v>
      </c>
      <c r="BW45">
        <v>2.15</v>
      </c>
      <c r="BX45">
        <v>2.15</v>
      </c>
      <c r="BY45">
        <v>2.15</v>
      </c>
      <c r="BZ45">
        <v>4.3899999999999997</v>
      </c>
      <c r="CA45">
        <v>4.3899999999999997</v>
      </c>
      <c r="CB45">
        <v>4.3899999999999997</v>
      </c>
      <c r="CC45">
        <v>4.3899999999999997</v>
      </c>
      <c r="CD45">
        <v>4.3899999999999997</v>
      </c>
      <c r="CE45">
        <v>4.3899999999999997</v>
      </c>
      <c r="CF45">
        <v>4.3899999999999997</v>
      </c>
      <c r="CG45">
        <v>4.3899999999999997</v>
      </c>
      <c r="CH45">
        <v>3</v>
      </c>
      <c r="CI45">
        <v>3</v>
      </c>
      <c r="CJ45">
        <v>4.3899999999999997</v>
      </c>
    </row>
    <row r="46" spans="1:88" ht="19.5" hidden="1">
      <c r="A46" t="s">
        <v>298</v>
      </c>
      <c r="B46" t="s">
        <v>299</v>
      </c>
      <c r="C46" t="s">
        <v>300</v>
      </c>
      <c r="D46" t="s">
        <v>29</v>
      </c>
      <c r="E46" t="s">
        <v>345</v>
      </c>
      <c r="I46">
        <v>5</v>
      </c>
      <c r="J46">
        <v>4</v>
      </c>
      <c r="K46">
        <v>4</v>
      </c>
      <c r="L46">
        <v>0.95</v>
      </c>
      <c r="M46">
        <v>0.95</v>
      </c>
      <c r="N46">
        <v>5</v>
      </c>
      <c r="O46">
        <v>5</v>
      </c>
      <c r="P46">
        <v>5</v>
      </c>
      <c r="Q46">
        <v>5</v>
      </c>
      <c r="R46">
        <v>4</v>
      </c>
      <c r="S46">
        <v>4</v>
      </c>
      <c r="T46">
        <v>4</v>
      </c>
      <c r="U46">
        <v>4</v>
      </c>
      <c r="V46">
        <v>5</v>
      </c>
      <c r="W46">
        <v>5</v>
      </c>
      <c r="X46">
        <v>2.15</v>
      </c>
      <c r="Y46">
        <v>2.15</v>
      </c>
      <c r="Z46">
        <v>4</v>
      </c>
      <c r="AA46">
        <v>4</v>
      </c>
      <c r="AB46">
        <v>4</v>
      </c>
      <c r="AC46">
        <v>4</v>
      </c>
      <c r="AD46">
        <v>2.15</v>
      </c>
      <c r="AE46">
        <v>2.15</v>
      </c>
      <c r="AF46">
        <v>4</v>
      </c>
      <c r="AG46">
        <v>4</v>
      </c>
      <c r="AH46">
        <v>4</v>
      </c>
      <c r="AI46">
        <v>4</v>
      </c>
      <c r="AJ46">
        <v>5</v>
      </c>
      <c r="AK46">
        <v>5</v>
      </c>
      <c r="AL46">
        <v>2.15</v>
      </c>
      <c r="AM46">
        <v>2.15</v>
      </c>
      <c r="AN46">
        <v>2.15</v>
      </c>
      <c r="AO46">
        <v>2.15</v>
      </c>
      <c r="AP46">
        <v>4</v>
      </c>
      <c r="AQ46">
        <v>4</v>
      </c>
      <c r="AR46">
        <v>2.15</v>
      </c>
      <c r="AS46">
        <v>2.15</v>
      </c>
      <c r="AT46">
        <v>2.15</v>
      </c>
      <c r="AU46">
        <v>2.15</v>
      </c>
      <c r="AV46">
        <v>2.15</v>
      </c>
      <c r="AW46">
        <v>2.15</v>
      </c>
      <c r="AX46">
        <v>4</v>
      </c>
      <c r="AY46">
        <v>4</v>
      </c>
      <c r="AZ46">
        <v>4</v>
      </c>
      <c r="BA46">
        <v>4</v>
      </c>
      <c r="BB46">
        <v>4</v>
      </c>
      <c r="BC46">
        <v>4</v>
      </c>
      <c r="BD46">
        <v>4</v>
      </c>
      <c r="BE46">
        <v>4</v>
      </c>
      <c r="BF46">
        <v>4.3899999999999997</v>
      </c>
      <c r="BG46">
        <v>4.3899999999999997</v>
      </c>
      <c r="BH46">
        <v>4.3899999999999997</v>
      </c>
      <c r="BI46">
        <v>4.3899999999999997</v>
      </c>
      <c r="BJ46">
        <v>4.3899999999999997</v>
      </c>
      <c r="BK46">
        <v>4.3899999999999997</v>
      </c>
      <c r="BL46">
        <v>4.3899999999999997</v>
      </c>
      <c r="BM46">
        <v>4.3899999999999997</v>
      </c>
      <c r="BN46">
        <v>4.3899999999999997</v>
      </c>
      <c r="BO46">
        <v>4.3899999999999997</v>
      </c>
      <c r="BP46">
        <v>2.15</v>
      </c>
      <c r="BQ46">
        <v>2.15</v>
      </c>
      <c r="BR46">
        <v>2.15</v>
      </c>
      <c r="BS46">
        <v>2.15</v>
      </c>
      <c r="BT46">
        <v>2.15</v>
      </c>
      <c r="BU46">
        <v>2.15</v>
      </c>
      <c r="BV46">
        <v>2.15</v>
      </c>
      <c r="BW46">
        <v>2.15</v>
      </c>
      <c r="BX46">
        <v>2.15</v>
      </c>
      <c r="BY46">
        <v>2.15</v>
      </c>
      <c r="BZ46">
        <v>4.3899999999999997</v>
      </c>
      <c r="CA46">
        <v>4.3899999999999997</v>
      </c>
      <c r="CB46">
        <v>4.3899999999999997</v>
      </c>
      <c r="CC46">
        <v>4.3899999999999997</v>
      </c>
      <c r="CD46">
        <v>4.3899999999999997</v>
      </c>
      <c r="CE46">
        <v>4.3899999999999997</v>
      </c>
      <c r="CF46">
        <v>4.3899999999999997</v>
      </c>
      <c r="CG46">
        <v>4.3899999999999997</v>
      </c>
      <c r="CH46">
        <v>3</v>
      </c>
      <c r="CI46">
        <v>3</v>
      </c>
      <c r="CJ46">
        <v>4.3899999999999997</v>
      </c>
    </row>
    <row r="47" spans="1:88" ht="19.5" hidden="1">
      <c r="A47" t="s">
        <v>281</v>
      </c>
      <c r="B47" t="s">
        <v>282</v>
      </c>
      <c r="C47" t="s">
        <v>283</v>
      </c>
      <c r="D47" t="s">
        <v>29</v>
      </c>
      <c r="E47" t="s">
        <v>345</v>
      </c>
      <c r="I47">
        <v>0.38</v>
      </c>
      <c r="J47">
        <v>5</v>
      </c>
      <c r="K47">
        <v>5</v>
      </c>
      <c r="L47">
        <v>0.95</v>
      </c>
      <c r="M47">
        <v>0.95</v>
      </c>
      <c r="N47">
        <v>5</v>
      </c>
      <c r="O47">
        <v>5</v>
      </c>
      <c r="P47">
        <v>5</v>
      </c>
      <c r="Q47">
        <v>5</v>
      </c>
      <c r="R47">
        <v>5</v>
      </c>
      <c r="S47">
        <v>5</v>
      </c>
      <c r="T47">
        <v>5</v>
      </c>
      <c r="U47">
        <v>5</v>
      </c>
      <c r="V47">
        <v>4</v>
      </c>
      <c r="W47">
        <v>4</v>
      </c>
      <c r="X47">
        <v>4</v>
      </c>
      <c r="Y47">
        <v>4</v>
      </c>
      <c r="Z47">
        <v>4</v>
      </c>
      <c r="AA47">
        <v>4</v>
      </c>
      <c r="AB47">
        <v>4</v>
      </c>
      <c r="AC47">
        <v>4</v>
      </c>
      <c r="AD47">
        <v>4</v>
      </c>
      <c r="AE47">
        <v>4</v>
      </c>
      <c r="AF47">
        <v>2.15</v>
      </c>
      <c r="AG47">
        <v>2.15</v>
      </c>
      <c r="AH47">
        <v>2.15</v>
      </c>
      <c r="AI47">
        <v>2.15</v>
      </c>
      <c r="AJ47">
        <v>2.15</v>
      </c>
      <c r="AK47">
        <v>2.15</v>
      </c>
      <c r="AL47">
        <v>2.15</v>
      </c>
      <c r="AM47">
        <v>2.15</v>
      </c>
      <c r="AN47">
        <v>2.15</v>
      </c>
      <c r="AO47">
        <v>2.15</v>
      </c>
      <c r="AP47">
        <v>2.15</v>
      </c>
      <c r="AQ47">
        <v>2.15</v>
      </c>
      <c r="AR47">
        <v>0.95</v>
      </c>
      <c r="AS47">
        <v>0.95</v>
      </c>
      <c r="AT47">
        <v>0.95</v>
      </c>
      <c r="AU47">
        <v>0.95</v>
      </c>
      <c r="AV47">
        <v>0.95</v>
      </c>
      <c r="AW47">
        <v>0.95</v>
      </c>
      <c r="AX47">
        <v>0.95</v>
      </c>
      <c r="AY47">
        <v>0.95</v>
      </c>
      <c r="AZ47">
        <v>0.95</v>
      </c>
      <c r="BA47">
        <v>0.95</v>
      </c>
      <c r="BB47">
        <v>2.15</v>
      </c>
      <c r="BC47">
        <v>2.15</v>
      </c>
      <c r="BD47">
        <v>2.15</v>
      </c>
      <c r="BE47">
        <v>2.15</v>
      </c>
      <c r="BF47">
        <v>3</v>
      </c>
      <c r="BG47">
        <v>3</v>
      </c>
      <c r="BH47">
        <v>3</v>
      </c>
      <c r="BI47">
        <v>3</v>
      </c>
      <c r="BJ47">
        <v>1.61</v>
      </c>
      <c r="BK47">
        <v>1.61</v>
      </c>
      <c r="BL47">
        <v>1.61</v>
      </c>
      <c r="BM47">
        <v>1.61</v>
      </c>
      <c r="BN47">
        <v>1.61</v>
      </c>
      <c r="BO47">
        <v>1.61</v>
      </c>
      <c r="BP47">
        <v>0.95</v>
      </c>
      <c r="BQ47">
        <v>0.95</v>
      </c>
      <c r="BR47">
        <v>0.95</v>
      </c>
      <c r="BS47">
        <v>0.95</v>
      </c>
      <c r="BT47">
        <v>0.95</v>
      </c>
      <c r="BU47">
        <v>0.95</v>
      </c>
      <c r="BV47">
        <v>0.95</v>
      </c>
      <c r="BW47">
        <v>0.95</v>
      </c>
      <c r="BX47">
        <v>0.95</v>
      </c>
      <c r="BY47">
        <v>0.95</v>
      </c>
      <c r="BZ47">
        <v>1.61</v>
      </c>
      <c r="CA47">
        <v>1.61</v>
      </c>
      <c r="CB47">
        <v>1.61</v>
      </c>
      <c r="CC47">
        <v>1.61</v>
      </c>
      <c r="CD47">
        <v>1.61</v>
      </c>
      <c r="CE47">
        <v>1.61</v>
      </c>
      <c r="CF47">
        <v>1.61</v>
      </c>
      <c r="CG47">
        <v>1.61</v>
      </c>
      <c r="CH47">
        <v>1.61</v>
      </c>
      <c r="CI47">
        <v>1.61</v>
      </c>
      <c r="CJ47">
        <v>1.61</v>
      </c>
    </row>
    <row r="48" spans="1:88" ht="19.5" hidden="1">
      <c r="A48" t="s">
        <v>252</v>
      </c>
      <c r="B48" t="s">
        <v>253</v>
      </c>
      <c r="C48" t="s">
        <v>254</v>
      </c>
      <c r="D48" t="s">
        <v>28</v>
      </c>
      <c r="E48" t="s">
        <v>345</v>
      </c>
      <c r="I48">
        <v>0.18</v>
      </c>
      <c r="J48">
        <v>5</v>
      </c>
      <c r="K48">
        <v>5</v>
      </c>
      <c r="L48">
        <v>0.47</v>
      </c>
      <c r="M48">
        <v>0.47</v>
      </c>
      <c r="N48">
        <v>5</v>
      </c>
      <c r="O48">
        <v>5</v>
      </c>
      <c r="P48">
        <v>5</v>
      </c>
      <c r="Q48">
        <v>5</v>
      </c>
      <c r="R48">
        <v>5</v>
      </c>
      <c r="S48">
        <v>5</v>
      </c>
      <c r="T48">
        <v>5</v>
      </c>
      <c r="U48">
        <v>5</v>
      </c>
      <c r="V48">
        <v>2.69</v>
      </c>
      <c r="W48">
        <v>2.69</v>
      </c>
      <c r="X48">
        <v>2.69</v>
      </c>
      <c r="Y48">
        <v>2.69</v>
      </c>
      <c r="Z48">
        <v>2.69</v>
      </c>
      <c r="AA48">
        <v>2.69</v>
      </c>
      <c r="AB48">
        <v>2.69</v>
      </c>
      <c r="AC48">
        <v>2.69</v>
      </c>
      <c r="AD48">
        <v>2.69</v>
      </c>
      <c r="AE48">
        <v>2.69</v>
      </c>
      <c r="AF48">
        <v>1.19</v>
      </c>
      <c r="AG48">
        <v>1.19</v>
      </c>
      <c r="AH48">
        <v>1.19</v>
      </c>
      <c r="AI48">
        <v>1.19</v>
      </c>
      <c r="AJ48">
        <v>1.19</v>
      </c>
      <c r="AK48">
        <v>1.19</v>
      </c>
      <c r="AL48">
        <v>1.19</v>
      </c>
      <c r="AM48">
        <v>1.19</v>
      </c>
      <c r="AN48">
        <v>1.19</v>
      </c>
      <c r="AO48">
        <v>1.19</v>
      </c>
      <c r="AP48">
        <v>1.19</v>
      </c>
      <c r="AQ48">
        <v>1.19</v>
      </c>
      <c r="AR48">
        <v>0.47</v>
      </c>
      <c r="AS48">
        <v>0.47</v>
      </c>
      <c r="AT48">
        <v>0.47</v>
      </c>
      <c r="AU48">
        <v>0.47</v>
      </c>
      <c r="AV48">
        <v>0.47</v>
      </c>
      <c r="AW48">
        <v>0.47</v>
      </c>
      <c r="AX48">
        <v>0.47</v>
      </c>
      <c r="AY48">
        <v>0.47</v>
      </c>
      <c r="AZ48">
        <v>0.47</v>
      </c>
      <c r="BA48">
        <v>0.47</v>
      </c>
      <c r="BB48">
        <v>1.19</v>
      </c>
      <c r="BC48">
        <v>1.19</v>
      </c>
      <c r="BD48">
        <v>1.19</v>
      </c>
      <c r="BE48">
        <v>1.19</v>
      </c>
      <c r="BF48">
        <v>1.19</v>
      </c>
      <c r="BG48">
        <v>1.19</v>
      </c>
      <c r="BH48">
        <v>1.19</v>
      </c>
      <c r="BI48">
        <v>1.19</v>
      </c>
      <c r="BJ48">
        <v>0.47</v>
      </c>
      <c r="BK48">
        <v>0.47</v>
      </c>
      <c r="BL48">
        <v>0.47</v>
      </c>
      <c r="BM48">
        <v>0.47</v>
      </c>
      <c r="BN48">
        <v>0.47</v>
      </c>
      <c r="BO48">
        <v>0.47</v>
      </c>
      <c r="BP48">
        <v>0.95</v>
      </c>
      <c r="BQ48">
        <v>0.95</v>
      </c>
      <c r="BR48">
        <v>0.95</v>
      </c>
      <c r="BS48">
        <v>0.95</v>
      </c>
      <c r="BT48">
        <v>0.95</v>
      </c>
      <c r="BU48">
        <v>0.95</v>
      </c>
      <c r="BV48">
        <v>0.95</v>
      </c>
      <c r="BW48">
        <v>0.95</v>
      </c>
      <c r="BX48">
        <v>0.95</v>
      </c>
      <c r="BY48">
        <v>0.95</v>
      </c>
      <c r="BZ48">
        <v>0.95</v>
      </c>
      <c r="CA48">
        <v>0.95</v>
      </c>
      <c r="CB48">
        <v>0.95</v>
      </c>
      <c r="CC48">
        <v>0.95</v>
      </c>
      <c r="CD48">
        <v>0.95</v>
      </c>
      <c r="CE48">
        <v>0.95</v>
      </c>
      <c r="CF48">
        <v>0.95</v>
      </c>
      <c r="CG48">
        <v>0.95</v>
      </c>
      <c r="CH48">
        <v>0.95</v>
      </c>
      <c r="CI48">
        <v>0.95</v>
      </c>
      <c r="CJ48">
        <v>0.95</v>
      </c>
    </row>
    <row r="49" spans="1:88" ht="19.5" hidden="1">
      <c r="A49" t="s">
        <v>314</v>
      </c>
      <c r="B49" t="s">
        <v>315</v>
      </c>
      <c r="C49" t="s">
        <v>316</v>
      </c>
      <c r="D49" t="s">
        <v>27</v>
      </c>
      <c r="E49" t="s">
        <v>345</v>
      </c>
      <c r="I49">
        <v>0.38</v>
      </c>
      <c r="J49">
        <v>5</v>
      </c>
      <c r="K49">
        <v>5</v>
      </c>
      <c r="L49">
        <v>0.95</v>
      </c>
      <c r="M49">
        <v>0.95</v>
      </c>
      <c r="N49">
        <v>5</v>
      </c>
      <c r="O49">
        <v>5</v>
      </c>
      <c r="P49">
        <v>5</v>
      </c>
      <c r="Q49">
        <v>5</v>
      </c>
      <c r="R49">
        <v>5</v>
      </c>
      <c r="S49">
        <v>5</v>
      </c>
      <c r="T49">
        <v>5</v>
      </c>
      <c r="U49">
        <v>5</v>
      </c>
      <c r="V49">
        <v>4</v>
      </c>
      <c r="W49">
        <v>4</v>
      </c>
      <c r="X49">
        <v>4</v>
      </c>
      <c r="Y49">
        <v>4</v>
      </c>
      <c r="Z49">
        <v>4</v>
      </c>
      <c r="AA49">
        <v>4</v>
      </c>
      <c r="AB49">
        <v>4</v>
      </c>
      <c r="AC49">
        <v>4</v>
      </c>
      <c r="AD49">
        <v>4</v>
      </c>
      <c r="AE49">
        <v>4</v>
      </c>
      <c r="AF49">
        <v>2.15</v>
      </c>
      <c r="AG49">
        <v>2.15</v>
      </c>
      <c r="AH49">
        <v>2.15</v>
      </c>
      <c r="AI49">
        <v>2.15</v>
      </c>
      <c r="AJ49">
        <v>2.15</v>
      </c>
      <c r="AK49">
        <v>2.15</v>
      </c>
      <c r="AL49">
        <v>2.15</v>
      </c>
      <c r="AM49">
        <v>2.15</v>
      </c>
      <c r="AN49">
        <v>2.15</v>
      </c>
      <c r="AO49">
        <v>2.15</v>
      </c>
      <c r="AP49">
        <v>2.15</v>
      </c>
      <c r="AQ49">
        <v>2.15</v>
      </c>
      <c r="AR49">
        <v>0.95</v>
      </c>
      <c r="AS49">
        <v>0.95</v>
      </c>
      <c r="AT49">
        <v>0.95</v>
      </c>
      <c r="AU49">
        <v>0.95</v>
      </c>
      <c r="AV49">
        <v>0.95</v>
      </c>
      <c r="AW49">
        <v>0.95</v>
      </c>
      <c r="AX49">
        <v>0.95</v>
      </c>
      <c r="AY49">
        <v>0.95</v>
      </c>
      <c r="AZ49">
        <v>0.95</v>
      </c>
      <c r="BA49">
        <v>0.95</v>
      </c>
      <c r="BB49">
        <v>2.15</v>
      </c>
      <c r="BC49">
        <v>2.15</v>
      </c>
      <c r="BD49">
        <v>2.15</v>
      </c>
      <c r="BE49">
        <v>2.15</v>
      </c>
      <c r="BF49">
        <v>1.19</v>
      </c>
      <c r="BG49">
        <v>1.19</v>
      </c>
      <c r="BH49">
        <v>1.19</v>
      </c>
      <c r="BI49">
        <v>1.19</v>
      </c>
      <c r="BJ49">
        <v>0.47</v>
      </c>
      <c r="BK49">
        <v>0.47</v>
      </c>
      <c r="BL49">
        <v>0.47</v>
      </c>
      <c r="BM49">
        <v>0.47</v>
      </c>
      <c r="BN49">
        <v>0.47</v>
      </c>
      <c r="BO49">
        <v>0.47</v>
      </c>
      <c r="BP49">
        <v>0.47</v>
      </c>
      <c r="BQ49">
        <v>0.47</v>
      </c>
      <c r="BR49">
        <v>0.47</v>
      </c>
      <c r="BS49">
        <v>0.47</v>
      </c>
      <c r="BT49">
        <v>0.47</v>
      </c>
      <c r="BU49">
        <v>0.47</v>
      </c>
      <c r="BV49">
        <v>0.47</v>
      </c>
      <c r="BW49">
        <v>0.47</v>
      </c>
      <c r="BX49">
        <v>0.47</v>
      </c>
      <c r="BY49">
        <v>0.47</v>
      </c>
      <c r="BZ49">
        <v>0.47</v>
      </c>
      <c r="CA49">
        <v>0.47</v>
      </c>
      <c r="CB49">
        <v>0.47</v>
      </c>
      <c r="CC49">
        <v>0.47</v>
      </c>
      <c r="CD49">
        <v>0.47</v>
      </c>
      <c r="CE49">
        <v>0.47</v>
      </c>
      <c r="CF49">
        <v>0.47</v>
      </c>
      <c r="CG49">
        <v>0.47</v>
      </c>
      <c r="CH49">
        <v>0.47</v>
      </c>
      <c r="CI49">
        <v>0.47</v>
      </c>
      <c r="CJ49">
        <v>0.47</v>
      </c>
    </row>
    <row r="50" spans="1:88" ht="19.5" hidden="1">
      <c r="A50" t="s">
        <v>269</v>
      </c>
      <c r="B50" t="s">
        <v>270</v>
      </c>
      <c r="C50" t="s">
        <v>271</v>
      </c>
      <c r="D50" t="s">
        <v>26</v>
      </c>
      <c r="E50" t="s">
        <v>345</v>
      </c>
      <c r="I50">
        <v>0.18</v>
      </c>
      <c r="J50">
        <v>5</v>
      </c>
      <c r="K50">
        <v>5</v>
      </c>
      <c r="L50">
        <v>0.47</v>
      </c>
      <c r="M50">
        <v>0.47</v>
      </c>
      <c r="N50">
        <v>5</v>
      </c>
      <c r="O50">
        <v>5</v>
      </c>
      <c r="P50">
        <v>5</v>
      </c>
      <c r="Q50">
        <v>5</v>
      </c>
      <c r="R50">
        <v>5</v>
      </c>
      <c r="S50">
        <v>5</v>
      </c>
      <c r="T50">
        <v>5</v>
      </c>
      <c r="U50">
        <v>5</v>
      </c>
      <c r="V50">
        <v>2.69</v>
      </c>
      <c r="W50">
        <v>2.69</v>
      </c>
      <c r="X50">
        <v>2.69</v>
      </c>
      <c r="Y50">
        <v>2.69</v>
      </c>
      <c r="Z50">
        <v>2.69</v>
      </c>
      <c r="AA50">
        <v>2.69</v>
      </c>
      <c r="AB50">
        <v>2.69</v>
      </c>
      <c r="AC50">
        <v>2.69</v>
      </c>
      <c r="AD50">
        <v>2.69</v>
      </c>
      <c r="AE50">
        <v>2.69</v>
      </c>
      <c r="AF50">
        <v>1.19</v>
      </c>
      <c r="AG50">
        <v>1.19</v>
      </c>
      <c r="AH50">
        <v>1.19</v>
      </c>
      <c r="AI50">
        <v>1.19</v>
      </c>
      <c r="AJ50">
        <v>1.19</v>
      </c>
      <c r="AK50">
        <v>1.19</v>
      </c>
      <c r="AL50">
        <v>1.19</v>
      </c>
      <c r="AM50">
        <v>1.19</v>
      </c>
      <c r="AN50">
        <v>1.19</v>
      </c>
      <c r="AO50">
        <v>1.19</v>
      </c>
      <c r="AP50">
        <v>1.19</v>
      </c>
      <c r="AQ50">
        <v>1.19</v>
      </c>
      <c r="AR50">
        <v>0.47</v>
      </c>
      <c r="AS50">
        <v>0.47</v>
      </c>
      <c r="AT50">
        <v>0.47</v>
      </c>
      <c r="AU50">
        <v>0.47</v>
      </c>
      <c r="AV50">
        <v>0.47</v>
      </c>
      <c r="AW50">
        <v>0.47</v>
      </c>
      <c r="AX50">
        <v>0.47</v>
      </c>
      <c r="AY50">
        <v>0.47</v>
      </c>
      <c r="AZ50">
        <v>0.47</v>
      </c>
      <c r="BA50">
        <v>0.47</v>
      </c>
      <c r="BB50">
        <v>1.19</v>
      </c>
      <c r="BC50">
        <v>1.19</v>
      </c>
      <c r="BD50">
        <v>1.19</v>
      </c>
      <c r="BE50">
        <v>1.19</v>
      </c>
      <c r="BF50">
        <v>1.19</v>
      </c>
      <c r="BG50">
        <v>1.19</v>
      </c>
      <c r="BH50">
        <v>1.19</v>
      </c>
      <c r="BI50">
        <v>1.19</v>
      </c>
      <c r="BJ50">
        <v>0.47</v>
      </c>
      <c r="BK50">
        <v>0.47</v>
      </c>
      <c r="BL50">
        <v>0.47</v>
      </c>
      <c r="BM50">
        <v>0.47</v>
      </c>
      <c r="BN50">
        <v>0.47</v>
      </c>
      <c r="BO50">
        <v>0.47</v>
      </c>
      <c r="BP50">
        <v>0.47</v>
      </c>
      <c r="BQ50">
        <v>0.47</v>
      </c>
      <c r="BR50">
        <v>0.47</v>
      </c>
      <c r="BS50">
        <v>0.47</v>
      </c>
      <c r="BT50">
        <v>0.47</v>
      </c>
      <c r="BU50">
        <v>0.47</v>
      </c>
      <c r="BV50">
        <v>0.47</v>
      </c>
      <c r="BW50">
        <v>0.47</v>
      </c>
      <c r="BX50">
        <v>0.47</v>
      </c>
      <c r="BY50">
        <v>0.47</v>
      </c>
      <c r="BZ50">
        <v>0.47</v>
      </c>
      <c r="CA50">
        <v>0.47</v>
      </c>
      <c r="CB50">
        <v>0.47</v>
      </c>
      <c r="CC50">
        <v>0.47</v>
      </c>
      <c r="CD50">
        <v>0.47</v>
      </c>
      <c r="CE50">
        <v>0.47</v>
      </c>
      <c r="CF50">
        <v>0.47</v>
      </c>
      <c r="CG50">
        <v>0.47</v>
      </c>
      <c r="CH50">
        <v>0.47</v>
      </c>
      <c r="CI50">
        <v>0.47</v>
      </c>
      <c r="CJ50">
        <v>0.47</v>
      </c>
    </row>
    <row r="51" spans="1:88" ht="19.5" hidden="1">
      <c r="A51" t="s">
        <v>332</v>
      </c>
      <c r="B51" t="s">
        <v>333</v>
      </c>
      <c r="D51" t="s">
        <v>28</v>
      </c>
      <c r="E51" t="s">
        <v>345</v>
      </c>
      <c r="I51" t="s">
        <v>346</v>
      </c>
      <c r="J51" t="s">
        <v>346</v>
      </c>
      <c r="K51" t="s">
        <v>346</v>
      </c>
      <c r="L51" t="s">
        <v>346</v>
      </c>
      <c r="M51" t="s">
        <v>346</v>
      </c>
      <c r="N51" t="s">
        <v>346</v>
      </c>
      <c r="O51" t="s">
        <v>346</v>
      </c>
      <c r="P51" t="s">
        <v>346</v>
      </c>
      <c r="Q51" t="s">
        <v>346</v>
      </c>
      <c r="R51" t="s">
        <v>346</v>
      </c>
      <c r="S51" t="s">
        <v>346</v>
      </c>
      <c r="T51" t="s">
        <v>346</v>
      </c>
      <c r="U51" t="s">
        <v>346</v>
      </c>
      <c r="V51" t="s">
        <v>346</v>
      </c>
      <c r="W51" t="s">
        <v>346</v>
      </c>
      <c r="X51" t="s">
        <v>346</v>
      </c>
      <c r="Y51" t="s">
        <v>346</v>
      </c>
      <c r="Z51" t="s">
        <v>346</v>
      </c>
      <c r="AA51" t="s">
        <v>346</v>
      </c>
      <c r="AB51" t="s">
        <v>346</v>
      </c>
      <c r="AC51" t="s">
        <v>346</v>
      </c>
      <c r="AD51" t="s">
        <v>346</v>
      </c>
      <c r="AE51" t="s">
        <v>346</v>
      </c>
      <c r="AF51" t="s">
        <v>346</v>
      </c>
      <c r="AG51" t="s">
        <v>346</v>
      </c>
      <c r="AH51" t="s">
        <v>346</v>
      </c>
      <c r="AI51" t="s">
        <v>346</v>
      </c>
      <c r="AJ51" t="s">
        <v>346</v>
      </c>
      <c r="AK51" t="s">
        <v>346</v>
      </c>
      <c r="AL51" t="s">
        <v>346</v>
      </c>
      <c r="AM51" t="s">
        <v>346</v>
      </c>
      <c r="AN51" t="s">
        <v>346</v>
      </c>
      <c r="AO51" t="s">
        <v>346</v>
      </c>
      <c r="AP51" t="s">
        <v>346</v>
      </c>
      <c r="AQ51" t="s">
        <v>346</v>
      </c>
      <c r="AR51" t="s">
        <v>346</v>
      </c>
      <c r="AS51" t="s">
        <v>346</v>
      </c>
      <c r="AT51" t="s">
        <v>346</v>
      </c>
      <c r="AU51" t="s">
        <v>346</v>
      </c>
      <c r="AV51" t="s">
        <v>346</v>
      </c>
      <c r="AW51" t="s">
        <v>346</v>
      </c>
      <c r="AX51" t="s">
        <v>346</v>
      </c>
      <c r="AY51" t="s">
        <v>346</v>
      </c>
      <c r="AZ51" t="s">
        <v>346</v>
      </c>
      <c r="BA51" t="s">
        <v>346</v>
      </c>
      <c r="BB51" t="s">
        <v>346</v>
      </c>
      <c r="BC51" t="s">
        <v>346</v>
      </c>
      <c r="BD51" t="s">
        <v>346</v>
      </c>
      <c r="BE51" t="s">
        <v>346</v>
      </c>
      <c r="BF51" t="s">
        <v>346</v>
      </c>
      <c r="BG51" t="s">
        <v>346</v>
      </c>
      <c r="BH51" t="s">
        <v>346</v>
      </c>
      <c r="BI51" t="s">
        <v>346</v>
      </c>
      <c r="BJ51" t="s">
        <v>346</v>
      </c>
      <c r="BK51" t="s">
        <v>346</v>
      </c>
      <c r="BL51" t="s">
        <v>346</v>
      </c>
      <c r="BM51" t="s">
        <v>346</v>
      </c>
      <c r="BN51" t="s">
        <v>346</v>
      </c>
      <c r="BO51" t="s">
        <v>346</v>
      </c>
      <c r="BP51" t="s">
        <v>346</v>
      </c>
      <c r="BQ51" t="s">
        <v>346</v>
      </c>
      <c r="BR51" t="s">
        <v>346</v>
      </c>
      <c r="BS51" t="s">
        <v>346</v>
      </c>
      <c r="BT51" t="s">
        <v>346</v>
      </c>
      <c r="BU51" t="s">
        <v>346</v>
      </c>
      <c r="BV51" t="s">
        <v>346</v>
      </c>
      <c r="BW51" t="s">
        <v>346</v>
      </c>
      <c r="BX51" t="s">
        <v>346</v>
      </c>
      <c r="BY51" t="s">
        <v>346</v>
      </c>
      <c r="BZ51" t="s">
        <v>346</v>
      </c>
      <c r="CA51" t="s">
        <v>346</v>
      </c>
      <c r="CB51" t="s">
        <v>346</v>
      </c>
      <c r="CC51" t="s">
        <v>346</v>
      </c>
      <c r="CD51" t="s">
        <v>346</v>
      </c>
      <c r="CE51" t="s">
        <v>346</v>
      </c>
      <c r="CF51" t="s">
        <v>346</v>
      </c>
      <c r="CG51" t="s">
        <v>346</v>
      </c>
      <c r="CH51" t="s">
        <v>346</v>
      </c>
      <c r="CI51" t="s">
        <v>346</v>
      </c>
      <c r="CJ51" t="s">
        <v>346</v>
      </c>
    </row>
    <row r="52" spans="1:88" ht="19.5" hidden="1">
      <c r="A52" t="s">
        <v>248</v>
      </c>
      <c r="B52" t="s">
        <v>249</v>
      </c>
      <c r="D52" t="s">
        <v>31</v>
      </c>
      <c r="E52" t="s">
        <v>345</v>
      </c>
      <c r="I52" t="s">
        <v>346</v>
      </c>
      <c r="J52" t="s">
        <v>346</v>
      </c>
      <c r="K52" t="s">
        <v>346</v>
      </c>
      <c r="L52" t="s">
        <v>346</v>
      </c>
      <c r="M52" t="s">
        <v>346</v>
      </c>
      <c r="N52" t="s">
        <v>346</v>
      </c>
      <c r="O52" t="s">
        <v>346</v>
      </c>
      <c r="P52" t="s">
        <v>346</v>
      </c>
      <c r="Q52" t="s">
        <v>346</v>
      </c>
      <c r="R52" t="s">
        <v>346</v>
      </c>
      <c r="S52" t="s">
        <v>346</v>
      </c>
      <c r="T52" t="s">
        <v>346</v>
      </c>
      <c r="U52" t="s">
        <v>346</v>
      </c>
      <c r="V52" t="s">
        <v>346</v>
      </c>
      <c r="W52" t="s">
        <v>346</v>
      </c>
      <c r="X52" t="s">
        <v>346</v>
      </c>
      <c r="Y52" t="s">
        <v>346</v>
      </c>
      <c r="Z52" t="s">
        <v>346</v>
      </c>
      <c r="AA52" t="s">
        <v>346</v>
      </c>
      <c r="AB52" t="s">
        <v>346</v>
      </c>
      <c r="AC52" t="s">
        <v>346</v>
      </c>
      <c r="AD52" t="s">
        <v>346</v>
      </c>
      <c r="AE52" t="s">
        <v>346</v>
      </c>
      <c r="AF52" t="s">
        <v>346</v>
      </c>
      <c r="AG52" t="s">
        <v>346</v>
      </c>
      <c r="AH52" t="s">
        <v>346</v>
      </c>
      <c r="AI52" t="s">
        <v>346</v>
      </c>
      <c r="AJ52" t="s">
        <v>346</v>
      </c>
      <c r="AK52" t="s">
        <v>346</v>
      </c>
      <c r="AL52" t="s">
        <v>346</v>
      </c>
      <c r="AM52" t="s">
        <v>346</v>
      </c>
      <c r="AN52" t="s">
        <v>346</v>
      </c>
      <c r="AO52" t="s">
        <v>346</v>
      </c>
      <c r="AP52" t="s">
        <v>346</v>
      </c>
      <c r="AQ52" t="s">
        <v>346</v>
      </c>
      <c r="AR52" t="s">
        <v>346</v>
      </c>
      <c r="AS52" t="s">
        <v>346</v>
      </c>
      <c r="AT52" t="s">
        <v>346</v>
      </c>
      <c r="AU52" t="s">
        <v>346</v>
      </c>
      <c r="AV52" t="s">
        <v>346</v>
      </c>
      <c r="AW52" t="s">
        <v>346</v>
      </c>
      <c r="AX52" t="s">
        <v>346</v>
      </c>
      <c r="AY52" t="s">
        <v>346</v>
      </c>
      <c r="AZ52" t="s">
        <v>346</v>
      </c>
      <c r="BA52" t="s">
        <v>346</v>
      </c>
      <c r="BB52" t="s">
        <v>346</v>
      </c>
      <c r="BC52" t="s">
        <v>346</v>
      </c>
      <c r="BD52" t="s">
        <v>346</v>
      </c>
      <c r="BE52" t="s">
        <v>346</v>
      </c>
      <c r="BF52" t="s">
        <v>346</v>
      </c>
      <c r="BG52" t="s">
        <v>346</v>
      </c>
      <c r="BH52" t="s">
        <v>346</v>
      </c>
      <c r="BI52" t="s">
        <v>346</v>
      </c>
      <c r="BJ52" t="s">
        <v>346</v>
      </c>
      <c r="BK52" t="s">
        <v>346</v>
      </c>
      <c r="BL52" t="s">
        <v>346</v>
      </c>
      <c r="BM52" t="s">
        <v>346</v>
      </c>
      <c r="BN52" t="s">
        <v>346</v>
      </c>
      <c r="BO52" t="s">
        <v>346</v>
      </c>
      <c r="BP52" t="s">
        <v>346</v>
      </c>
      <c r="BQ52" t="s">
        <v>346</v>
      </c>
      <c r="BR52" t="s">
        <v>346</v>
      </c>
      <c r="BS52" t="s">
        <v>346</v>
      </c>
      <c r="BT52" t="s">
        <v>346</v>
      </c>
      <c r="BU52" t="s">
        <v>346</v>
      </c>
      <c r="BV52" t="s">
        <v>346</v>
      </c>
      <c r="BW52" t="s">
        <v>346</v>
      </c>
      <c r="BX52" t="s">
        <v>346</v>
      </c>
      <c r="BY52" t="s">
        <v>346</v>
      </c>
      <c r="BZ52" t="s">
        <v>346</v>
      </c>
      <c r="CA52" t="s">
        <v>346</v>
      </c>
      <c r="CB52" t="s">
        <v>346</v>
      </c>
      <c r="CC52" t="s">
        <v>346</v>
      </c>
      <c r="CD52" t="s">
        <v>346</v>
      </c>
      <c r="CE52" t="s">
        <v>346</v>
      </c>
      <c r="CF52" t="s">
        <v>346</v>
      </c>
      <c r="CG52" t="s">
        <v>346</v>
      </c>
      <c r="CH52" t="s">
        <v>346</v>
      </c>
      <c r="CI52" t="s">
        <v>346</v>
      </c>
      <c r="CJ52" t="s">
        <v>346</v>
      </c>
    </row>
    <row r="53" spans="1:88">
      <c r="A53" t="s">
        <v>262</v>
      </c>
      <c r="B53" t="s">
        <v>256</v>
      </c>
      <c r="D53" t="s">
        <v>30</v>
      </c>
      <c r="E53" t="s">
        <v>345</v>
      </c>
      <c r="I53" t="s">
        <v>346</v>
      </c>
      <c r="J53" t="s">
        <v>346</v>
      </c>
      <c r="K53" t="s">
        <v>346</v>
      </c>
      <c r="L53" t="s">
        <v>346</v>
      </c>
      <c r="M53" t="s">
        <v>346</v>
      </c>
      <c r="N53" t="s">
        <v>346</v>
      </c>
      <c r="O53" t="s">
        <v>346</v>
      </c>
      <c r="P53" t="s">
        <v>346</v>
      </c>
      <c r="Q53" t="s">
        <v>346</v>
      </c>
      <c r="R53" t="s">
        <v>346</v>
      </c>
      <c r="S53" t="s">
        <v>346</v>
      </c>
      <c r="T53" t="s">
        <v>346</v>
      </c>
      <c r="U53" t="s">
        <v>346</v>
      </c>
      <c r="V53" t="s">
        <v>346</v>
      </c>
      <c r="W53" t="s">
        <v>346</v>
      </c>
      <c r="X53" t="s">
        <v>346</v>
      </c>
      <c r="Y53" t="s">
        <v>346</v>
      </c>
      <c r="Z53" t="s">
        <v>346</v>
      </c>
      <c r="AA53" t="s">
        <v>346</v>
      </c>
      <c r="AB53" t="s">
        <v>346</v>
      </c>
      <c r="AC53" t="s">
        <v>346</v>
      </c>
      <c r="AD53" t="s">
        <v>346</v>
      </c>
      <c r="AE53" t="s">
        <v>346</v>
      </c>
      <c r="AF53" t="s">
        <v>346</v>
      </c>
      <c r="AG53" t="s">
        <v>346</v>
      </c>
      <c r="AH53" t="s">
        <v>346</v>
      </c>
      <c r="AI53" t="s">
        <v>346</v>
      </c>
      <c r="AJ53" t="s">
        <v>346</v>
      </c>
      <c r="AK53" t="s">
        <v>346</v>
      </c>
      <c r="AL53" t="s">
        <v>346</v>
      </c>
      <c r="AM53" t="s">
        <v>346</v>
      </c>
      <c r="AN53" t="s">
        <v>346</v>
      </c>
      <c r="AO53" t="s">
        <v>346</v>
      </c>
      <c r="AP53" t="s">
        <v>346</v>
      </c>
      <c r="AQ53" t="s">
        <v>346</v>
      </c>
      <c r="AR53" t="s">
        <v>346</v>
      </c>
      <c r="AS53" t="s">
        <v>346</v>
      </c>
      <c r="AT53" t="s">
        <v>346</v>
      </c>
      <c r="AU53" t="s">
        <v>346</v>
      </c>
      <c r="AV53" t="s">
        <v>346</v>
      </c>
      <c r="AW53" t="s">
        <v>346</v>
      </c>
      <c r="AX53" t="s">
        <v>346</v>
      </c>
      <c r="AY53" t="s">
        <v>346</v>
      </c>
      <c r="AZ53" t="s">
        <v>346</v>
      </c>
      <c r="BA53" t="s">
        <v>346</v>
      </c>
      <c r="BB53" t="s">
        <v>346</v>
      </c>
      <c r="BC53" t="s">
        <v>346</v>
      </c>
      <c r="BD53" t="s">
        <v>346</v>
      </c>
      <c r="BE53" t="s">
        <v>346</v>
      </c>
      <c r="BF53" t="s">
        <v>346</v>
      </c>
      <c r="BG53" t="s">
        <v>346</v>
      </c>
      <c r="BH53" t="s">
        <v>346</v>
      </c>
      <c r="BI53" t="s">
        <v>346</v>
      </c>
      <c r="BJ53" t="s">
        <v>346</v>
      </c>
      <c r="BK53" t="s">
        <v>346</v>
      </c>
      <c r="BL53" t="s">
        <v>346</v>
      </c>
      <c r="BM53" t="s">
        <v>346</v>
      </c>
      <c r="BN53" t="s">
        <v>346</v>
      </c>
      <c r="BO53" t="s">
        <v>346</v>
      </c>
      <c r="BP53" t="s">
        <v>346</v>
      </c>
      <c r="BQ53" t="s">
        <v>346</v>
      </c>
      <c r="BR53" t="s">
        <v>346</v>
      </c>
      <c r="BS53" t="s">
        <v>346</v>
      </c>
      <c r="BT53" t="s">
        <v>346</v>
      </c>
      <c r="BU53" t="s">
        <v>346</v>
      </c>
      <c r="BV53" t="s">
        <v>346</v>
      </c>
      <c r="BW53" t="s">
        <v>346</v>
      </c>
      <c r="BX53" t="s">
        <v>346</v>
      </c>
      <c r="BY53" t="s">
        <v>346</v>
      </c>
      <c r="BZ53" t="s">
        <v>346</v>
      </c>
      <c r="CA53" t="s">
        <v>346</v>
      </c>
      <c r="CB53" t="s">
        <v>346</v>
      </c>
      <c r="CC53" t="s">
        <v>346</v>
      </c>
      <c r="CD53" t="s">
        <v>346</v>
      </c>
      <c r="CE53" t="s">
        <v>346</v>
      </c>
      <c r="CF53" t="s">
        <v>346</v>
      </c>
      <c r="CG53" t="s">
        <v>346</v>
      </c>
      <c r="CH53" t="s">
        <v>346</v>
      </c>
      <c r="CI53" t="s">
        <v>346</v>
      </c>
      <c r="CJ53" t="s">
        <v>346</v>
      </c>
    </row>
    <row r="54" spans="1:88" ht="19.5" hidden="1">
      <c r="A54" t="s">
        <v>341</v>
      </c>
      <c r="B54" t="s">
        <v>342</v>
      </c>
      <c r="D54" t="s">
        <v>31</v>
      </c>
      <c r="E54" t="s">
        <v>345</v>
      </c>
      <c r="I54" t="s">
        <v>346</v>
      </c>
      <c r="J54" t="s">
        <v>346</v>
      </c>
      <c r="K54" t="s">
        <v>346</v>
      </c>
      <c r="L54" t="s">
        <v>346</v>
      </c>
      <c r="M54" t="s">
        <v>346</v>
      </c>
      <c r="N54" t="s">
        <v>346</v>
      </c>
      <c r="O54" t="s">
        <v>346</v>
      </c>
      <c r="P54" t="s">
        <v>346</v>
      </c>
      <c r="Q54" t="s">
        <v>346</v>
      </c>
      <c r="R54" t="s">
        <v>346</v>
      </c>
      <c r="S54" t="s">
        <v>346</v>
      </c>
      <c r="T54" t="s">
        <v>346</v>
      </c>
      <c r="U54" t="s">
        <v>346</v>
      </c>
      <c r="V54" t="s">
        <v>346</v>
      </c>
      <c r="W54" t="s">
        <v>346</v>
      </c>
      <c r="X54" t="s">
        <v>346</v>
      </c>
      <c r="Y54" t="s">
        <v>346</v>
      </c>
      <c r="Z54" t="s">
        <v>346</v>
      </c>
      <c r="AA54" t="s">
        <v>346</v>
      </c>
      <c r="AB54" t="s">
        <v>346</v>
      </c>
      <c r="AC54" t="s">
        <v>346</v>
      </c>
      <c r="AD54" t="s">
        <v>346</v>
      </c>
      <c r="AE54" t="s">
        <v>346</v>
      </c>
      <c r="AF54" t="s">
        <v>346</v>
      </c>
      <c r="AG54" t="s">
        <v>346</v>
      </c>
      <c r="AH54" t="s">
        <v>346</v>
      </c>
      <c r="AI54" t="s">
        <v>346</v>
      </c>
      <c r="AJ54" t="s">
        <v>346</v>
      </c>
      <c r="AK54" t="s">
        <v>346</v>
      </c>
      <c r="AL54" t="s">
        <v>346</v>
      </c>
      <c r="AM54" t="s">
        <v>346</v>
      </c>
      <c r="AN54" t="s">
        <v>346</v>
      </c>
      <c r="AO54" t="s">
        <v>346</v>
      </c>
      <c r="AP54" t="s">
        <v>346</v>
      </c>
      <c r="AQ54" t="s">
        <v>346</v>
      </c>
      <c r="AR54" t="s">
        <v>346</v>
      </c>
      <c r="AS54" t="s">
        <v>346</v>
      </c>
      <c r="AT54" t="s">
        <v>346</v>
      </c>
      <c r="AU54" t="s">
        <v>346</v>
      </c>
      <c r="AV54" t="s">
        <v>346</v>
      </c>
      <c r="AW54" t="s">
        <v>346</v>
      </c>
      <c r="AX54" t="s">
        <v>346</v>
      </c>
      <c r="AY54" t="s">
        <v>346</v>
      </c>
      <c r="AZ54" t="s">
        <v>346</v>
      </c>
      <c r="BA54" t="s">
        <v>346</v>
      </c>
      <c r="BB54" t="s">
        <v>346</v>
      </c>
      <c r="BC54" t="s">
        <v>346</v>
      </c>
      <c r="BD54" t="s">
        <v>346</v>
      </c>
      <c r="BE54" t="s">
        <v>346</v>
      </c>
      <c r="BF54" t="s">
        <v>346</v>
      </c>
      <c r="BG54" t="s">
        <v>346</v>
      </c>
      <c r="BH54" t="s">
        <v>346</v>
      </c>
      <c r="BI54" t="s">
        <v>346</v>
      </c>
      <c r="BJ54" t="s">
        <v>346</v>
      </c>
      <c r="BK54" t="s">
        <v>346</v>
      </c>
      <c r="BL54" t="s">
        <v>346</v>
      </c>
      <c r="BM54" t="s">
        <v>346</v>
      </c>
      <c r="BN54" t="s">
        <v>346</v>
      </c>
      <c r="BO54" t="s">
        <v>346</v>
      </c>
      <c r="BP54" t="s">
        <v>346</v>
      </c>
      <c r="BQ54" t="s">
        <v>346</v>
      </c>
      <c r="BR54" t="s">
        <v>346</v>
      </c>
      <c r="BS54" t="s">
        <v>346</v>
      </c>
      <c r="BT54" t="s">
        <v>346</v>
      </c>
      <c r="BU54" t="s">
        <v>346</v>
      </c>
      <c r="BV54" t="s">
        <v>346</v>
      </c>
      <c r="BW54" t="s">
        <v>346</v>
      </c>
      <c r="BX54" t="s">
        <v>346</v>
      </c>
      <c r="BY54" t="s">
        <v>346</v>
      </c>
      <c r="BZ54" t="s">
        <v>346</v>
      </c>
      <c r="CA54" t="s">
        <v>346</v>
      </c>
      <c r="CB54" t="s">
        <v>346</v>
      </c>
      <c r="CC54" t="s">
        <v>346</v>
      </c>
      <c r="CD54" t="s">
        <v>346</v>
      </c>
      <c r="CE54" t="s">
        <v>346</v>
      </c>
      <c r="CF54" t="s">
        <v>346</v>
      </c>
      <c r="CG54" t="s">
        <v>346</v>
      </c>
      <c r="CH54" t="s">
        <v>346</v>
      </c>
      <c r="CI54" t="s">
        <v>346</v>
      </c>
      <c r="CJ54" t="s">
        <v>346</v>
      </c>
    </row>
    <row r="55" spans="1:88" ht="19.5" hidden="1">
      <c r="A55" t="s">
        <v>278</v>
      </c>
      <c r="B55" t="s">
        <v>279</v>
      </c>
      <c r="D55" t="s">
        <v>31</v>
      </c>
      <c r="E55" t="s">
        <v>345</v>
      </c>
      <c r="I55" t="s">
        <v>346</v>
      </c>
      <c r="J55" t="s">
        <v>346</v>
      </c>
      <c r="K55" t="s">
        <v>346</v>
      </c>
      <c r="L55" t="s">
        <v>346</v>
      </c>
      <c r="M55" t="s">
        <v>346</v>
      </c>
      <c r="N55" t="s">
        <v>346</v>
      </c>
      <c r="O55" t="s">
        <v>346</v>
      </c>
      <c r="P55" t="s">
        <v>346</v>
      </c>
      <c r="Q55" t="s">
        <v>346</v>
      </c>
      <c r="R55" t="s">
        <v>346</v>
      </c>
      <c r="S55" t="s">
        <v>346</v>
      </c>
      <c r="T55" t="s">
        <v>346</v>
      </c>
      <c r="U55" t="s">
        <v>346</v>
      </c>
      <c r="V55" t="s">
        <v>346</v>
      </c>
      <c r="W55" t="s">
        <v>346</v>
      </c>
      <c r="X55" t="s">
        <v>346</v>
      </c>
      <c r="Y55" t="s">
        <v>346</v>
      </c>
      <c r="Z55" t="s">
        <v>346</v>
      </c>
      <c r="AA55" t="s">
        <v>346</v>
      </c>
      <c r="AB55" t="s">
        <v>346</v>
      </c>
      <c r="AC55" t="s">
        <v>346</v>
      </c>
      <c r="AD55" t="s">
        <v>346</v>
      </c>
      <c r="AE55" t="s">
        <v>346</v>
      </c>
      <c r="AF55" t="s">
        <v>346</v>
      </c>
      <c r="AG55" t="s">
        <v>346</v>
      </c>
      <c r="AH55" t="s">
        <v>346</v>
      </c>
      <c r="AI55" t="s">
        <v>346</v>
      </c>
      <c r="AJ55" t="s">
        <v>346</v>
      </c>
      <c r="AK55" t="s">
        <v>346</v>
      </c>
      <c r="AL55" t="s">
        <v>346</v>
      </c>
      <c r="AM55" t="s">
        <v>346</v>
      </c>
      <c r="AN55" t="s">
        <v>346</v>
      </c>
      <c r="AO55" t="s">
        <v>346</v>
      </c>
      <c r="AP55" t="s">
        <v>346</v>
      </c>
      <c r="AQ55" t="s">
        <v>346</v>
      </c>
      <c r="AR55" t="s">
        <v>346</v>
      </c>
      <c r="AS55" t="s">
        <v>346</v>
      </c>
      <c r="AT55" t="s">
        <v>346</v>
      </c>
      <c r="AU55" t="s">
        <v>346</v>
      </c>
      <c r="AV55" t="s">
        <v>346</v>
      </c>
      <c r="AW55" t="s">
        <v>346</v>
      </c>
      <c r="AX55" t="s">
        <v>346</v>
      </c>
      <c r="AY55" t="s">
        <v>346</v>
      </c>
      <c r="AZ55" t="s">
        <v>346</v>
      </c>
      <c r="BA55" t="s">
        <v>346</v>
      </c>
      <c r="BB55" t="s">
        <v>346</v>
      </c>
      <c r="BC55" t="s">
        <v>346</v>
      </c>
      <c r="BD55" t="s">
        <v>346</v>
      </c>
      <c r="BE55" t="s">
        <v>346</v>
      </c>
      <c r="BF55" t="s">
        <v>346</v>
      </c>
      <c r="BG55" t="s">
        <v>346</v>
      </c>
      <c r="BH55" t="s">
        <v>346</v>
      </c>
      <c r="BI55" t="s">
        <v>346</v>
      </c>
      <c r="BJ55" t="s">
        <v>346</v>
      </c>
      <c r="BK55" t="s">
        <v>346</v>
      </c>
      <c r="BL55" t="s">
        <v>346</v>
      </c>
      <c r="BM55" t="s">
        <v>346</v>
      </c>
      <c r="BN55" t="s">
        <v>346</v>
      </c>
      <c r="BO55" t="s">
        <v>346</v>
      </c>
      <c r="BP55" t="s">
        <v>346</v>
      </c>
      <c r="BQ55" t="s">
        <v>346</v>
      </c>
      <c r="BR55" t="s">
        <v>346</v>
      </c>
      <c r="BS55" t="s">
        <v>346</v>
      </c>
      <c r="BT55" t="s">
        <v>346</v>
      </c>
      <c r="BU55" t="s">
        <v>346</v>
      </c>
      <c r="BV55" t="s">
        <v>346</v>
      </c>
      <c r="BW55" t="s">
        <v>346</v>
      </c>
      <c r="BX55" t="s">
        <v>346</v>
      </c>
      <c r="BY55" t="s">
        <v>346</v>
      </c>
      <c r="BZ55" t="s">
        <v>346</v>
      </c>
      <c r="CA55" t="s">
        <v>346</v>
      </c>
      <c r="CB55" t="s">
        <v>346</v>
      </c>
      <c r="CC55" t="s">
        <v>346</v>
      </c>
      <c r="CD55" t="s">
        <v>346</v>
      </c>
      <c r="CE55" t="s">
        <v>346</v>
      </c>
      <c r="CF55" t="s">
        <v>346</v>
      </c>
      <c r="CG55" t="s">
        <v>346</v>
      </c>
      <c r="CH55" t="s">
        <v>346</v>
      </c>
      <c r="CI55" t="s">
        <v>346</v>
      </c>
      <c r="CJ55" t="s">
        <v>346</v>
      </c>
    </row>
    <row r="56" spans="1:88" ht="19.5" hidden="1">
      <c r="A56" t="s">
        <v>343</v>
      </c>
      <c r="B56" t="s">
        <v>344</v>
      </c>
      <c r="D56" t="s">
        <v>30</v>
      </c>
      <c r="E56" t="s">
        <v>345</v>
      </c>
      <c r="I56" t="s">
        <v>346</v>
      </c>
      <c r="J56" t="s">
        <v>346</v>
      </c>
      <c r="K56" t="s">
        <v>346</v>
      </c>
      <c r="L56" t="s">
        <v>346</v>
      </c>
      <c r="M56" t="s">
        <v>346</v>
      </c>
      <c r="N56" t="s">
        <v>346</v>
      </c>
      <c r="O56" t="s">
        <v>346</v>
      </c>
      <c r="P56" t="s">
        <v>346</v>
      </c>
      <c r="Q56" t="s">
        <v>346</v>
      </c>
      <c r="R56" t="s">
        <v>346</v>
      </c>
      <c r="S56" t="s">
        <v>346</v>
      </c>
      <c r="T56" t="s">
        <v>346</v>
      </c>
      <c r="U56" t="s">
        <v>346</v>
      </c>
      <c r="V56" t="s">
        <v>346</v>
      </c>
      <c r="W56" t="s">
        <v>346</v>
      </c>
      <c r="X56" t="s">
        <v>346</v>
      </c>
      <c r="Y56" t="s">
        <v>346</v>
      </c>
      <c r="Z56" t="s">
        <v>346</v>
      </c>
      <c r="AA56" t="s">
        <v>346</v>
      </c>
      <c r="AB56" t="s">
        <v>346</v>
      </c>
      <c r="AC56" t="s">
        <v>346</v>
      </c>
      <c r="AD56" t="s">
        <v>346</v>
      </c>
      <c r="AE56" t="s">
        <v>346</v>
      </c>
      <c r="AF56" t="s">
        <v>346</v>
      </c>
      <c r="AG56" t="s">
        <v>346</v>
      </c>
      <c r="AH56" t="s">
        <v>346</v>
      </c>
      <c r="AI56" t="s">
        <v>346</v>
      </c>
      <c r="AJ56" t="s">
        <v>346</v>
      </c>
      <c r="AK56" t="s">
        <v>346</v>
      </c>
      <c r="AL56" t="s">
        <v>346</v>
      </c>
      <c r="AM56" t="s">
        <v>346</v>
      </c>
      <c r="AN56" t="s">
        <v>346</v>
      </c>
      <c r="AO56" t="s">
        <v>346</v>
      </c>
      <c r="AP56" t="s">
        <v>346</v>
      </c>
      <c r="AQ56" t="s">
        <v>346</v>
      </c>
      <c r="AR56" t="s">
        <v>346</v>
      </c>
      <c r="AS56" t="s">
        <v>346</v>
      </c>
      <c r="AT56" t="s">
        <v>346</v>
      </c>
      <c r="AU56" t="s">
        <v>346</v>
      </c>
      <c r="AV56" t="s">
        <v>346</v>
      </c>
      <c r="AW56" t="s">
        <v>346</v>
      </c>
      <c r="AX56" t="s">
        <v>346</v>
      </c>
      <c r="AY56" t="s">
        <v>346</v>
      </c>
      <c r="AZ56" t="s">
        <v>346</v>
      </c>
      <c r="BA56" t="s">
        <v>346</v>
      </c>
      <c r="BB56" t="s">
        <v>346</v>
      </c>
      <c r="BC56" t="s">
        <v>346</v>
      </c>
      <c r="BD56" t="s">
        <v>346</v>
      </c>
      <c r="BE56" t="s">
        <v>346</v>
      </c>
      <c r="BF56" t="s">
        <v>346</v>
      </c>
      <c r="BG56" t="s">
        <v>346</v>
      </c>
      <c r="BH56" t="s">
        <v>346</v>
      </c>
      <c r="BI56" t="s">
        <v>346</v>
      </c>
      <c r="BJ56" t="s">
        <v>346</v>
      </c>
      <c r="BK56" t="s">
        <v>346</v>
      </c>
      <c r="BL56" t="s">
        <v>346</v>
      </c>
      <c r="BM56" t="s">
        <v>346</v>
      </c>
      <c r="BN56" t="s">
        <v>346</v>
      </c>
      <c r="BO56" t="s">
        <v>346</v>
      </c>
      <c r="BP56" t="s">
        <v>346</v>
      </c>
      <c r="BQ56" t="s">
        <v>346</v>
      </c>
      <c r="BR56" t="s">
        <v>346</v>
      </c>
      <c r="BS56" t="s">
        <v>346</v>
      </c>
      <c r="BT56" t="s">
        <v>346</v>
      </c>
      <c r="BU56" t="s">
        <v>346</v>
      </c>
      <c r="BV56" t="s">
        <v>346</v>
      </c>
      <c r="BW56" t="s">
        <v>346</v>
      </c>
      <c r="BX56" t="s">
        <v>346</v>
      </c>
      <c r="BY56" t="s">
        <v>346</v>
      </c>
      <c r="BZ56" t="s">
        <v>346</v>
      </c>
      <c r="CA56" t="s">
        <v>346</v>
      </c>
      <c r="CB56" t="s">
        <v>346</v>
      </c>
      <c r="CC56" t="s">
        <v>346</v>
      </c>
      <c r="CD56" t="s">
        <v>346</v>
      </c>
      <c r="CE56" t="s">
        <v>346</v>
      </c>
      <c r="CF56" t="s">
        <v>346</v>
      </c>
      <c r="CG56" t="s">
        <v>346</v>
      </c>
      <c r="CH56" t="s">
        <v>346</v>
      </c>
      <c r="CI56" t="s">
        <v>346</v>
      </c>
      <c r="CJ56" t="s">
        <v>346</v>
      </c>
    </row>
    <row r="57" spans="1:88" ht="19.5" hidden="1">
      <c r="A57" t="s">
        <v>305</v>
      </c>
      <c r="B57" t="s">
        <v>306</v>
      </c>
      <c r="D57" t="s">
        <v>31</v>
      </c>
      <c r="E57" t="s">
        <v>345</v>
      </c>
      <c r="I57" t="s">
        <v>346</v>
      </c>
      <c r="J57" t="s">
        <v>346</v>
      </c>
      <c r="K57" t="s">
        <v>346</v>
      </c>
      <c r="L57" t="s">
        <v>346</v>
      </c>
      <c r="M57" t="s">
        <v>346</v>
      </c>
      <c r="N57" t="s">
        <v>346</v>
      </c>
      <c r="O57" t="s">
        <v>346</v>
      </c>
      <c r="P57" t="s">
        <v>346</v>
      </c>
      <c r="Q57" t="s">
        <v>346</v>
      </c>
      <c r="R57" t="s">
        <v>346</v>
      </c>
      <c r="S57" t="s">
        <v>346</v>
      </c>
      <c r="T57" t="s">
        <v>346</v>
      </c>
      <c r="U57" t="s">
        <v>346</v>
      </c>
      <c r="V57" t="s">
        <v>346</v>
      </c>
      <c r="W57" t="s">
        <v>346</v>
      </c>
      <c r="X57" t="s">
        <v>346</v>
      </c>
      <c r="Y57" t="s">
        <v>346</v>
      </c>
      <c r="Z57" t="s">
        <v>346</v>
      </c>
      <c r="AA57" t="s">
        <v>346</v>
      </c>
      <c r="AB57" t="s">
        <v>346</v>
      </c>
      <c r="AC57" t="s">
        <v>346</v>
      </c>
      <c r="AD57" t="s">
        <v>346</v>
      </c>
      <c r="AE57" t="s">
        <v>346</v>
      </c>
      <c r="AF57" t="s">
        <v>346</v>
      </c>
      <c r="AG57" t="s">
        <v>346</v>
      </c>
      <c r="AH57" t="s">
        <v>346</v>
      </c>
      <c r="AI57" t="s">
        <v>346</v>
      </c>
      <c r="AJ57" t="s">
        <v>346</v>
      </c>
      <c r="AK57" t="s">
        <v>346</v>
      </c>
      <c r="AL57" t="s">
        <v>346</v>
      </c>
      <c r="AM57" t="s">
        <v>346</v>
      </c>
      <c r="AN57" t="s">
        <v>346</v>
      </c>
      <c r="AO57" t="s">
        <v>346</v>
      </c>
      <c r="AP57" t="s">
        <v>346</v>
      </c>
      <c r="AQ57" t="s">
        <v>346</v>
      </c>
      <c r="AR57" t="s">
        <v>346</v>
      </c>
      <c r="AS57" t="s">
        <v>346</v>
      </c>
      <c r="AT57" t="s">
        <v>346</v>
      </c>
      <c r="AU57" t="s">
        <v>346</v>
      </c>
      <c r="AV57" t="s">
        <v>346</v>
      </c>
      <c r="AW57" t="s">
        <v>346</v>
      </c>
      <c r="AX57" t="s">
        <v>346</v>
      </c>
      <c r="AY57" t="s">
        <v>346</v>
      </c>
      <c r="AZ57" t="s">
        <v>346</v>
      </c>
      <c r="BA57" t="s">
        <v>346</v>
      </c>
      <c r="BB57" t="s">
        <v>346</v>
      </c>
      <c r="BC57" t="s">
        <v>346</v>
      </c>
      <c r="BD57" t="s">
        <v>346</v>
      </c>
      <c r="BE57" t="s">
        <v>346</v>
      </c>
      <c r="BF57" t="s">
        <v>346</v>
      </c>
      <c r="BG57" t="s">
        <v>346</v>
      </c>
      <c r="BH57" t="s">
        <v>346</v>
      </c>
      <c r="BI57" t="s">
        <v>346</v>
      </c>
      <c r="BJ57" t="s">
        <v>346</v>
      </c>
      <c r="BK57" t="s">
        <v>346</v>
      </c>
      <c r="BL57" t="s">
        <v>346</v>
      </c>
      <c r="BM57" t="s">
        <v>346</v>
      </c>
      <c r="BN57" t="s">
        <v>346</v>
      </c>
      <c r="BO57" t="s">
        <v>346</v>
      </c>
      <c r="BP57" t="s">
        <v>346</v>
      </c>
      <c r="BQ57" t="s">
        <v>346</v>
      </c>
      <c r="BR57" t="s">
        <v>346</v>
      </c>
      <c r="BS57" t="s">
        <v>346</v>
      </c>
      <c r="BT57" t="s">
        <v>346</v>
      </c>
      <c r="BU57" t="s">
        <v>346</v>
      </c>
      <c r="BV57" t="s">
        <v>346</v>
      </c>
      <c r="BW57" t="s">
        <v>346</v>
      </c>
      <c r="BX57" t="s">
        <v>346</v>
      </c>
      <c r="BY57" t="s">
        <v>346</v>
      </c>
      <c r="BZ57" t="s">
        <v>346</v>
      </c>
      <c r="CA57" t="s">
        <v>346</v>
      </c>
      <c r="CB57" t="s">
        <v>346</v>
      </c>
      <c r="CC57" t="s">
        <v>346</v>
      </c>
      <c r="CD57" t="s">
        <v>346</v>
      </c>
      <c r="CE57" t="s">
        <v>346</v>
      </c>
      <c r="CF57" t="s">
        <v>346</v>
      </c>
      <c r="CG57" t="s">
        <v>346</v>
      </c>
      <c r="CH57" t="s">
        <v>346</v>
      </c>
      <c r="CI57" t="s">
        <v>346</v>
      </c>
      <c r="CJ57" t="s">
        <v>346</v>
      </c>
    </row>
    <row r="58" spans="1:88" ht="19.5" hidden="1">
      <c r="A58" t="s">
        <v>308</v>
      </c>
      <c r="B58" t="s">
        <v>309</v>
      </c>
      <c r="D58" t="s">
        <v>30</v>
      </c>
      <c r="E58" t="s">
        <v>345</v>
      </c>
      <c r="I58" t="s">
        <v>346</v>
      </c>
      <c r="J58" t="s">
        <v>346</v>
      </c>
      <c r="K58" t="s">
        <v>346</v>
      </c>
      <c r="L58" t="s">
        <v>346</v>
      </c>
      <c r="M58" t="s">
        <v>346</v>
      </c>
      <c r="N58" t="s">
        <v>346</v>
      </c>
      <c r="O58" t="s">
        <v>346</v>
      </c>
      <c r="P58" t="s">
        <v>346</v>
      </c>
      <c r="Q58" t="s">
        <v>346</v>
      </c>
      <c r="R58" t="s">
        <v>346</v>
      </c>
      <c r="S58" t="s">
        <v>346</v>
      </c>
      <c r="T58" t="s">
        <v>346</v>
      </c>
      <c r="U58" t="s">
        <v>346</v>
      </c>
      <c r="V58" t="s">
        <v>346</v>
      </c>
      <c r="W58" t="s">
        <v>346</v>
      </c>
      <c r="X58" t="s">
        <v>346</v>
      </c>
      <c r="Y58" t="s">
        <v>346</v>
      </c>
      <c r="Z58" t="s">
        <v>346</v>
      </c>
      <c r="AA58" t="s">
        <v>346</v>
      </c>
      <c r="AB58" t="s">
        <v>346</v>
      </c>
      <c r="AC58" t="s">
        <v>346</v>
      </c>
      <c r="AD58" t="s">
        <v>346</v>
      </c>
      <c r="AE58" t="s">
        <v>346</v>
      </c>
      <c r="AF58" t="s">
        <v>346</v>
      </c>
      <c r="AG58" t="s">
        <v>346</v>
      </c>
      <c r="AH58" t="s">
        <v>346</v>
      </c>
      <c r="AI58" t="s">
        <v>346</v>
      </c>
      <c r="AJ58" t="s">
        <v>346</v>
      </c>
      <c r="AK58" t="s">
        <v>346</v>
      </c>
      <c r="AL58" t="s">
        <v>346</v>
      </c>
      <c r="AM58" t="s">
        <v>346</v>
      </c>
      <c r="AN58" t="s">
        <v>346</v>
      </c>
      <c r="AO58" t="s">
        <v>346</v>
      </c>
      <c r="AP58" t="s">
        <v>346</v>
      </c>
      <c r="AQ58" t="s">
        <v>346</v>
      </c>
      <c r="AR58" t="s">
        <v>346</v>
      </c>
      <c r="AS58" t="s">
        <v>346</v>
      </c>
      <c r="AT58" t="s">
        <v>346</v>
      </c>
      <c r="AU58" t="s">
        <v>346</v>
      </c>
      <c r="AV58" t="s">
        <v>346</v>
      </c>
      <c r="AW58" t="s">
        <v>346</v>
      </c>
      <c r="AX58" t="s">
        <v>346</v>
      </c>
      <c r="AY58" t="s">
        <v>346</v>
      </c>
      <c r="AZ58" t="s">
        <v>346</v>
      </c>
      <c r="BA58" t="s">
        <v>346</v>
      </c>
      <c r="BB58" t="s">
        <v>346</v>
      </c>
      <c r="BC58" t="s">
        <v>346</v>
      </c>
      <c r="BD58" t="s">
        <v>346</v>
      </c>
      <c r="BE58" t="s">
        <v>346</v>
      </c>
      <c r="BF58" t="s">
        <v>346</v>
      </c>
      <c r="BG58" t="s">
        <v>346</v>
      </c>
      <c r="BH58" t="s">
        <v>346</v>
      </c>
      <c r="BI58" t="s">
        <v>346</v>
      </c>
      <c r="BJ58" t="s">
        <v>346</v>
      </c>
      <c r="BK58" t="s">
        <v>346</v>
      </c>
      <c r="BL58" t="s">
        <v>346</v>
      </c>
      <c r="BM58" t="s">
        <v>346</v>
      </c>
      <c r="BN58" t="s">
        <v>346</v>
      </c>
      <c r="BO58" t="s">
        <v>346</v>
      </c>
      <c r="BP58" t="s">
        <v>346</v>
      </c>
      <c r="BQ58" t="s">
        <v>346</v>
      </c>
      <c r="BR58" t="s">
        <v>346</v>
      </c>
      <c r="BS58" t="s">
        <v>346</v>
      </c>
      <c r="BT58" t="s">
        <v>346</v>
      </c>
      <c r="BU58" t="s">
        <v>346</v>
      </c>
      <c r="BV58" t="s">
        <v>346</v>
      </c>
      <c r="BW58" t="s">
        <v>346</v>
      </c>
      <c r="BX58" t="s">
        <v>346</v>
      </c>
      <c r="BY58" t="s">
        <v>346</v>
      </c>
      <c r="BZ58" t="s">
        <v>346</v>
      </c>
      <c r="CA58" t="s">
        <v>346</v>
      </c>
      <c r="CB58" t="s">
        <v>346</v>
      </c>
      <c r="CC58" t="s">
        <v>346</v>
      </c>
      <c r="CD58" t="s">
        <v>346</v>
      </c>
      <c r="CE58" t="s">
        <v>346</v>
      </c>
      <c r="CF58" t="s">
        <v>346</v>
      </c>
      <c r="CG58" t="s">
        <v>346</v>
      </c>
      <c r="CH58" t="s">
        <v>346</v>
      </c>
      <c r="CI58" t="s">
        <v>346</v>
      </c>
      <c r="CJ58" t="s">
        <v>346</v>
      </c>
    </row>
    <row r="59" spans="1:88" ht="19.5" hidden="1">
      <c r="A59" t="s">
        <v>311</v>
      </c>
      <c r="B59" t="s">
        <v>312</v>
      </c>
      <c r="D59" t="s">
        <v>30</v>
      </c>
      <c r="E59" t="s">
        <v>345</v>
      </c>
      <c r="I59" t="s">
        <v>346</v>
      </c>
      <c r="J59" t="s">
        <v>346</v>
      </c>
      <c r="K59" t="s">
        <v>346</v>
      </c>
      <c r="L59" t="s">
        <v>346</v>
      </c>
      <c r="M59" t="s">
        <v>346</v>
      </c>
      <c r="N59" t="s">
        <v>346</v>
      </c>
      <c r="O59" t="s">
        <v>346</v>
      </c>
      <c r="P59" t="s">
        <v>346</v>
      </c>
      <c r="Q59" t="s">
        <v>346</v>
      </c>
      <c r="R59" t="s">
        <v>346</v>
      </c>
      <c r="S59" t="s">
        <v>346</v>
      </c>
      <c r="T59" t="s">
        <v>346</v>
      </c>
      <c r="U59" t="s">
        <v>346</v>
      </c>
      <c r="V59" t="s">
        <v>346</v>
      </c>
      <c r="W59" t="s">
        <v>346</v>
      </c>
      <c r="X59" t="s">
        <v>346</v>
      </c>
      <c r="Y59" t="s">
        <v>346</v>
      </c>
      <c r="Z59" t="s">
        <v>346</v>
      </c>
      <c r="AA59" t="s">
        <v>346</v>
      </c>
      <c r="AB59" t="s">
        <v>346</v>
      </c>
      <c r="AC59" t="s">
        <v>346</v>
      </c>
      <c r="AD59" t="s">
        <v>346</v>
      </c>
      <c r="AE59" t="s">
        <v>346</v>
      </c>
      <c r="AF59" t="s">
        <v>346</v>
      </c>
      <c r="AG59" t="s">
        <v>346</v>
      </c>
      <c r="AH59" t="s">
        <v>346</v>
      </c>
      <c r="AI59" t="s">
        <v>346</v>
      </c>
      <c r="AJ59" t="s">
        <v>346</v>
      </c>
      <c r="AK59" t="s">
        <v>346</v>
      </c>
      <c r="AL59" t="s">
        <v>346</v>
      </c>
      <c r="AM59" t="s">
        <v>346</v>
      </c>
      <c r="AN59" t="s">
        <v>346</v>
      </c>
      <c r="AO59" t="s">
        <v>346</v>
      </c>
      <c r="AP59" t="s">
        <v>346</v>
      </c>
      <c r="AQ59" t="s">
        <v>346</v>
      </c>
      <c r="AR59" t="s">
        <v>346</v>
      </c>
      <c r="AS59" t="s">
        <v>346</v>
      </c>
      <c r="AT59" t="s">
        <v>346</v>
      </c>
      <c r="AU59" t="s">
        <v>346</v>
      </c>
      <c r="AV59" t="s">
        <v>346</v>
      </c>
      <c r="AW59" t="s">
        <v>346</v>
      </c>
      <c r="AX59" t="s">
        <v>346</v>
      </c>
      <c r="AY59" t="s">
        <v>346</v>
      </c>
      <c r="AZ59" t="s">
        <v>346</v>
      </c>
      <c r="BA59" t="s">
        <v>346</v>
      </c>
      <c r="BB59" t="s">
        <v>346</v>
      </c>
      <c r="BC59" t="s">
        <v>346</v>
      </c>
      <c r="BD59" t="s">
        <v>346</v>
      </c>
      <c r="BE59" t="s">
        <v>346</v>
      </c>
      <c r="BF59" t="s">
        <v>346</v>
      </c>
      <c r="BG59" t="s">
        <v>346</v>
      </c>
      <c r="BH59" t="s">
        <v>346</v>
      </c>
      <c r="BI59" t="s">
        <v>346</v>
      </c>
      <c r="BJ59" t="s">
        <v>346</v>
      </c>
      <c r="BK59" t="s">
        <v>346</v>
      </c>
      <c r="BL59" t="s">
        <v>346</v>
      </c>
      <c r="BM59" t="s">
        <v>346</v>
      </c>
      <c r="BN59" t="s">
        <v>346</v>
      </c>
      <c r="BO59" t="s">
        <v>346</v>
      </c>
      <c r="BP59" t="s">
        <v>346</v>
      </c>
      <c r="BQ59" t="s">
        <v>346</v>
      </c>
      <c r="BR59" t="s">
        <v>346</v>
      </c>
      <c r="BS59" t="s">
        <v>346</v>
      </c>
      <c r="BT59" t="s">
        <v>346</v>
      </c>
      <c r="BU59" t="s">
        <v>346</v>
      </c>
      <c r="BV59" t="s">
        <v>346</v>
      </c>
      <c r="BW59" t="s">
        <v>346</v>
      </c>
      <c r="BX59" t="s">
        <v>346</v>
      </c>
      <c r="BY59" t="s">
        <v>346</v>
      </c>
      <c r="BZ59" t="s">
        <v>346</v>
      </c>
      <c r="CA59" t="s">
        <v>346</v>
      </c>
      <c r="CB59" t="s">
        <v>346</v>
      </c>
      <c r="CC59" t="s">
        <v>346</v>
      </c>
      <c r="CD59" t="s">
        <v>346</v>
      </c>
      <c r="CE59" t="s">
        <v>346</v>
      </c>
      <c r="CF59" t="s">
        <v>346</v>
      </c>
      <c r="CG59" t="s">
        <v>346</v>
      </c>
      <c r="CH59" t="s">
        <v>346</v>
      </c>
      <c r="CI59" t="s">
        <v>346</v>
      </c>
      <c r="CJ59" t="s">
        <v>346</v>
      </c>
    </row>
    <row r="60" spans="1:88" ht="19.5" hidden="1">
      <c r="A60" t="s">
        <v>326</v>
      </c>
      <c r="B60" t="s">
        <v>327</v>
      </c>
      <c r="D60" t="s">
        <v>28</v>
      </c>
      <c r="E60" t="s">
        <v>345</v>
      </c>
      <c r="I60" t="s">
        <v>346</v>
      </c>
      <c r="J60" t="s">
        <v>346</v>
      </c>
      <c r="K60" t="s">
        <v>346</v>
      </c>
      <c r="L60" t="s">
        <v>346</v>
      </c>
      <c r="M60" t="s">
        <v>346</v>
      </c>
      <c r="N60" t="s">
        <v>346</v>
      </c>
      <c r="O60" t="s">
        <v>346</v>
      </c>
      <c r="P60" t="s">
        <v>346</v>
      </c>
      <c r="Q60" t="s">
        <v>346</v>
      </c>
      <c r="R60" t="s">
        <v>346</v>
      </c>
      <c r="S60" t="s">
        <v>346</v>
      </c>
      <c r="T60" t="s">
        <v>346</v>
      </c>
      <c r="U60" t="s">
        <v>346</v>
      </c>
      <c r="V60" t="s">
        <v>346</v>
      </c>
      <c r="W60" t="s">
        <v>346</v>
      </c>
      <c r="X60" t="s">
        <v>346</v>
      </c>
      <c r="Y60" t="s">
        <v>346</v>
      </c>
      <c r="Z60" t="s">
        <v>346</v>
      </c>
      <c r="AA60" t="s">
        <v>346</v>
      </c>
      <c r="AB60" t="s">
        <v>346</v>
      </c>
      <c r="AC60" t="s">
        <v>346</v>
      </c>
      <c r="AD60" t="s">
        <v>346</v>
      </c>
      <c r="AE60" t="s">
        <v>346</v>
      </c>
      <c r="AF60" t="s">
        <v>346</v>
      </c>
      <c r="AG60" t="s">
        <v>346</v>
      </c>
      <c r="AH60" t="s">
        <v>346</v>
      </c>
      <c r="AI60" t="s">
        <v>346</v>
      </c>
      <c r="AJ60" t="s">
        <v>346</v>
      </c>
      <c r="AK60" t="s">
        <v>346</v>
      </c>
      <c r="AL60" t="s">
        <v>346</v>
      </c>
      <c r="AM60" t="s">
        <v>346</v>
      </c>
      <c r="AN60" t="s">
        <v>346</v>
      </c>
      <c r="AO60" t="s">
        <v>346</v>
      </c>
      <c r="AP60" t="s">
        <v>346</v>
      </c>
      <c r="AQ60" t="s">
        <v>346</v>
      </c>
      <c r="AR60" t="s">
        <v>346</v>
      </c>
      <c r="AS60" t="s">
        <v>346</v>
      </c>
      <c r="AT60" t="s">
        <v>346</v>
      </c>
      <c r="AU60" t="s">
        <v>346</v>
      </c>
      <c r="AV60" t="s">
        <v>346</v>
      </c>
      <c r="AW60" t="s">
        <v>346</v>
      </c>
      <c r="AX60" t="s">
        <v>346</v>
      </c>
      <c r="AY60" t="s">
        <v>346</v>
      </c>
      <c r="AZ60" t="s">
        <v>346</v>
      </c>
      <c r="BA60" t="s">
        <v>346</v>
      </c>
      <c r="BB60" t="s">
        <v>346</v>
      </c>
      <c r="BC60" t="s">
        <v>346</v>
      </c>
      <c r="BD60" t="s">
        <v>346</v>
      </c>
      <c r="BE60" t="s">
        <v>346</v>
      </c>
      <c r="BF60" t="s">
        <v>346</v>
      </c>
      <c r="BG60" t="s">
        <v>346</v>
      </c>
      <c r="BH60" t="s">
        <v>346</v>
      </c>
      <c r="BI60" t="s">
        <v>346</v>
      </c>
      <c r="BJ60" t="s">
        <v>346</v>
      </c>
      <c r="BK60" t="s">
        <v>346</v>
      </c>
      <c r="BL60" t="s">
        <v>346</v>
      </c>
      <c r="BM60" t="s">
        <v>346</v>
      </c>
      <c r="BN60" t="s">
        <v>346</v>
      </c>
      <c r="BO60" t="s">
        <v>346</v>
      </c>
      <c r="BP60" t="s">
        <v>346</v>
      </c>
      <c r="BQ60" t="s">
        <v>346</v>
      </c>
      <c r="BR60" t="s">
        <v>346</v>
      </c>
      <c r="BS60" t="s">
        <v>346</v>
      </c>
      <c r="BT60" t="s">
        <v>346</v>
      </c>
      <c r="BU60" t="s">
        <v>346</v>
      </c>
      <c r="BV60" t="s">
        <v>346</v>
      </c>
      <c r="BW60" t="s">
        <v>346</v>
      </c>
      <c r="BX60" t="s">
        <v>346</v>
      </c>
      <c r="BY60" t="s">
        <v>346</v>
      </c>
      <c r="BZ60" t="s">
        <v>346</v>
      </c>
      <c r="CA60" t="s">
        <v>346</v>
      </c>
      <c r="CB60" t="s">
        <v>346</v>
      </c>
      <c r="CC60" t="s">
        <v>346</v>
      </c>
      <c r="CD60" t="s">
        <v>346</v>
      </c>
      <c r="CE60" t="s">
        <v>346</v>
      </c>
      <c r="CF60" t="s">
        <v>346</v>
      </c>
      <c r="CG60" t="s">
        <v>346</v>
      </c>
      <c r="CH60" t="s">
        <v>346</v>
      </c>
      <c r="CI60" t="s">
        <v>346</v>
      </c>
      <c r="CJ60" t="s">
        <v>346</v>
      </c>
    </row>
    <row r="61" spans="1:88" ht="19.5" hidden="1">
      <c r="A61" t="s">
        <v>329</v>
      </c>
      <c r="B61" t="s">
        <v>330</v>
      </c>
      <c r="D61" t="s">
        <v>28</v>
      </c>
      <c r="E61" t="s">
        <v>345</v>
      </c>
      <c r="I61" t="s">
        <v>346</v>
      </c>
      <c r="J61" t="s">
        <v>346</v>
      </c>
      <c r="K61" t="s">
        <v>346</v>
      </c>
      <c r="L61" t="s">
        <v>346</v>
      </c>
      <c r="M61" t="s">
        <v>346</v>
      </c>
      <c r="N61" t="s">
        <v>346</v>
      </c>
      <c r="O61" t="s">
        <v>346</v>
      </c>
      <c r="P61" t="s">
        <v>346</v>
      </c>
      <c r="Q61" t="s">
        <v>346</v>
      </c>
      <c r="R61" t="s">
        <v>346</v>
      </c>
      <c r="S61" t="s">
        <v>346</v>
      </c>
      <c r="T61" t="s">
        <v>346</v>
      </c>
      <c r="U61" t="s">
        <v>346</v>
      </c>
      <c r="V61" t="s">
        <v>346</v>
      </c>
      <c r="W61" t="s">
        <v>346</v>
      </c>
      <c r="X61" t="s">
        <v>346</v>
      </c>
      <c r="Y61" t="s">
        <v>346</v>
      </c>
      <c r="Z61" t="s">
        <v>346</v>
      </c>
      <c r="AA61" t="s">
        <v>346</v>
      </c>
      <c r="AB61" t="s">
        <v>346</v>
      </c>
      <c r="AC61" t="s">
        <v>346</v>
      </c>
      <c r="AD61" t="s">
        <v>346</v>
      </c>
      <c r="AE61" t="s">
        <v>346</v>
      </c>
      <c r="AF61" t="s">
        <v>346</v>
      </c>
      <c r="AG61" t="s">
        <v>346</v>
      </c>
      <c r="AH61" t="s">
        <v>346</v>
      </c>
      <c r="AI61" t="s">
        <v>346</v>
      </c>
      <c r="AJ61" t="s">
        <v>346</v>
      </c>
      <c r="AK61" t="s">
        <v>346</v>
      </c>
      <c r="AL61" t="s">
        <v>346</v>
      </c>
      <c r="AM61" t="s">
        <v>346</v>
      </c>
      <c r="AN61" t="s">
        <v>346</v>
      </c>
      <c r="AO61" t="s">
        <v>346</v>
      </c>
      <c r="AP61" t="s">
        <v>346</v>
      </c>
      <c r="AQ61" t="s">
        <v>346</v>
      </c>
      <c r="AR61" t="s">
        <v>346</v>
      </c>
      <c r="AS61" t="s">
        <v>346</v>
      </c>
      <c r="AT61" t="s">
        <v>346</v>
      </c>
      <c r="AU61" t="s">
        <v>346</v>
      </c>
      <c r="AV61" t="s">
        <v>346</v>
      </c>
      <c r="AW61" t="s">
        <v>346</v>
      </c>
      <c r="AX61" t="s">
        <v>346</v>
      </c>
      <c r="AY61" t="s">
        <v>346</v>
      </c>
      <c r="AZ61" t="s">
        <v>346</v>
      </c>
      <c r="BA61" t="s">
        <v>346</v>
      </c>
      <c r="BB61" t="s">
        <v>346</v>
      </c>
      <c r="BC61" t="s">
        <v>346</v>
      </c>
      <c r="BD61" t="s">
        <v>346</v>
      </c>
      <c r="BE61" t="s">
        <v>346</v>
      </c>
      <c r="BF61" t="s">
        <v>346</v>
      </c>
      <c r="BG61" t="s">
        <v>346</v>
      </c>
      <c r="BH61" t="s">
        <v>346</v>
      </c>
      <c r="BI61" t="s">
        <v>346</v>
      </c>
      <c r="BJ61" t="s">
        <v>346</v>
      </c>
      <c r="BK61" t="s">
        <v>346</v>
      </c>
      <c r="BL61" t="s">
        <v>346</v>
      </c>
      <c r="BM61" t="s">
        <v>346</v>
      </c>
      <c r="BN61" t="s">
        <v>346</v>
      </c>
      <c r="BO61" t="s">
        <v>346</v>
      </c>
      <c r="BP61" t="s">
        <v>346</v>
      </c>
      <c r="BQ61" t="s">
        <v>346</v>
      </c>
      <c r="BR61" t="s">
        <v>346</v>
      </c>
      <c r="BS61" t="s">
        <v>346</v>
      </c>
      <c r="BT61" t="s">
        <v>346</v>
      </c>
      <c r="BU61" t="s">
        <v>346</v>
      </c>
      <c r="BV61" t="s">
        <v>346</v>
      </c>
      <c r="BW61" t="s">
        <v>346</v>
      </c>
      <c r="BX61" t="s">
        <v>346</v>
      </c>
      <c r="BY61" t="s">
        <v>346</v>
      </c>
      <c r="BZ61" t="s">
        <v>346</v>
      </c>
      <c r="CA61" t="s">
        <v>346</v>
      </c>
      <c r="CB61" t="s">
        <v>346</v>
      </c>
      <c r="CC61" t="s">
        <v>346</v>
      </c>
      <c r="CD61" t="s">
        <v>346</v>
      </c>
      <c r="CE61" t="s">
        <v>346</v>
      </c>
      <c r="CF61" t="s">
        <v>346</v>
      </c>
      <c r="CG61" t="s">
        <v>346</v>
      </c>
      <c r="CH61" t="s">
        <v>346</v>
      </c>
      <c r="CI61" t="s">
        <v>346</v>
      </c>
      <c r="CJ61" t="s">
        <v>346</v>
      </c>
    </row>
    <row r="62" spans="1:88" ht="19.5" hidden="1">
      <c r="A62" t="s">
        <v>295</v>
      </c>
      <c r="B62" t="s">
        <v>296</v>
      </c>
      <c r="D62" t="s">
        <v>26</v>
      </c>
      <c r="E62" t="s">
        <v>345</v>
      </c>
      <c r="I62" t="s">
        <v>346</v>
      </c>
      <c r="J62" t="s">
        <v>346</v>
      </c>
      <c r="K62" t="s">
        <v>346</v>
      </c>
      <c r="L62" t="s">
        <v>346</v>
      </c>
      <c r="M62" t="s">
        <v>346</v>
      </c>
      <c r="N62" t="s">
        <v>346</v>
      </c>
      <c r="O62" t="s">
        <v>346</v>
      </c>
      <c r="P62" t="s">
        <v>346</v>
      </c>
      <c r="Q62" t="s">
        <v>346</v>
      </c>
      <c r="R62" t="s">
        <v>346</v>
      </c>
      <c r="S62" t="s">
        <v>346</v>
      </c>
      <c r="T62" t="s">
        <v>346</v>
      </c>
      <c r="U62" t="s">
        <v>346</v>
      </c>
      <c r="V62" t="s">
        <v>346</v>
      </c>
      <c r="W62" t="s">
        <v>346</v>
      </c>
      <c r="X62" t="s">
        <v>346</v>
      </c>
      <c r="Y62" t="s">
        <v>346</v>
      </c>
      <c r="Z62" t="s">
        <v>346</v>
      </c>
      <c r="AA62" t="s">
        <v>346</v>
      </c>
      <c r="AB62" t="s">
        <v>346</v>
      </c>
      <c r="AC62" t="s">
        <v>346</v>
      </c>
      <c r="AD62" t="s">
        <v>346</v>
      </c>
      <c r="AE62" t="s">
        <v>346</v>
      </c>
      <c r="AF62" t="s">
        <v>346</v>
      </c>
      <c r="AG62" t="s">
        <v>346</v>
      </c>
      <c r="AH62" t="s">
        <v>346</v>
      </c>
      <c r="AI62" t="s">
        <v>346</v>
      </c>
      <c r="AJ62" t="s">
        <v>346</v>
      </c>
      <c r="AK62" t="s">
        <v>346</v>
      </c>
      <c r="AL62" t="s">
        <v>346</v>
      </c>
      <c r="AM62" t="s">
        <v>346</v>
      </c>
      <c r="AN62" t="s">
        <v>346</v>
      </c>
      <c r="AO62" t="s">
        <v>346</v>
      </c>
      <c r="AP62" t="s">
        <v>346</v>
      </c>
      <c r="AQ62" t="s">
        <v>346</v>
      </c>
      <c r="AR62" t="s">
        <v>346</v>
      </c>
      <c r="AS62" t="s">
        <v>346</v>
      </c>
      <c r="AT62" t="s">
        <v>346</v>
      </c>
      <c r="AU62" t="s">
        <v>346</v>
      </c>
      <c r="AV62" t="s">
        <v>346</v>
      </c>
      <c r="AW62" t="s">
        <v>346</v>
      </c>
      <c r="AX62" t="s">
        <v>346</v>
      </c>
      <c r="AY62" t="s">
        <v>346</v>
      </c>
      <c r="AZ62" t="s">
        <v>346</v>
      </c>
      <c r="BA62" t="s">
        <v>346</v>
      </c>
      <c r="BB62" t="s">
        <v>346</v>
      </c>
      <c r="BC62" t="s">
        <v>346</v>
      </c>
      <c r="BD62" t="s">
        <v>346</v>
      </c>
      <c r="BE62" t="s">
        <v>346</v>
      </c>
      <c r="BF62" t="s">
        <v>346</v>
      </c>
      <c r="BG62" t="s">
        <v>346</v>
      </c>
      <c r="BH62" t="s">
        <v>346</v>
      </c>
      <c r="BI62" t="s">
        <v>346</v>
      </c>
      <c r="BJ62" t="s">
        <v>346</v>
      </c>
      <c r="BK62" t="s">
        <v>346</v>
      </c>
      <c r="BL62" t="s">
        <v>346</v>
      </c>
      <c r="BM62" t="s">
        <v>346</v>
      </c>
      <c r="BN62" t="s">
        <v>346</v>
      </c>
      <c r="BO62" t="s">
        <v>346</v>
      </c>
      <c r="BP62" t="s">
        <v>346</v>
      </c>
      <c r="BQ62" t="s">
        <v>346</v>
      </c>
      <c r="BR62" t="s">
        <v>346</v>
      </c>
      <c r="BS62" t="s">
        <v>346</v>
      </c>
      <c r="BT62" t="s">
        <v>346</v>
      </c>
      <c r="BU62" t="s">
        <v>346</v>
      </c>
      <c r="BV62" t="s">
        <v>346</v>
      </c>
      <c r="BW62" t="s">
        <v>346</v>
      </c>
      <c r="BX62" t="s">
        <v>346</v>
      </c>
      <c r="BY62" t="s">
        <v>346</v>
      </c>
      <c r="BZ62" t="s">
        <v>346</v>
      </c>
      <c r="CA62" t="s">
        <v>346</v>
      </c>
      <c r="CB62" t="s">
        <v>346</v>
      </c>
      <c r="CC62" t="s">
        <v>346</v>
      </c>
      <c r="CD62" t="s">
        <v>346</v>
      </c>
      <c r="CE62" t="s">
        <v>346</v>
      </c>
      <c r="CF62" t="s">
        <v>346</v>
      </c>
      <c r="CG62" t="s">
        <v>346</v>
      </c>
      <c r="CH62" t="s">
        <v>346</v>
      </c>
      <c r="CI62" t="s">
        <v>346</v>
      </c>
      <c r="CJ62" t="s">
        <v>346</v>
      </c>
    </row>
    <row r="63" spans="1:88" ht="19.5" hidden="1">
      <c r="A63" t="s">
        <v>323</v>
      </c>
      <c r="B63" t="s">
        <v>324</v>
      </c>
      <c r="D63" t="s">
        <v>31</v>
      </c>
      <c r="E63" t="s">
        <v>345</v>
      </c>
      <c r="I63" t="s">
        <v>346</v>
      </c>
      <c r="J63" t="s">
        <v>346</v>
      </c>
      <c r="K63" t="s">
        <v>346</v>
      </c>
      <c r="L63" t="s">
        <v>346</v>
      </c>
      <c r="M63" t="s">
        <v>346</v>
      </c>
      <c r="N63" t="s">
        <v>346</v>
      </c>
      <c r="O63" t="s">
        <v>346</v>
      </c>
      <c r="P63" t="s">
        <v>346</v>
      </c>
      <c r="Q63" t="s">
        <v>346</v>
      </c>
      <c r="R63" t="s">
        <v>346</v>
      </c>
      <c r="S63" t="s">
        <v>346</v>
      </c>
      <c r="T63" t="s">
        <v>346</v>
      </c>
      <c r="U63" t="s">
        <v>346</v>
      </c>
      <c r="V63" t="s">
        <v>346</v>
      </c>
      <c r="W63" t="s">
        <v>346</v>
      </c>
      <c r="X63" t="s">
        <v>346</v>
      </c>
      <c r="Y63" t="s">
        <v>346</v>
      </c>
      <c r="Z63" t="s">
        <v>346</v>
      </c>
      <c r="AA63" t="s">
        <v>346</v>
      </c>
      <c r="AB63" t="s">
        <v>346</v>
      </c>
      <c r="AC63" t="s">
        <v>346</v>
      </c>
      <c r="AD63" t="s">
        <v>346</v>
      </c>
      <c r="AE63" t="s">
        <v>346</v>
      </c>
      <c r="AF63" t="s">
        <v>346</v>
      </c>
      <c r="AG63" t="s">
        <v>346</v>
      </c>
      <c r="AH63" t="s">
        <v>346</v>
      </c>
      <c r="AI63" t="s">
        <v>346</v>
      </c>
      <c r="AJ63" t="s">
        <v>346</v>
      </c>
      <c r="AK63" t="s">
        <v>346</v>
      </c>
      <c r="AL63" t="s">
        <v>346</v>
      </c>
      <c r="AM63" t="s">
        <v>346</v>
      </c>
      <c r="AN63" t="s">
        <v>346</v>
      </c>
      <c r="AO63" t="s">
        <v>346</v>
      </c>
      <c r="AP63" t="s">
        <v>346</v>
      </c>
      <c r="AQ63" t="s">
        <v>346</v>
      </c>
      <c r="AR63" t="s">
        <v>346</v>
      </c>
      <c r="AS63" t="s">
        <v>346</v>
      </c>
      <c r="AT63" t="s">
        <v>346</v>
      </c>
      <c r="AU63" t="s">
        <v>346</v>
      </c>
      <c r="AV63" t="s">
        <v>346</v>
      </c>
      <c r="AW63" t="s">
        <v>346</v>
      </c>
      <c r="AX63" t="s">
        <v>346</v>
      </c>
      <c r="AY63" t="s">
        <v>346</v>
      </c>
      <c r="AZ63" t="s">
        <v>346</v>
      </c>
      <c r="BA63" t="s">
        <v>346</v>
      </c>
      <c r="BB63" t="s">
        <v>346</v>
      </c>
      <c r="BC63" t="s">
        <v>346</v>
      </c>
      <c r="BD63" t="s">
        <v>346</v>
      </c>
      <c r="BE63" t="s">
        <v>346</v>
      </c>
      <c r="BF63" t="s">
        <v>346</v>
      </c>
      <c r="BG63" t="s">
        <v>346</v>
      </c>
      <c r="BH63" t="s">
        <v>346</v>
      </c>
      <c r="BI63" t="s">
        <v>346</v>
      </c>
      <c r="BJ63" t="s">
        <v>346</v>
      </c>
      <c r="BK63" t="s">
        <v>346</v>
      </c>
      <c r="BL63" t="s">
        <v>346</v>
      </c>
      <c r="BM63" t="s">
        <v>346</v>
      </c>
      <c r="BN63" t="s">
        <v>346</v>
      </c>
      <c r="BO63" t="s">
        <v>346</v>
      </c>
      <c r="BP63" t="s">
        <v>346</v>
      </c>
      <c r="BQ63" t="s">
        <v>346</v>
      </c>
      <c r="BR63" t="s">
        <v>346</v>
      </c>
      <c r="BS63" t="s">
        <v>346</v>
      </c>
      <c r="BT63" t="s">
        <v>346</v>
      </c>
      <c r="BU63" t="s">
        <v>346</v>
      </c>
      <c r="BV63" t="s">
        <v>346</v>
      </c>
      <c r="BW63" t="s">
        <v>346</v>
      </c>
      <c r="BX63" t="s">
        <v>346</v>
      </c>
      <c r="BY63" t="s">
        <v>346</v>
      </c>
      <c r="BZ63" t="s">
        <v>346</v>
      </c>
      <c r="CA63" t="s">
        <v>346</v>
      </c>
      <c r="CB63" t="s">
        <v>346</v>
      </c>
      <c r="CC63" t="s">
        <v>346</v>
      </c>
      <c r="CD63" t="s">
        <v>346</v>
      </c>
      <c r="CE63" t="s">
        <v>346</v>
      </c>
      <c r="CF63" t="s">
        <v>346</v>
      </c>
      <c r="CG63" t="s">
        <v>346</v>
      </c>
      <c r="CH63" t="s">
        <v>346</v>
      </c>
      <c r="CI63" t="s">
        <v>346</v>
      </c>
      <c r="CJ63" t="s">
        <v>346</v>
      </c>
    </row>
    <row r="64" spans="1:88" ht="19.5" hidden="1">
      <c r="A64" t="s">
        <v>286</v>
      </c>
      <c r="B64" t="s">
        <v>287</v>
      </c>
      <c r="D64" t="s">
        <v>31</v>
      </c>
      <c r="E64" t="s">
        <v>345</v>
      </c>
      <c r="I64" t="s">
        <v>346</v>
      </c>
      <c r="J64" t="s">
        <v>346</v>
      </c>
      <c r="K64" t="s">
        <v>346</v>
      </c>
      <c r="L64" t="s">
        <v>346</v>
      </c>
      <c r="M64" t="s">
        <v>346</v>
      </c>
      <c r="N64" t="s">
        <v>346</v>
      </c>
      <c r="O64" t="s">
        <v>346</v>
      </c>
      <c r="P64" t="s">
        <v>346</v>
      </c>
      <c r="Q64" t="s">
        <v>346</v>
      </c>
      <c r="R64" t="s">
        <v>346</v>
      </c>
      <c r="S64" t="s">
        <v>346</v>
      </c>
      <c r="T64" t="s">
        <v>346</v>
      </c>
      <c r="U64" t="s">
        <v>346</v>
      </c>
      <c r="V64" t="s">
        <v>346</v>
      </c>
      <c r="W64" t="s">
        <v>346</v>
      </c>
      <c r="X64" t="s">
        <v>346</v>
      </c>
      <c r="Y64" t="s">
        <v>346</v>
      </c>
      <c r="Z64" t="s">
        <v>346</v>
      </c>
      <c r="AA64" t="s">
        <v>346</v>
      </c>
      <c r="AB64" t="s">
        <v>346</v>
      </c>
      <c r="AC64" t="s">
        <v>346</v>
      </c>
      <c r="AD64" t="s">
        <v>346</v>
      </c>
      <c r="AE64" t="s">
        <v>346</v>
      </c>
      <c r="AF64" t="s">
        <v>346</v>
      </c>
      <c r="AG64" t="s">
        <v>346</v>
      </c>
      <c r="AH64" t="s">
        <v>346</v>
      </c>
      <c r="AI64" t="s">
        <v>346</v>
      </c>
      <c r="AJ64" t="s">
        <v>346</v>
      </c>
      <c r="AK64" t="s">
        <v>346</v>
      </c>
      <c r="AL64" t="s">
        <v>346</v>
      </c>
      <c r="AM64" t="s">
        <v>346</v>
      </c>
      <c r="AN64" t="s">
        <v>346</v>
      </c>
      <c r="AO64" t="s">
        <v>346</v>
      </c>
      <c r="AP64" t="s">
        <v>346</v>
      </c>
      <c r="AQ64" t="s">
        <v>346</v>
      </c>
      <c r="AR64" t="s">
        <v>346</v>
      </c>
      <c r="AS64" t="s">
        <v>346</v>
      </c>
      <c r="AT64" t="s">
        <v>346</v>
      </c>
      <c r="AU64" t="s">
        <v>346</v>
      </c>
      <c r="AV64" t="s">
        <v>346</v>
      </c>
      <c r="AW64" t="s">
        <v>346</v>
      </c>
      <c r="AX64" t="s">
        <v>346</v>
      </c>
      <c r="AY64" t="s">
        <v>346</v>
      </c>
      <c r="AZ64" t="s">
        <v>346</v>
      </c>
      <c r="BA64" t="s">
        <v>346</v>
      </c>
      <c r="BB64" t="s">
        <v>346</v>
      </c>
      <c r="BC64" t="s">
        <v>346</v>
      </c>
      <c r="BD64" t="s">
        <v>346</v>
      </c>
      <c r="BE64" t="s">
        <v>346</v>
      </c>
      <c r="BF64" t="s">
        <v>346</v>
      </c>
      <c r="BG64" t="s">
        <v>346</v>
      </c>
      <c r="BH64" t="s">
        <v>346</v>
      </c>
      <c r="BI64" t="s">
        <v>346</v>
      </c>
      <c r="BJ64" t="s">
        <v>346</v>
      </c>
      <c r="BK64" t="s">
        <v>346</v>
      </c>
      <c r="BL64" t="s">
        <v>346</v>
      </c>
      <c r="BM64" t="s">
        <v>346</v>
      </c>
      <c r="BN64" t="s">
        <v>346</v>
      </c>
      <c r="BO64" t="s">
        <v>346</v>
      </c>
      <c r="BP64" t="s">
        <v>346</v>
      </c>
      <c r="BQ64" t="s">
        <v>346</v>
      </c>
      <c r="BR64" t="s">
        <v>346</v>
      </c>
      <c r="BS64" t="s">
        <v>346</v>
      </c>
      <c r="BT64" t="s">
        <v>346</v>
      </c>
      <c r="BU64" t="s">
        <v>346</v>
      </c>
      <c r="BV64" t="s">
        <v>346</v>
      </c>
      <c r="BW64" t="s">
        <v>346</v>
      </c>
      <c r="BX64" t="s">
        <v>346</v>
      </c>
      <c r="BY64" t="s">
        <v>346</v>
      </c>
      <c r="BZ64" t="s">
        <v>346</v>
      </c>
      <c r="CA64" t="s">
        <v>346</v>
      </c>
      <c r="CB64" t="s">
        <v>346</v>
      </c>
      <c r="CC64" t="s">
        <v>346</v>
      </c>
      <c r="CD64" t="s">
        <v>346</v>
      </c>
      <c r="CE64" t="s">
        <v>346</v>
      </c>
      <c r="CF64" t="s">
        <v>346</v>
      </c>
      <c r="CG64" t="s">
        <v>346</v>
      </c>
      <c r="CH64" t="s">
        <v>346</v>
      </c>
      <c r="CI64" t="s">
        <v>346</v>
      </c>
      <c r="CJ64" t="s">
        <v>346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6EDD0-9713-6C4C-8C6B-1E5EEA08EE11}">
  <sheetPr codeName="Sheet5"/>
  <dimension ref="A3:N33"/>
  <sheetViews>
    <sheetView zoomScale="110" zoomScaleNormal="110" workbookViewId="0">
      <selection activeCell="R19" sqref="R19"/>
    </sheetView>
  </sheetViews>
  <sheetFormatPr defaultColWidth="11" defaultRowHeight="15.95"/>
  <cols>
    <col min="3" max="3" width="14.69921875" customWidth="1"/>
    <col min="4" max="4" width="13.69921875" customWidth="1"/>
    <col min="5" max="5" width="11.3984375" customWidth="1"/>
    <col min="6" max="6" width="19.8984375" customWidth="1"/>
    <col min="7" max="7" width="23" customWidth="1"/>
    <col min="8" max="8" width="26.8984375" customWidth="1"/>
    <col min="11" max="11" width="22.3984375" bestFit="1" customWidth="1"/>
    <col min="12" max="12" width="10.296875" bestFit="1" customWidth="1"/>
    <col min="14" max="14" width="115.296875" customWidth="1"/>
  </cols>
  <sheetData>
    <row r="3" spans="2:14" ht="17.100000000000001">
      <c r="B3" t="s">
        <v>75</v>
      </c>
      <c r="C3" t="s">
        <v>156</v>
      </c>
      <c r="D3" t="s">
        <v>347</v>
      </c>
      <c r="E3" t="s">
        <v>158</v>
      </c>
      <c r="F3" t="s">
        <v>348</v>
      </c>
      <c r="G3" t="s">
        <v>349</v>
      </c>
      <c r="H3" t="s">
        <v>350</v>
      </c>
      <c r="K3" s="36" t="s">
        <v>351</v>
      </c>
      <c r="L3" s="36" t="s">
        <v>352</v>
      </c>
      <c r="N3" s="37" t="s">
        <v>353</v>
      </c>
    </row>
    <row r="4" spans="2:14">
      <c r="B4" t="str">
        <f>LEFT(C4,1)&amp;LEFT(D4,2)</f>
        <v>AMa</v>
      </c>
      <c r="C4" s="1" t="s">
        <v>256</v>
      </c>
      <c r="D4" s="1" t="s">
        <v>354</v>
      </c>
      <c r="E4" s="1" t="s">
        <v>31</v>
      </c>
      <c r="F4" s="1"/>
      <c r="G4" s="1"/>
      <c r="H4" s="1"/>
      <c r="K4" s="36" t="s">
        <v>355</v>
      </c>
      <c r="L4" s="36">
        <v>2</v>
      </c>
      <c r="N4" s="151" t="s">
        <v>356</v>
      </c>
    </row>
    <row r="5" spans="2:14">
      <c r="B5" t="str">
        <f t="shared" ref="B5:B21" si="0">LEFT(C5,1)&amp;LEFT(D5,2)</f>
        <v>CSa</v>
      </c>
      <c r="C5" s="1" t="s">
        <v>276</v>
      </c>
      <c r="D5" s="1" t="s">
        <v>277</v>
      </c>
      <c r="E5" s="1" t="s">
        <v>31</v>
      </c>
      <c r="F5" s="1"/>
      <c r="G5" s="1"/>
      <c r="H5" s="1"/>
      <c r="K5" s="36">
        <v>1</v>
      </c>
      <c r="L5" s="36">
        <v>1.5</v>
      </c>
      <c r="N5" s="151"/>
    </row>
    <row r="6" spans="2:14">
      <c r="B6" t="str">
        <f t="shared" si="0"/>
        <v>ABu</v>
      </c>
      <c r="C6" s="1" t="s">
        <v>256</v>
      </c>
      <c r="D6" s="1" t="s">
        <v>261</v>
      </c>
      <c r="E6" s="1" t="s">
        <v>30</v>
      </c>
      <c r="F6" s="1"/>
      <c r="G6" s="1"/>
      <c r="H6" s="1"/>
      <c r="K6" s="36">
        <v>0</v>
      </c>
      <c r="L6" s="36">
        <v>1</v>
      </c>
      <c r="N6" s="151"/>
    </row>
    <row r="7" spans="2:14">
      <c r="B7" t="str">
        <f t="shared" si="0"/>
        <v>JFl</v>
      </c>
      <c r="C7" s="1" t="s">
        <v>290</v>
      </c>
      <c r="D7" s="1" t="s">
        <v>291</v>
      </c>
      <c r="E7" s="1" t="s">
        <v>30</v>
      </c>
      <c r="F7" s="1"/>
      <c r="G7" s="1"/>
      <c r="H7" s="1"/>
      <c r="K7" s="36">
        <v>-1</v>
      </c>
      <c r="L7" s="36">
        <v>0.75</v>
      </c>
      <c r="N7" s="151"/>
    </row>
    <row r="8" spans="2:14">
      <c r="B8" t="str">
        <f t="shared" si="0"/>
        <v>BFr</v>
      </c>
      <c r="C8" s="1" t="s">
        <v>266</v>
      </c>
      <c r="D8" s="1" t="s">
        <v>267</v>
      </c>
      <c r="E8" s="1" t="s">
        <v>30</v>
      </c>
      <c r="F8" s="1"/>
      <c r="G8" s="1"/>
      <c r="H8" s="1"/>
      <c r="K8" s="36" t="s">
        <v>357</v>
      </c>
      <c r="L8" s="36">
        <v>0.5</v>
      </c>
      <c r="N8" s="151"/>
    </row>
    <row r="9" spans="2:14">
      <c r="B9" t="str">
        <f t="shared" si="0"/>
        <v>MGr</v>
      </c>
      <c r="C9" s="1" t="s">
        <v>318</v>
      </c>
      <c r="D9" s="1" t="s">
        <v>319</v>
      </c>
      <c r="E9" s="1" t="s">
        <v>30</v>
      </c>
      <c r="F9" s="1"/>
      <c r="G9" s="1"/>
      <c r="H9" s="1"/>
    </row>
    <row r="10" spans="2:14" ht="17.100000000000001">
      <c r="B10" t="str">
        <f t="shared" si="0"/>
        <v>NMa</v>
      </c>
      <c r="C10" s="1" t="s">
        <v>321</v>
      </c>
      <c r="D10" s="1" t="s">
        <v>322</v>
      </c>
      <c r="E10" s="1" t="s">
        <v>30</v>
      </c>
      <c r="F10" s="1"/>
      <c r="G10" s="1"/>
      <c r="H10" s="1"/>
      <c r="N10" s="34" t="s">
        <v>358</v>
      </c>
    </row>
    <row r="11" spans="2:14" ht="17.100000000000001">
      <c r="B11" t="str">
        <f t="shared" si="0"/>
        <v>KSr</v>
      </c>
      <c r="C11" s="1" t="s">
        <v>302</v>
      </c>
      <c r="D11" s="1" t="s">
        <v>303</v>
      </c>
      <c r="E11" s="1" t="s">
        <v>30</v>
      </c>
      <c r="F11" s="1"/>
      <c r="G11" s="1"/>
      <c r="H11" s="1"/>
      <c r="N11" s="34" t="s">
        <v>359</v>
      </c>
    </row>
    <row r="12" spans="2:14" ht="17.100000000000001">
      <c r="B12" t="str">
        <f t="shared" si="0"/>
        <v>CSt</v>
      </c>
      <c r="C12" s="1" t="s">
        <v>273</v>
      </c>
      <c r="D12" s="1" t="s">
        <v>274</v>
      </c>
      <c r="E12" s="1" t="s">
        <v>30</v>
      </c>
      <c r="F12" s="1"/>
      <c r="G12" s="1"/>
      <c r="H12" s="1"/>
      <c r="N12" s="35" t="s">
        <v>360</v>
      </c>
    </row>
    <row r="13" spans="2:14" ht="17.100000000000001">
      <c r="B13" t="str">
        <f t="shared" si="0"/>
        <v>ABe</v>
      </c>
      <c r="C13" s="1" t="s">
        <v>244</v>
      </c>
      <c r="D13" s="1" t="s">
        <v>245</v>
      </c>
      <c r="E13" s="1" t="s">
        <v>29</v>
      </c>
      <c r="F13" s="1"/>
      <c r="G13" s="1"/>
      <c r="H13" s="1"/>
      <c r="N13" s="35" t="s">
        <v>361</v>
      </c>
    </row>
    <row r="14" spans="2:14" ht="17.100000000000001">
      <c r="B14" t="str">
        <f t="shared" si="0"/>
        <v>JFu</v>
      </c>
      <c r="C14" s="1" t="s">
        <v>293</v>
      </c>
      <c r="D14" s="1" t="s">
        <v>294</v>
      </c>
      <c r="E14" s="1" t="s">
        <v>29</v>
      </c>
      <c r="F14" s="1"/>
      <c r="G14" s="1"/>
      <c r="H14" s="1"/>
      <c r="N14" s="35" t="s">
        <v>362</v>
      </c>
    </row>
    <row r="15" spans="2:14" ht="17.100000000000001">
      <c r="B15" t="str">
        <f t="shared" si="0"/>
        <v>GKa</v>
      </c>
      <c r="C15" s="1" t="s">
        <v>259</v>
      </c>
      <c r="D15" s="1" t="s">
        <v>285</v>
      </c>
      <c r="E15" s="1" t="s">
        <v>29</v>
      </c>
      <c r="F15" s="1"/>
      <c r="G15" s="1"/>
      <c r="H15" s="1"/>
      <c r="N15" s="35" t="s">
        <v>363</v>
      </c>
    </row>
    <row r="16" spans="2:14" ht="17.100000000000001">
      <c r="B16" t="str">
        <f t="shared" si="0"/>
        <v>JPi</v>
      </c>
      <c r="C16" s="1" t="s">
        <v>299</v>
      </c>
      <c r="D16" s="1" t="s">
        <v>300</v>
      </c>
      <c r="E16" s="1" t="s">
        <v>29</v>
      </c>
      <c r="F16" s="1"/>
      <c r="G16" s="1"/>
      <c r="H16" s="1"/>
      <c r="N16" s="34" t="s">
        <v>364</v>
      </c>
    </row>
    <row r="17" spans="1:8">
      <c r="B17" t="str">
        <f t="shared" si="0"/>
        <v>ERo</v>
      </c>
      <c r="C17" s="1" t="s">
        <v>282</v>
      </c>
      <c r="D17" s="1" t="s">
        <v>283</v>
      </c>
      <c r="E17" s="1" t="s">
        <v>29</v>
      </c>
      <c r="F17" s="1"/>
      <c r="G17" s="1"/>
      <c r="H17" s="1"/>
    </row>
    <row r="18" spans="1:8">
      <c r="B18" t="str">
        <f t="shared" si="0"/>
        <v>AJe</v>
      </c>
      <c r="C18" s="1" t="s">
        <v>253</v>
      </c>
      <c r="D18" s="1" t="s">
        <v>254</v>
      </c>
      <c r="E18" s="1" t="s">
        <v>28</v>
      </c>
      <c r="F18" s="1"/>
      <c r="G18" s="1"/>
      <c r="H18" s="1"/>
    </row>
    <row r="19" spans="1:8">
      <c r="B19" t="str">
        <f>LEFT(C19,1)&amp;LEFT(D19,2)</f>
        <v>VNa</v>
      </c>
      <c r="C19" s="1" t="s">
        <v>333</v>
      </c>
      <c r="D19" s="1" t="s">
        <v>334</v>
      </c>
      <c r="E19" s="1" t="s">
        <v>28</v>
      </c>
      <c r="F19" s="1"/>
      <c r="G19" s="1"/>
      <c r="H19" s="1"/>
    </row>
    <row r="20" spans="1:8">
      <c r="B20" t="str">
        <f t="shared" si="0"/>
        <v>LGa</v>
      </c>
      <c r="C20" s="1" t="s">
        <v>315</v>
      </c>
      <c r="D20" s="1" t="s">
        <v>316</v>
      </c>
      <c r="E20" s="1" t="s">
        <v>27</v>
      </c>
      <c r="F20" s="1"/>
      <c r="G20" s="1"/>
      <c r="H20" s="1"/>
    </row>
    <row r="21" spans="1:8">
      <c r="B21" t="str">
        <f t="shared" si="0"/>
        <v>CPo</v>
      </c>
      <c r="C21" s="1" t="s">
        <v>270</v>
      </c>
      <c r="D21" s="1" t="s">
        <v>271</v>
      </c>
      <c r="E21" s="1" t="s">
        <v>26</v>
      </c>
      <c r="F21" s="1"/>
      <c r="G21" s="1"/>
      <c r="H21" s="1"/>
    </row>
    <row r="22" spans="1:8">
      <c r="B22" t="str">
        <f t="shared" ref="B22:B33" si="1">LEFT(C22,1)&amp;LEFT(D22,2)</f>
        <v>ASt</v>
      </c>
      <c r="C22" s="63" t="s">
        <v>249</v>
      </c>
      <c r="D22" s="1" t="s">
        <v>250</v>
      </c>
      <c r="E22" s="1" t="s">
        <v>31</v>
      </c>
      <c r="F22" s="1"/>
      <c r="G22" s="1"/>
      <c r="H22" s="1"/>
    </row>
    <row r="23" spans="1:8">
      <c r="B23" t="str">
        <f t="shared" si="1"/>
        <v>APa</v>
      </c>
      <c r="C23" s="63" t="s">
        <v>256</v>
      </c>
      <c r="D23" s="1" t="s">
        <v>263</v>
      </c>
      <c r="E23" s="1" t="s">
        <v>30</v>
      </c>
      <c r="F23" s="1"/>
      <c r="G23" s="1"/>
      <c r="H23" s="1"/>
    </row>
    <row r="24" spans="1:8">
      <c r="B24" t="str">
        <f t="shared" si="1"/>
        <v>BIy</v>
      </c>
      <c r="C24" s="63" t="s">
        <v>342</v>
      </c>
      <c r="D24" s="1" t="s">
        <v>365</v>
      </c>
      <c r="E24" s="1" t="s">
        <v>31</v>
      </c>
      <c r="F24" s="1"/>
      <c r="G24" s="1"/>
      <c r="H24" s="1"/>
    </row>
    <row r="25" spans="1:8">
      <c r="B25" t="str">
        <f t="shared" si="1"/>
        <v>DAc</v>
      </c>
      <c r="C25" s="63" t="s">
        <v>279</v>
      </c>
      <c r="D25" s="1" t="s">
        <v>280</v>
      </c>
      <c r="E25" s="1" t="s">
        <v>31</v>
      </c>
      <c r="F25" s="1"/>
      <c r="G25" s="1"/>
      <c r="H25" s="1"/>
    </row>
    <row r="26" spans="1:8">
      <c r="B26" t="str">
        <f t="shared" si="1"/>
        <v>LLo</v>
      </c>
      <c r="C26" s="63" t="s">
        <v>306</v>
      </c>
      <c r="D26" s="1" t="s">
        <v>307</v>
      </c>
      <c r="E26" s="1" t="s">
        <v>31</v>
      </c>
      <c r="F26" s="1"/>
      <c r="G26" s="1"/>
      <c r="H26" s="1"/>
    </row>
    <row r="27" spans="1:8">
      <c r="B27" t="str">
        <f t="shared" si="1"/>
        <v>LKr</v>
      </c>
      <c r="C27" s="63" t="s">
        <v>309</v>
      </c>
      <c r="D27" s="1" t="s">
        <v>310</v>
      </c>
      <c r="E27" s="1" t="s">
        <v>30</v>
      </c>
      <c r="F27" s="1"/>
      <c r="G27" s="1"/>
      <c r="H27" s="1"/>
    </row>
    <row r="28" spans="1:8">
      <c r="B28" t="s">
        <v>311</v>
      </c>
      <c r="C28" s="63" t="s">
        <v>312</v>
      </c>
      <c r="D28" s="1" t="s">
        <v>313</v>
      </c>
      <c r="E28" s="1" t="s">
        <v>30</v>
      </c>
      <c r="F28" s="1"/>
      <c r="G28" s="1"/>
      <c r="H28" s="1"/>
    </row>
    <row r="29" spans="1:8">
      <c r="B29" t="str">
        <f t="shared" si="1"/>
        <v>Rva</v>
      </c>
      <c r="C29" s="63" t="s">
        <v>327</v>
      </c>
      <c r="D29" s="1" t="s">
        <v>328</v>
      </c>
      <c r="E29" s="1" t="s">
        <v>28</v>
      </c>
      <c r="F29" s="1"/>
      <c r="G29" s="1"/>
      <c r="H29" s="1"/>
    </row>
    <row r="30" spans="1:8">
      <c r="B30" t="str">
        <f t="shared" si="1"/>
        <v>SHu</v>
      </c>
      <c r="C30" s="63" t="s">
        <v>330</v>
      </c>
      <c r="D30" s="1" t="s">
        <v>331</v>
      </c>
      <c r="E30" s="1" t="s">
        <v>28</v>
      </c>
      <c r="F30" s="1"/>
      <c r="G30" s="1"/>
      <c r="H30" s="1"/>
    </row>
    <row r="31" spans="1:8">
      <c r="B31" t="str">
        <f>LEFT(C31,1)&amp;LEFT(D31,2)</f>
        <v>JGa</v>
      </c>
      <c r="C31" s="63" t="s">
        <v>296</v>
      </c>
      <c r="D31" s="1" t="s">
        <v>297</v>
      </c>
      <c r="E31" s="1" t="s">
        <v>26</v>
      </c>
      <c r="F31" s="1"/>
      <c r="G31" s="1"/>
      <c r="H31" s="1"/>
    </row>
    <row r="32" spans="1:8">
      <c r="A32" t="s">
        <v>366</v>
      </c>
      <c r="B32" t="str">
        <f t="shared" si="1"/>
        <v>PGu</v>
      </c>
      <c r="C32" s="63" t="s">
        <v>324</v>
      </c>
      <c r="D32" s="1" t="s">
        <v>325</v>
      </c>
      <c r="E32" s="1" t="s">
        <v>31</v>
      </c>
      <c r="F32" s="1"/>
      <c r="G32" s="1"/>
      <c r="H32" s="1"/>
    </row>
    <row r="33" spans="1:8">
      <c r="A33" t="s">
        <v>366</v>
      </c>
      <c r="B33" t="str">
        <f t="shared" si="1"/>
        <v>HAg</v>
      </c>
      <c r="C33" s="63" t="s">
        <v>287</v>
      </c>
      <c r="D33" s="1" t="s">
        <v>288</v>
      </c>
      <c r="E33" s="1" t="s">
        <v>31</v>
      </c>
      <c r="F33" s="1"/>
      <c r="G33" s="1"/>
      <c r="H33" s="1"/>
    </row>
  </sheetData>
  <mergeCells count="1">
    <mergeCell ref="N4:N8"/>
  </mergeCells>
  <conditionalFormatting sqref="B4:B33">
    <cfRule type="duplicateValues" dxfId="131" priority="82"/>
  </conditionalFormatting>
  <hyperlinks>
    <hyperlink ref="C22" r:id="rId1" display="mailto:aleksandra.strzelecka@Syniti.com" xr:uid="{0A1CCF22-B83D-0C40-BD61-605FE3C6C44B}"/>
    <hyperlink ref="C23" r:id="rId2" display="mailto:anna.pascal@Syniti.com" xr:uid="{3BDC2A55-32BF-6E44-97B2-0A527985EA3B}"/>
    <hyperlink ref="C24" r:id="rId3" display="mailto:bagya.iyer@Syniti.com" xr:uid="{B7405775-E3A1-7746-ABE8-FE4AC317422C}"/>
    <hyperlink ref="C25" r:id="rId4" display="mailto:daniela.acevedo@Syniti.com" xr:uid="{368C07D5-7AA5-A24C-8DF5-D717E48D1657}"/>
    <hyperlink ref="C26" r:id="rId5" display="mailto:laura.lopez@Syniti.com" xr:uid="{DE3EA08B-3388-7C43-997F-0688C75CB18F}"/>
    <hyperlink ref="C27" r:id="rId6" display="mailto:lilia.krogerus@Syniti.com" xr:uid="{79AC8F3B-5B73-714B-B433-991FD66141F9}"/>
    <hyperlink ref="C28" r:id="rId7" display="mailto:Linda.LourencoGomes@syniti.com" xr:uid="{2CA142CB-E5AF-0747-8E74-39DFDE58CE6D}"/>
    <hyperlink ref="C31" r:id="rId8" display="mailto:jose.garcia@Syniti.com" xr:uid="{136282BC-0563-804A-9679-F3AD31DAC470}"/>
    <hyperlink ref="C32" r:id="rId9" display="mailto:Poorvanshu.Gupta@Syniti.com" xr:uid="{637E125D-E6B1-3A4A-A54D-B880F8200B30}"/>
    <hyperlink ref="C33" r:id="rId10" display="mailto:Harsh.Agrawal@Syniti.com" xr:uid="{1381328B-67C8-5E46-A29B-F691E1E796BC}"/>
  </hyperlinks>
  <pageMargins left="0.7" right="0.7" top="0.75" bottom="0.75" header="0.3" footer="0.3"/>
  <pageSetup paperSize="9" orientation="portrait" horizontalDpi="0" verticalDpi="0"/>
  <drawing r:id="rId11"/>
  <tableParts count="2">
    <tablePart r:id="rId12"/>
    <tablePart r:id="rId1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3D34D-DD58-C941-8768-67CEA473C5B5}">
  <sheetPr codeName="Sheet4"/>
  <dimension ref="D2:J23"/>
  <sheetViews>
    <sheetView zoomScale="59" zoomScaleNormal="59" workbookViewId="0">
      <selection activeCell="R19" sqref="R19"/>
    </sheetView>
  </sheetViews>
  <sheetFormatPr defaultColWidth="11" defaultRowHeight="15.95"/>
  <sheetData>
    <row r="2" spans="4:10" ht="17.100000000000001" thickBot="1"/>
    <row r="3" spans="4:10" ht="33" thickBot="1">
      <c r="D3" s="2"/>
      <c r="E3" s="3" t="s">
        <v>367</v>
      </c>
      <c r="F3" s="3" t="s">
        <v>368</v>
      </c>
      <c r="G3" s="3" t="s">
        <v>369</v>
      </c>
      <c r="H3" s="3" t="s">
        <v>370</v>
      </c>
      <c r="I3" s="3" t="s">
        <v>371</v>
      </c>
      <c r="J3" s="4" t="s">
        <v>372</v>
      </c>
    </row>
    <row r="4" spans="4:10" ht="17.100000000000001" thickBot="1">
      <c r="D4" s="5" t="s">
        <v>373</v>
      </c>
      <c r="E4" s="6" t="s">
        <v>27</v>
      </c>
      <c r="F4" s="6" t="s">
        <v>374</v>
      </c>
      <c r="G4" s="6" t="s">
        <v>375</v>
      </c>
      <c r="H4" s="6" t="s">
        <v>30</v>
      </c>
      <c r="I4" s="6" t="s">
        <v>31</v>
      </c>
      <c r="J4" s="7"/>
    </row>
    <row r="5" spans="4:10" ht="17.100000000000001" thickBot="1">
      <c r="D5" s="5"/>
      <c r="E5" s="8"/>
      <c r="F5" s="8"/>
      <c r="G5" s="8"/>
      <c r="H5" s="8"/>
      <c r="I5" s="8"/>
      <c r="J5" s="8"/>
    </row>
    <row r="6" spans="4:10" ht="33" thickBot="1">
      <c r="D6" s="5" t="s">
        <v>376</v>
      </c>
      <c r="E6" s="7"/>
      <c r="F6" s="6" t="s">
        <v>377</v>
      </c>
      <c r="G6" s="7"/>
      <c r="H6" s="6" t="s">
        <v>378</v>
      </c>
      <c r="I6" s="6" t="s">
        <v>378</v>
      </c>
      <c r="J6" s="7"/>
    </row>
    <row r="7" spans="4:10" ht="33" thickBot="1">
      <c r="D7" s="5" t="s">
        <v>379</v>
      </c>
      <c r="E7" s="8"/>
      <c r="F7" s="9" t="s">
        <v>377</v>
      </c>
      <c r="G7" s="8"/>
      <c r="H7" s="9" t="s">
        <v>378</v>
      </c>
      <c r="I7" s="9" t="s">
        <v>378</v>
      </c>
      <c r="J7" s="8"/>
    </row>
    <row r="8" spans="4:10" ht="33" thickBot="1">
      <c r="D8" s="5" t="s">
        <v>380</v>
      </c>
      <c r="E8" s="7"/>
      <c r="F8" s="6" t="s">
        <v>377</v>
      </c>
      <c r="G8" s="7"/>
      <c r="H8" s="6" t="s">
        <v>378</v>
      </c>
      <c r="I8" s="6" t="s">
        <v>378</v>
      </c>
      <c r="J8" s="7"/>
    </row>
    <row r="9" spans="4:10" ht="17.100000000000001" thickBot="1">
      <c r="D9" s="5"/>
      <c r="E9" s="8"/>
      <c r="F9" s="8"/>
      <c r="G9" s="8"/>
      <c r="H9" s="8"/>
      <c r="I9" s="8"/>
      <c r="J9" s="8"/>
    </row>
    <row r="10" spans="4:10" ht="17.100000000000001" thickBot="1">
      <c r="D10" s="5" t="s">
        <v>381</v>
      </c>
      <c r="E10" s="7"/>
      <c r="F10" s="7"/>
      <c r="G10" s="7"/>
      <c r="H10" s="6" t="s">
        <v>378</v>
      </c>
      <c r="I10" s="7"/>
      <c r="J10" s="7"/>
    </row>
    <row r="11" spans="4:10" ht="17.100000000000001" thickBot="1">
      <c r="D11" s="5" t="s">
        <v>382</v>
      </c>
      <c r="E11" s="8"/>
      <c r="F11" s="8"/>
      <c r="G11" s="8"/>
      <c r="H11" s="9" t="s">
        <v>378</v>
      </c>
      <c r="I11" s="8"/>
      <c r="J11" s="8"/>
    </row>
    <row r="12" spans="4:10" ht="17.100000000000001" thickBot="1">
      <c r="D12" s="5" t="s">
        <v>383</v>
      </c>
      <c r="E12" s="7"/>
      <c r="F12" s="7"/>
      <c r="G12" s="7"/>
      <c r="H12" s="6" t="s">
        <v>378</v>
      </c>
      <c r="I12" s="7"/>
      <c r="J12" s="7"/>
    </row>
    <row r="13" spans="4:10" ht="17.100000000000001" thickBot="1">
      <c r="D13" s="5" t="s">
        <v>384</v>
      </c>
      <c r="E13" s="8"/>
      <c r="F13" s="8"/>
      <c r="G13" s="8"/>
      <c r="H13" s="9" t="s">
        <v>378</v>
      </c>
      <c r="I13" s="8"/>
      <c r="J13" s="8"/>
    </row>
    <row r="14" spans="4:10" ht="17.100000000000001" thickBot="1">
      <c r="D14" s="5"/>
      <c r="E14" s="7"/>
      <c r="F14" s="7"/>
      <c r="G14" s="7"/>
      <c r="H14" s="7"/>
      <c r="I14" s="7"/>
      <c r="J14" s="7"/>
    </row>
    <row r="15" spans="4:10" ht="33" thickBot="1">
      <c r="D15" s="5" t="s">
        <v>385</v>
      </c>
      <c r="E15" s="8"/>
      <c r="F15" s="8"/>
      <c r="G15" s="8"/>
      <c r="H15" s="9" t="s">
        <v>378</v>
      </c>
      <c r="I15" s="8"/>
      <c r="J15" s="8"/>
    </row>
    <row r="16" spans="4:10" ht="33" thickBot="1">
      <c r="D16" s="5" t="s">
        <v>386</v>
      </c>
      <c r="E16" s="7"/>
      <c r="F16" s="7"/>
      <c r="G16" s="7"/>
      <c r="H16" s="6" t="s">
        <v>378</v>
      </c>
      <c r="I16" s="7"/>
      <c r="J16" s="7"/>
    </row>
    <row r="17" spans="4:10" ht="33" thickBot="1">
      <c r="D17" s="5" t="s">
        <v>387</v>
      </c>
      <c r="E17" s="8"/>
      <c r="F17" s="8"/>
      <c r="G17" s="8"/>
      <c r="H17" s="9" t="s">
        <v>378</v>
      </c>
      <c r="I17" s="8"/>
      <c r="J17" s="8"/>
    </row>
    <row r="18" spans="4:10" ht="33" thickBot="1">
      <c r="D18" s="5" t="s">
        <v>388</v>
      </c>
      <c r="E18" s="7"/>
      <c r="F18" s="7"/>
      <c r="G18" s="7"/>
      <c r="H18" s="6" t="s">
        <v>378</v>
      </c>
      <c r="I18" s="7"/>
      <c r="J18" s="7"/>
    </row>
    <row r="19" spans="4:10" ht="33" thickBot="1">
      <c r="D19" s="5" t="s">
        <v>389</v>
      </c>
      <c r="E19" s="8"/>
      <c r="F19" s="8"/>
      <c r="G19" s="8"/>
      <c r="H19" s="9" t="s">
        <v>378</v>
      </c>
      <c r="I19" s="8"/>
      <c r="J19" s="8"/>
    </row>
    <row r="20" spans="4:10" ht="17.100000000000001" thickBot="1">
      <c r="D20" s="5"/>
      <c r="E20" s="7"/>
      <c r="F20" s="7"/>
      <c r="G20" s="7"/>
      <c r="H20" s="7"/>
      <c r="I20" s="7"/>
      <c r="J20" s="7"/>
    </row>
    <row r="21" spans="4:10" ht="17.100000000000001" thickBot="1">
      <c r="D21" s="5"/>
      <c r="E21" s="8"/>
      <c r="F21" s="8"/>
      <c r="G21" s="8"/>
      <c r="H21" s="8"/>
      <c r="I21" s="8"/>
      <c r="J21" s="8"/>
    </row>
    <row r="22" spans="4:10" ht="17.100000000000001" thickBot="1">
      <c r="D22" s="5"/>
      <c r="E22" s="7"/>
      <c r="F22" s="7"/>
      <c r="G22" s="7"/>
      <c r="H22" s="7"/>
      <c r="I22" s="7"/>
      <c r="J22" s="7"/>
    </row>
    <row r="23" spans="4:10" ht="17.100000000000001" thickBot="1">
      <c r="D23" s="5"/>
      <c r="E23" s="8"/>
      <c r="F23" s="8"/>
      <c r="G23" s="8"/>
      <c r="H23" s="8"/>
      <c r="I23" s="8"/>
      <c r="J23" s="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3D442-6D93-8241-A14D-CE1FC1F8E06E}">
  <sheetPr codeName="Sheet2"/>
  <dimension ref="B1:AL83"/>
  <sheetViews>
    <sheetView showGridLines="0" zoomScale="120" zoomScaleNormal="120" workbookViewId="0">
      <pane xSplit="5" ySplit="3" topLeftCell="Z10" activePane="bottomRight" state="frozen"/>
      <selection pane="bottomRight" activeCell="AC27" sqref="AC27:AC33"/>
      <selection pane="bottomLeft" activeCell="A4" sqref="A4"/>
      <selection pane="topRight" activeCell="F1" sqref="F1"/>
    </sheetView>
  </sheetViews>
  <sheetFormatPr defaultColWidth="8.69921875" defaultRowHeight="15.95"/>
  <cols>
    <col min="1" max="1" width="8.69921875" style="14"/>
    <col min="2" max="2" width="8.8984375" style="14" customWidth="1"/>
    <col min="3" max="3" width="9" style="15" bestFit="1" customWidth="1"/>
    <col min="4" max="4" width="32" style="14" bestFit="1" customWidth="1"/>
    <col min="5" max="5" width="33" style="14" bestFit="1" customWidth="1"/>
    <col min="6" max="6" width="12.69921875" style="16" hidden="1" customWidth="1"/>
    <col min="7" max="7" width="74.59765625" style="16" customWidth="1"/>
    <col min="8" max="10" width="7.69921875" style="14" customWidth="1"/>
    <col min="11" max="11" width="8.3984375" style="14" customWidth="1"/>
    <col min="12" max="12" width="8.296875" style="14" customWidth="1"/>
    <col min="13" max="14" width="7.69921875" style="14" customWidth="1"/>
    <col min="15" max="15" width="11" style="14" customWidth="1"/>
    <col min="16" max="16" width="11.3984375" style="14" customWidth="1"/>
    <col min="17" max="21" width="11.8984375" style="16" customWidth="1"/>
    <col min="22" max="22" width="5.296875" style="16" customWidth="1"/>
    <col min="23" max="23" width="5.69921875" style="14" customWidth="1"/>
    <col min="24" max="24" width="30.8984375" style="14" bestFit="1" customWidth="1"/>
    <col min="25" max="25" width="5.8984375" style="14" bestFit="1" customWidth="1"/>
    <col min="26" max="26" width="9.59765625" style="14" bestFit="1" customWidth="1"/>
    <col min="27" max="27" width="3.3984375" style="38" customWidth="1"/>
    <col min="28" max="28" width="3.3984375" style="14" customWidth="1"/>
    <col min="29" max="29" width="29" style="14" bestFit="1" customWidth="1"/>
    <col min="30" max="30" width="5.69921875" style="14" bestFit="1" customWidth="1"/>
    <col min="31" max="31" width="9" style="14" bestFit="1" customWidth="1"/>
    <col min="32" max="32" width="11.8984375" style="14" bestFit="1" customWidth="1"/>
    <col min="33" max="33" width="14" style="14" bestFit="1" customWidth="1"/>
    <col min="34" max="34" width="14.3984375" style="14" bestFit="1" customWidth="1"/>
    <col min="35" max="35" width="13.8984375" style="14" bestFit="1" customWidth="1"/>
    <col min="36" max="36" width="14.296875" style="14" bestFit="1" customWidth="1"/>
    <col min="37" max="37" width="13.8984375" style="14" bestFit="1" customWidth="1"/>
    <col min="38" max="38" width="14.3984375" style="14" bestFit="1" customWidth="1"/>
    <col min="39" max="16384" width="8.69921875" style="14"/>
  </cols>
  <sheetData>
    <row r="1" spans="3:31">
      <c r="H1" s="152"/>
      <c r="I1" s="152"/>
      <c r="J1" s="152"/>
      <c r="K1" s="152"/>
      <c r="L1" s="152"/>
      <c r="M1" s="152"/>
      <c r="N1" s="152"/>
      <c r="O1" s="152"/>
      <c r="P1" s="152"/>
    </row>
    <row r="2" spans="3:31" ht="21" customHeight="1">
      <c r="H2" s="153" t="s">
        <v>390</v>
      </c>
      <c r="I2" s="153"/>
      <c r="J2" s="153"/>
      <c r="K2" s="153"/>
      <c r="L2" s="153"/>
      <c r="M2" s="153"/>
      <c r="N2" s="153"/>
      <c r="O2" s="153"/>
      <c r="P2" s="153"/>
      <c r="Q2" s="154" t="s">
        <v>350</v>
      </c>
      <c r="R2" s="154"/>
      <c r="S2" s="154"/>
      <c r="T2" s="154"/>
      <c r="U2" s="154"/>
    </row>
    <row r="3" spans="3:31" ht="33.950000000000003">
      <c r="C3" s="18" t="s">
        <v>75</v>
      </c>
      <c r="D3" s="19" t="s">
        <v>391</v>
      </c>
      <c r="E3" s="19" t="s">
        <v>162</v>
      </c>
      <c r="F3" s="20" t="s">
        <v>392</v>
      </c>
      <c r="G3" s="20" t="s">
        <v>393</v>
      </c>
      <c r="H3" s="19" t="s">
        <v>96</v>
      </c>
      <c r="I3" s="19" t="s">
        <v>31</v>
      </c>
      <c r="J3" s="19" t="s">
        <v>30</v>
      </c>
      <c r="K3" s="19" t="s">
        <v>29</v>
      </c>
      <c r="L3" s="19" t="s">
        <v>394</v>
      </c>
      <c r="M3" s="19" t="s">
        <v>28</v>
      </c>
      <c r="N3" s="19" t="s">
        <v>395</v>
      </c>
      <c r="O3" s="19" t="s">
        <v>26</v>
      </c>
      <c r="P3" s="19" t="s">
        <v>27</v>
      </c>
      <c r="Q3" s="20" t="s">
        <v>371</v>
      </c>
      <c r="R3" s="20" t="s">
        <v>370</v>
      </c>
      <c r="S3" s="20" t="s">
        <v>368</v>
      </c>
      <c r="T3" s="20" t="s">
        <v>367</v>
      </c>
      <c r="U3" s="20" t="s">
        <v>369</v>
      </c>
      <c r="V3" s="20"/>
    </row>
    <row r="4" spans="3:31" ht="36" customHeight="1">
      <c r="C4" s="14" t="s">
        <v>76</v>
      </c>
      <c r="D4" s="10" t="s">
        <v>49</v>
      </c>
      <c r="E4" s="10" t="s">
        <v>163</v>
      </c>
      <c r="F4" s="11" t="s">
        <v>63</v>
      </c>
      <c r="G4" s="16" t="s">
        <v>396</v>
      </c>
      <c r="H4" s="21">
        <v>1</v>
      </c>
      <c r="I4" s="21">
        <v>2</v>
      </c>
      <c r="J4" s="21">
        <v>3</v>
      </c>
      <c r="K4" s="21">
        <v>4</v>
      </c>
      <c r="L4" s="21">
        <v>3</v>
      </c>
      <c r="M4" s="21">
        <v>5</v>
      </c>
      <c r="N4" s="21">
        <v>3</v>
      </c>
      <c r="O4" s="21">
        <v>5</v>
      </c>
      <c r="P4" s="21">
        <v>4</v>
      </c>
      <c r="Q4" s="22" t="b">
        <v>1</v>
      </c>
      <c r="R4" s="22" t="b">
        <v>1</v>
      </c>
      <c r="S4" s="22" t="b">
        <v>0</v>
      </c>
      <c r="T4" s="22" t="b">
        <v>0</v>
      </c>
      <c r="U4" s="22" t="b">
        <v>0</v>
      </c>
      <c r="V4" s="23"/>
      <c r="AC4" s="43" t="s">
        <v>397</v>
      </c>
    </row>
    <row r="5" spans="3:31" ht="33.950000000000003">
      <c r="C5" s="14" t="s">
        <v>77</v>
      </c>
      <c r="D5" s="10" t="s">
        <v>49</v>
      </c>
      <c r="E5" s="10" t="s">
        <v>164</v>
      </c>
      <c r="F5" s="11" t="s">
        <v>63</v>
      </c>
      <c r="G5" s="16" t="s">
        <v>398</v>
      </c>
      <c r="H5" s="21">
        <v>1</v>
      </c>
      <c r="I5" s="21">
        <v>2</v>
      </c>
      <c r="J5" s="21">
        <v>3</v>
      </c>
      <c r="K5" s="21">
        <v>4</v>
      </c>
      <c r="L5" s="21">
        <v>3</v>
      </c>
      <c r="M5" s="21">
        <v>5</v>
      </c>
      <c r="N5" s="21">
        <v>3</v>
      </c>
      <c r="O5" s="21">
        <v>5</v>
      </c>
      <c r="P5" s="21">
        <v>4</v>
      </c>
      <c r="Q5" s="22" t="b">
        <v>1</v>
      </c>
      <c r="R5" s="22" t="b">
        <v>1</v>
      </c>
      <c r="S5" s="22" t="b">
        <v>0</v>
      </c>
      <c r="T5" s="22" t="b">
        <v>0</v>
      </c>
      <c r="U5" s="22" t="b">
        <v>0</v>
      </c>
      <c r="V5" s="23"/>
      <c r="AC5" s="24" t="s">
        <v>399</v>
      </c>
      <c r="AD5" s="24" t="s">
        <v>400</v>
      </c>
      <c r="AE5" s="24" t="s">
        <v>401</v>
      </c>
    </row>
    <row r="6" spans="3:31" ht="17.100000000000001">
      <c r="C6" s="14" t="s">
        <v>78</v>
      </c>
      <c r="D6" s="10" t="s">
        <v>49</v>
      </c>
      <c r="E6" s="10" t="s">
        <v>165</v>
      </c>
      <c r="F6" s="11" t="s">
        <v>63</v>
      </c>
      <c r="G6" s="16" t="s">
        <v>402</v>
      </c>
      <c r="H6" s="21">
        <v>2</v>
      </c>
      <c r="I6" s="21">
        <v>2</v>
      </c>
      <c r="J6" s="21">
        <v>3</v>
      </c>
      <c r="K6" s="21">
        <v>4</v>
      </c>
      <c r="L6" s="21">
        <v>3</v>
      </c>
      <c r="M6" s="21">
        <v>5</v>
      </c>
      <c r="N6" s="21">
        <v>3</v>
      </c>
      <c r="O6" s="21">
        <v>5</v>
      </c>
      <c r="P6" s="21">
        <v>4</v>
      </c>
      <c r="Q6" s="22" t="b">
        <v>1</v>
      </c>
      <c r="R6" s="22" t="b">
        <v>1</v>
      </c>
      <c r="S6" s="22" t="b">
        <v>0</v>
      </c>
      <c r="T6" s="22" t="b">
        <v>0</v>
      </c>
      <c r="U6" s="22" t="b">
        <v>0</v>
      </c>
      <c r="V6" s="23"/>
      <c r="AC6" s="26" t="s">
        <v>38</v>
      </c>
      <c r="AD6" s="26">
        <v>10</v>
      </c>
      <c r="AE6" s="39">
        <v>0.11627906976744186</v>
      </c>
    </row>
    <row r="7" spans="3:31" ht="33.950000000000003">
      <c r="C7" s="14" t="s">
        <v>79</v>
      </c>
      <c r="D7" s="10" t="s">
        <v>49</v>
      </c>
      <c r="E7" s="10" t="s">
        <v>166</v>
      </c>
      <c r="F7" s="11" t="s">
        <v>63</v>
      </c>
      <c r="G7" s="16" t="s">
        <v>403</v>
      </c>
      <c r="H7" s="21">
        <v>1</v>
      </c>
      <c r="I7" s="21">
        <v>2</v>
      </c>
      <c r="J7" s="21">
        <v>3</v>
      </c>
      <c r="K7" s="21">
        <v>4</v>
      </c>
      <c r="L7" s="21">
        <v>3</v>
      </c>
      <c r="M7" s="21">
        <v>5</v>
      </c>
      <c r="N7" s="21">
        <v>3</v>
      </c>
      <c r="O7" s="21">
        <v>5</v>
      </c>
      <c r="P7" s="21">
        <v>4</v>
      </c>
      <c r="Q7" s="22" t="b">
        <v>0</v>
      </c>
      <c r="R7" s="22" t="b">
        <v>0</v>
      </c>
      <c r="S7" s="22" t="b">
        <v>0</v>
      </c>
      <c r="T7" s="22" t="b">
        <v>0</v>
      </c>
      <c r="U7" s="22" t="b">
        <v>0</v>
      </c>
      <c r="V7" s="23"/>
      <c r="AC7" s="26" t="s">
        <v>39</v>
      </c>
      <c r="AD7" s="26">
        <v>5</v>
      </c>
      <c r="AE7" s="39">
        <v>5.8139534883720929E-2</v>
      </c>
    </row>
    <row r="8" spans="3:31" ht="17.100000000000001">
      <c r="C8" s="14" t="s">
        <v>80</v>
      </c>
      <c r="D8" s="10" t="s">
        <v>49</v>
      </c>
      <c r="E8" s="10" t="s">
        <v>167</v>
      </c>
      <c r="F8" s="11" t="s">
        <v>63</v>
      </c>
      <c r="G8" s="16" t="s">
        <v>404</v>
      </c>
      <c r="H8" s="21">
        <v>1</v>
      </c>
      <c r="I8" s="21">
        <v>2</v>
      </c>
      <c r="J8" s="21">
        <v>3</v>
      </c>
      <c r="K8" s="21">
        <v>4</v>
      </c>
      <c r="L8" s="21">
        <v>3</v>
      </c>
      <c r="M8" s="21">
        <v>5</v>
      </c>
      <c r="N8" s="21">
        <v>3</v>
      </c>
      <c r="O8" s="21">
        <v>5</v>
      </c>
      <c r="P8" s="21">
        <v>4</v>
      </c>
      <c r="Q8" s="22" t="b">
        <v>0</v>
      </c>
      <c r="R8" s="22" t="b">
        <v>0</v>
      </c>
      <c r="S8" s="22" t="b">
        <v>0</v>
      </c>
      <c r="T8" s="22" t="b">
        <v>0</v>
      </c>
      <c r="U8" s="22" t="b">
        <v>0</v>
      </c>
      <c r="V8" s="23"/>
      <c r="AC8" s="26" t="s">
        <v>40</v>
      </c>
      <c r="AD8" s="26">
        <v>5</v>
      </c>
      <c r="AE8" s="39">
        <v>5.8139534883720929E-2</v>
      </c>
    </row>
    <row r="9" spans="3:31" ht="17.100000000000001">
      <c r="C9" s="14" t="s">
        <v>81</v>
      </c>
      <c r="D9" s="10" t="s">
        <v>49</v>
      </c>
      <c r="E9" s="10" t="s">
        <v>168</v>
      </c>
      <c r="F9" s="11" t="s">
        <v>63</v>
      </c>
      <c r="G9" s="16" t="s">
        <v>405</v>
      </c>
      <c r="H9" s="21">
        <v>1</v>
      </c>
      <c r="I9" s="21">
        <v>2</v>
      </c>
      <c r="J9" s="21">
        <v>3</v>
      </c>
      <c r="K9" s="21">
        <v>4</v>
      </c>
      <c r="L9" s="21">
        <v>3</v>
      </c>
      <c r="M9" s="21">
        <v>5</v>
      </c>
      <c r="N9" s="21">
        <v>3</v>
      </c>
      <c r="O9" s="21">
        <v>5</v>
      </c>
      <c r="P9" s="21">
        <v>4</v>
      </c>
      <c r="Q9" s="22" t="b">
        <v>0</v>
      </c>
      <c r="R9" s="22" t="b">
        <v>0</v>
      </c>
      <c r="S9" s="22" t="b">
        <v>0</v>
      </c>
      <c r="T9" s="22" t="b">
        <v>0</v>
      </c>
      <c r="U9" s="22" t="b">
        <v>0</v>
      </c>
      <c r="V9" s="23"/>
      <c r="AC9" s="26" t="s">
        <v>41</v>
      </c>
      <c r="AD9" s="26">
        <v>5</v>
      </c>
      <c r="AE9" s="39">
        <v>5.8139534883720929E-2</v>
      </c>
    </row>
    <row r="10" spans="3:31" ht="17.100000000000001">
      <c r="C10" s="14" t="s">
        <v>82</v>
      </c>
      <c r="D10" s="10" t="s">
        <v>49</v>
      </c>
      <c r="E10" s="10" t="s">
        <v>169</v>
      </c>
      <c r="F10" s="11" t="s">
        <v>63</v>
      </c>
      <c r="G10" s="16" t="s">
        <v>406</v>
      </c>
      <c r="H10" s="21">
        <v>1</v>
      </c>
      <c r="I10" s="21">
        <v>2</v>
      </c>
      <c r="J10" s="21">
        <v>3</v>
      </c>
      <c r="K10" s="21">
        <v>4</v>
      </c>
      <c r="L10" s="21">
        <v>3</v>
      </c>
      <c r="M10" s="21">
        <v>5</v>
      </c>
      <c r="N10" s="21">
        <v>3</v>
      </c>
      <c r="O10" s="21">
        <v>5</v>
      </c>
      <c r="P10" s="21">
        <v>4</v>
      </c>
      <c r="Q10" s="22" t="b">
        <v>0</v>
      </c>
      <c r="R10" s="22" t="b">
        <v>0</v>
      </c>
      <c r="S10" s="22" t="b">
        <v>0</v>
      </c>
      <c r="T10" s="22" t="b">
        <v>0</v>
      </c>
      <c r="U10" s="22" t="b">
        <v>0</v>
      </c>
      <c r="V10" s="23"/>
      <c r="AC10" s="26" t="s">
        <v>42</v>
      </c>
      <c r="AD10" s="26">
        <v>5</v>
      </c>
      <c r="AE10" s="39">
        <v>5.8139534883720929E-2</v>
      </c>
    </row>
    <row r="11" spans="3:31" ht="33.950000000000003">
      <c r="C11" s="14" t="s">
        <v>83</v>
      </c>
      <c r="D11" s="10" t="s">
        <v>49</v>
      </c>
      <c r="E11" s="10" t="s">
        <v>170</v>
      </c>
      <c r="F11" s="11" t="s">
        <v>407</v>
      </c>
      <c r="G11" s="16" t="s">
        <v>408</v>
      </c>
      <c r="H11" s="21">
        <v>1</v>
      </c>
      <c r="I11" s="21">
        <v>2</v>
      </c>
      <c r="J11" s="21">
        <v>3</v>
      </c>
      <c r="K11" s="21">
        <v>4</v>
      </c>
      <c r="L11" s="21">
        <v>3</v>
      </c>
      <c r="M11" s="21">
        <v>5</v>
      </c>
      <c r="N11" s="21">
        <v>3</v>
      </c>
      <c r="O11" s="21">
        <v>5</v>
      </c>
      <c r="P11" s="21">
        <v>4</v>
      </c>
      <c r="Q11" s="22" t="b">
        <v>0</v>
      </c>
      <c r="R11" s="22" t="b">
        <v>0</v>
      </c>
      <c r="S11" s="22" t="b">
        <v>0</v>
      </c>
      <c r="T11" s="22" t="b">
        <v>0</v>
      </c>
      <c r="U11" s="22" t="b">
        <v>0</v>
      </c>
      <c r="V11" s="23"/>
      <c r="AC11" s="26" t="s">
        <v>43</v>
      </c>
      <c r="AD11" s="26">
        <v>5</v>
      </c>
      <c r="AE11" s="39">
        <v>5.8139534883720929E-2</v>
      </c>
    </row>
    <row r="12" spans="3:31" ht="17.100000000000001">
      <c r="C12" s="14" t="s">
        <v>84</v>
      </c>
      <c r="D12" s="10" t="s">
        <v>49</v>
      </c>
      <c r="E12" s="14" t="s">
        <v>171</v>
      </c>
      <c r="F12" s="16" t="s">
        <v>63</v>
      </c>
      <c r="G12" s="16" t="s">
        <v>409</v>
      </c>
      <c r="H12" s="21">
        <v>1</v>
      </c>
      <c r="I12" s="21">
        <v>2</v>
      </c>
      <c r="J12" s="21">
        <v>3</v>
      </c>
      <c r="K12" s="21">
        <v>4</v>
      </c>
      <c r="L12" s="21">
        <v>3</v>
      </c>
      <c r="M12" s="21">
        <v>5</v>
      </c>
      <c r="N12" s="21">
        <v>3</v>
      </c>
      <c r="O12" s="21">
        <v>5</v>
      </c>
      <c r="P12" s="21">
        <v>4</v>
      </c>
      <c r="Q12" s="22" t="b">
        <v>0</v>
      </c>
      <c r="R12" s="22" t="b">
        <v>0</v>
      </c>
      <c r="S12" s="22" t="b">
        <v>0</v>
      </c>
      <c r="T12" s="22" t="b">
        <v>0</v>
      </c>
      <c r="U12" s="22" t="b">
        <v>0</v>
      </c>
      <c r="V12" s="23"/>
      <c r="AC12" s="26" t="s">
        <v>44</v>
      </c>
      <c r="AD12" s="26">
        <v>5</v>
      </c>
      <c r="AE12" s="39">
        <v>5.8139534883720929E-2</v>
      </c>
    </row>
    <row r="13" spans="3:31" ht="17.100000000000001">
      <c r="C13" s="27" t="s">
        <v>85</v>
      </c>
      <c r="D13" s="28" t="s">
        <v>49</v>
      </c>
      <c r="E13" s="28" t="s">
        <v>172</v>
      </c>
      <c r="F13" s="29" t="s">
        <v>63</v>
      </c>
      <c r="G13" s="30" t="s">
        <v>410</v>
      </c>
      <c r="H13" s="42">
        <v>1</v>
      </c>
      <c r="I13" s="42">
        <v>2</v>
      </c>
      <c r="J13" s="42">
        <v>3</v>
      </c>
      <c r="K13" s="42">
        <v>4</v>
      </c>
      <c r="L13" s="42">
        <v>3</v>
      </c>
      <c r="M13" s="42">
        <v>5</v>
      </c>
      <c r="N13" s="42">
        <v>3</v>
      </c>
      <c r="O13" s="42">
        <v>5</v>
      </c>
      <c r="P13" s="42">
        <v>4</v>
      </c>
      <c r="Q13" s="31" t="b">
        <v>0</v>
      </c>
      <c r="R13" s="31" t="b">
        <v>0</v>
      </c>
      <c r="S13" s="31" t="b">
        <v>0</v>
      </c>
      <c r="T13" s="31" t="b">
        <v>0</v>
      </c>
      <c r="U13" s="31" t="b">
        <v>0</v>
      </c>
      <c r="V13" s="23"/>
      <c r="AC13" s="26" t="s">
        <v>45</v>
      </c>
      <c r="AD13" s="26">
        <v>5</v>
      </c>
      <c r="AE13" s="39">
        <v>5.8139534883720929E-2</v>
      </c>
    </row>
    <row r="14" spans="3:31" ht="33.950000000000003">
      <c r="C14" s="17" t="s">
        <v>86</v>
      </c>
      <c r="D14" s="10" t="s">
        <v>50</v>
      </c>
      <c r="E14" s="10" t="s">
        <v>173</v>
      </c>
      <c r="F14" s="11" t="s">
        <v>64</v>
      </c>
      <c r="G14" s="16" t="s">
        <v>411</v>
      </c>
      <c r="H14" s="21">
        <v>1</v>
      </c>
      <c r="I14" s="21">
        <v>2</v>
      </c>
      <c r="J14" s="21">
        <v>3</v>
      </c>
      <c r="K14" s="21">
        <v>4</v>
      </c>
      <c r="L14" s="21">
        <v>3</v>
      </c>
      <c r="M14" s="21">
        <v>5</v>
      </c>
      <c r="N14" s="21">
        <v>3</v>
      </c>
      <c r="O14" s="21">
        <v>5</v>
      </c>
      <c r="P14" s="21">
        <v>4</v>
      </c>
      <c r="Q14" s="22" t="b">
        <v>0</v>
      </c>
      <c r="R14" s="22" t="b">
        <v>0</v>
      </c>
      <c r="S14" s="22" t="b">
        <v>0</v>
      </c>
      <c r="T14" s="22" t="b">
        <v>0</v>
      </c>
      <c r="U14" s="22" t="b">
        <v>0</v>
      </c>
      <c r="V14" s="23"/>
      <c r="AC14" s="26" t="s">
        <v>46</v>
      </c>
      <c r="AD14" s="26">
        <v>5</v>
      </c>
      <c r="AE14" s="39">
        <v>5.8139534883720929E-2</v>
      </c>
    </row>
    <row r="15" spans="3:31" ht="33.950000000000003">
      <c r="C15" s="17" t="s">
        <v>87</v>
      </c>
      <c r="D15" s="10" t="s">
        <v>50</v>
      </c>
      <c r="E15" s="10" t="s">
        <v>174</v>
      </c>
      <c r="F15" s="11" t="s">
        <v>64</v>
      </c>
      <c r="G15" s="16" t="s">
        <v>412</v>
      </c>
      <c r="H15" s="21">
        <v>1</v>
      </c>
      <c r="I15" s="21">
        <v>2</v>
      </c>
      <c r="J15" s="21">
        <v>3</v>
      </c>
      <c r="K15" s="21">
        <v>4</v>
      </c>
      <c r="L15" s="21">
        <v>3</v>
      </c>
      <c r="M15" s="21">
        <v>5</v>
      </c>
      <c r="N15" s="21">
        <v>3</v>
      </c>
      <c r="O15" s="21">
        <v>5</v>
      </c>
      <c r="P15" s="21">
        <v>4</v>
      </c>
      <c r="Q15" s="22" t="b">
        <v>0</v>
      </c>
      <c r="R15" s="22" t="b">
        <v>0</v>
      </c>
      <c r="S15" s="22" t="b">
        <v>0</v>
      </c>
      <c r="T15" s="22" t="b">
        <v>0</v>
      </c>
      <c r="U15" s="22" t="b">
        <v>0</v>
      </c>
      <c r="V15" s="23"/>
      <c r="AC15" s="26" t="s">
        <v>47</v>
      </c>
      <c r="AD15" s="26">
        <v>5</v>
      </c>
      <c r="AE15" s="39">
        <v>5.8139534883720929E-2</v>
      </c>
    </row>
    <row r="16" spans="3:31" ht="33.950000000000003">
      <c r="C16" s="17" t="s">
        <v>88</v>
      </c>
      <c r="D16" s="10" t="s">
        <v>50</v>
      </c>
      <c r="E16" s="10" t="s">
        <v>413</v>
      </c>
      <c r="F16" s="11" t="s">
        <v>64</v>
      </c>
      <c r="G16" s="16" t="s">
        <v>414</v>
      </c>
      <c r="H16" s="21">
        <v>2</v>
      </c>
      <c r="I16" s="21">
        <v>2</v>
      </c>
      <c r="J16" s="21">
        <v>3</v>
      </c>
      <c r="K16" s="21">
        <v>4</v>
      </c>
      <c r="L16" s="21">
        <v>3</v>
      </c>
      <c r="M16" s="21">
        <v>5</v>
      </c>
      <c r="N16" s="21">
        <v>3</v>
      </c>
      <c r="O16" s="21">
        <v>5</v>
      </c>
      <c r="P16" s="21">
        <v>4</v>
      </c>
      <c r="Q16" s="22" t="b">
        <v>0</v>
      </c>
      <c r="R16" s="22" t="b">
        <v>0</v>
      </c>
      <c r="S16" s="22" t="b">
        <v>0</v>
      </c>
      <c r="T16" s="22" t="b">
        <v>0</v>
      </c>
      <c r="U16" s="22" t="b">
        <v>0</v>
      </c>
      <c r="V16" s="23"/>
      <c r="AC16" s="26" t="s">
        <v>48</v>
      </c>
      <c r="AD16" s="26">
        <v>5</v>
      </c>
      <c r="AE16" s="39">
        <v>5.8139534883720929E-2</v>
      </c>
    </row>
    <row r="17" spans="2:38" ht="33.950000000000003">
      <c r="C17" s="17" t="s">
        <v>89</v>
      </c>
      <c r="D17" s="10" t="s">
        <v>50</v>
      </c>
      <c r="E17" s="10" t="s">
        <v>166</v>
      </c>
      <c r="F17" s="11" t="s">
        <v>64</v>
      </c>
      <c r="G17" s="16" t="s">
        <v>415</v>
      </c>
      <c r="H17" s="21">
        <v>1</v>
      </c>
      <c r="I17" s="21">
        <v>2</v>
      </c>
      <c r="J17" s="21">
        <v>3</v>
      </c>
      <c r="K17" s="21">
        <v>4</v>
      </c>
      <c r="L17" s="21">
        <v>3</v>
      </c>
      <c r="M17" s="21">
        <v>5</v>
      </c>
      <c r="N17" s="21">
        <v>3</v>
      </c>
      <c r="O17" s="21">
        <v>5</v>
      </c>
      <c r="P17" s="21">
        <v>4</v>
      </c>
      <c r="Q17" s="22" t="b">
        <v>0</v>
      </c>
      <c r="R17" s="22" t="b">
        <v>0</v>
      </c>
      <c r="S17" s="22" t="b">
        <v>0</v>
      </c>
      <c r="T17" s="22" t="b">
        <v>0</v>
      </c>
      <c r="U17" s="22" t="b">
        <v>0</v>
      </c>
      <c r="V17" s="23"/>
      <c r="AC17" s="26" t="s">
        <v>49</v>
      </c>
      <c r="AD17" s="26">
        <v>10</v>
      </c>
      <c r="AE17" s="39">
        <v>0.11627906976744186</v>
      </c>
    </row>
    <row r="18" spans="2:38" ht="33.950000000000003">
      <c r="C18" s="17" t="s">
        <v>90</v>
      </c>
      <c r="D18" s="10" t="s">
        <v>50</v>
      </c>
      <c r="E18" s="10" t="s">
        <v>177</v>
      </c>
      <c r="F18" s="16" t="s">
        <v>64</v>
      </c>
      <c r="G18" s="16" t="s">
        <v>416</v>
      </c>
      <c r="H18" s="21">
        <v>1</v>
      </c>
      <c r="I18" s="21">
        <v>2</v>
      </c>
      <c r="J18" s="21">
        <v>3</v>
      </c>
      <c r="K18" s="21">
        <v>4</v>
      </c>
      <c r="L18" s="21">
        <v>3</v>
      </c>
      <c r="M18" s="21">
        <v>5</v>
      </c>
      <c r="N18" s="21">
        <v>3</v>
      </c>
      <c r="O18" s="21">
        <v>5</v>
      </c>
      <c r="P18" s="21">
        <v>4</v>
      </c>
      <c r="Q18" s="22" t="b">
        <v>0</v>
      </c>
      <c r="R18" s="22" t="b">
        <v>0</v>
      </c>
      <c r="S18" s="22" t="b">
        <v>0</v>
      </c>
      <c r="T18" s="22" t="b">
        <v>0</v>
      </c>
      <c r="U18" s="22" t="b">
        <v>0</v>
      </c>
      <c r="V18" s="23"/>
      <c r="AC18" s="26" t="s">
        <v>50</v>
      </c>
      <c r="AD18" s="26">
        <v>10</v>
      </c>
      <c r="AE18" s="39">
        <v>0.11627906976744186</v>
      </c>
    </row>
    <row r="19" spans="2:38" ht="17.100000000000001">
      <c r="C19" s="17" t="s">
        <v>91</v>
      </c>
      <c r="D19" s="10" t="s">
        <v>50</v>
      </c>
      <c r="E19" s="10" t="s">
        <v>178</v>
      </c>
      <c r="F19" s="11" t="s">
        <v>64</v>
      </c>
      <c r="G19" s="16" t="s">
        <v>417</v>
      </c>
      <c r="H19" s="21">
        <v>1</v>
      </c>
      <c r="I19" s="21">
        <v>2</v>
      </c>
      <c r="J19" s="21">
        <v>3</v>
      </c>
      <c r="K19" s="21">
        <v>4</v>
      </c>
      <c r="L19" s="21">
        <v>3</v>
      </c>
      <c r="M19" s="21">
        <v>5</v>
      </c>
      <c r="N19" s="21">
        <v>3</v>
      </c>
      <c r="O19" s="21">
        <v>5</v>
      </c>
      <c r="P19" s="21">
        <v>4</v>
      </c>
      <c r="Q19" s="22" t="b">
        <v>0</v>
      </c>
      <c r="R19" s="22" t="b">
        <v>0</v>
      </c>
      <c r="S19" s="22" t="b">
        <v>0</v>
      </c>
      <c r="T19" s="22" t="b">
        <v>0</v>
      </c>
      <c r="U19" s="22" t="b">
        <v>0</v>
      </c>
      <c r="V19" s="23"/>
      <c r="AC19" s="26" t="s">
        <v>418</v>
      </c>
      <c r="AD19" s="26">
        <v>6</v>
      </c>
      <c r="AE19" s="39">
        <v>6.9767441860465115E-2</v>
      </c>
    </row>
    <row r="20" spans="2:38" ht="17.100000000000001">
      <c r="C20" s="17" t="s">
        <v>92</v>
      </c>
      <c r="D20" s="10" t="s">
        <v>50</v>
      </c>
      <c r="E20" s="10" t="s">
        <v>179</v>
      </c>
      <c r="F20" s="11" t="s">
        <v>64</v>
      </c>
      <c r="G20" s="16" t="s">
        <v>419</v>
      </c>
      <c r="H20" s="21">
        <v>1</v>
      </c>
      <c r="I20" s="21">
        <v>2</v>
      </c>
      <c r="J20" s="21">
        <v>3</v>
      </c>
      <c r="K20" s="21">
        <v>4</v>
      </c>
      <c r="L20" s="21">
        <v>3</v>
      </c>
      <c r="M20" s="21">
        <v>5</v>
      </c>
      <c r="N20" s="21">
        <v>3</v>
      </c>
      <c r="O20" s="21">
        <v>5</v>
      </c>
      <c r="P20" s="21">
        <v>4</v>
      </c>
      <c r="Q20" s="22" t="b">
        <v>0</v>
      </c>
      <c r="R20" s="22" t="b">
        <v>0</v>
      </c>
      <c r="S20" s="22" t="b">
        <v>0</v>
      </c>
      <c r="T20" s="22" t="b">
        <v>0</v>
      </c>
      <c r="U20" s="22" t="b">
        <v>0</v>
      </c>
      <c r="V20" s="23"/>
      <c r="AC20" s="25" t="s">
        <v>420</v>
      </c>
      <c r="AD20" s="25">
        <v>86</v>
      </c>
      <c r="AE20" s="40">
        <v>1</v>
      </c>
    </row>
    <row r="21" spans="2:38" ht="35.25" customHeight="1">
      <c r="C21" s="17" t="s">
        <v>93</v>
      </c>
      <c r="D21" s="10" t="s">
        <v>50</v>
      </c>
      <c r="E21" s="10" t="s">
        <v>180</v>
      </c>
      <c r="F21" s="11" t="s">
        <v>64</v>
      </c>
      <c r="G21" s="16" t="s">
        <v>421</v>
      </c>
      <c r="H21" s="21">
        <v>1</v>
      </c>
      <c r="I21" s="21">
        <v>2</v>
      </c>
      <c r="J21" s="21">
        <v>3</v>
      </c>
      <c r="K21" s="21">
        <v>4</v>
      </c>
      <c r="L21" s="21">
        <v>3</v>
      </c>
      <c r="M21" s="21">
        <v>5</v>
      </c>
      <c r="N21" s="21">
        <v>3</v>
      </c>
      <c r="O21" s="21">
        <v>5</v>
      </c>
      <c r="P21" s="21">
        <v>4</v>
      </c>
      <c r="Q21" s="22" t="b">
        <v>0</v>
      </c>
      <c r="R21" s="22" t="b">
        <v>0</v>
      </c>
      <c r="S21" s="22" t="b">
        <v>0</v>
      </c>
      <c r="T21" s="22" t="b">
        <v>0</v>
      </c>
      <c r="U21" s="22" t="b">
        <v>0</v>
      </c>
      <c r="V21" s="23"/>
      <c r="AC21" s="43" t="s">
        <v>422</v>
      </c>
    </row>
    <row r="22" spans="2:38" ht="51">
      <c r="C22" s="17" t="s">
        <v>94</v>
      </c>
      <c r="D22" s="10" t="s">
        <v>50</v>
      </c>
      <c r="E22" s="14" t="s">
        <v>181</v>
      </c>
      <c r="F22" s="16" t="s">
        <v>64</v>
      </c>
      <c r="G22" s="16" t="s">
        <v>423</v>
      </c>
      <c r="H22" s="21">
        <v>1</v>
      </c>
      <c r="I22" s="21">
        <v>2</v>
      </c>
      <c r="J22" s="21">
        <v>3</v>
      </c>
      <c r="K22" s="21">
        <v>4</v>
      </c>
      <c r="L22" s="21">
        <v>3</v>
      </c>
      <c r="M22" s="21">
        <v>5</v>
      </c>
      <c r="N22" s="21">
        <v>3</v>
      </c>
      <c r="O22" s="21">
        <v>5</v>
      </c>
      <c r="P22" s="21">
        <v>4</v>
      </c>
      <c r="Q22" s="22" t="b">
        <v>0</v>
      </c>
      <c r="R22" s="22" t="b">
        <v>0</v>
      </c>
      <c r="S22" s="22" t="b">
        <v>0</v>
      </c>
      <c r="T22" s="22" t="b">
        <v>0</v>
      </c>
      <c r="U22" s="22" t="b">
        <v>0</v>
      </c>
      <c r="V22" s="23"/>
      <c r="AC22" s="24" t="s">
        <v>399</v>
      </c>
      <c r="AD22" s="41" t="s">
        <v>424</v>
      </c>
      <c r="AE22" s="41" t="s">
        <v>425</v>
      </c>
      <c r="AF22" s="41" t="s">
        <v>426</v>
      </c>
      <c r="AG22" s="41" t="s">
        <v>427</v>
      </c>
      <c r="AH22" s="41" t="s">
        <v>428</v>
      </c>
      <c r="AI22" s="41" t="s">
        <v>429</v>
      </c>
      <c r="AJ22" s="41" t="s">
        <v>430</v>
      </c>
      <c r="AK22" s="41" t="s">
        <v>431</v>
      </c>
      <c r="AL22" s="41" t="s">
        <v>432</v>
      </c>
    </row>
    <row r="23" spans="2:38" ht="17.100000000000001">
      <c r="C23" s="32" t="s">
        <v>95</v>
      </c>
      <c r="D23" s="28" t="s">
        <v>50</v>
      </c>
      <c r="E23" s="28" t="s">
        <v>172</v>
      </c>
      <c r="F23" s="29" t="s">
        <v>64</v>
      </c>
      <c r="G23" s="30" t="s">
        <v>410</v>
      </c>
      <c r="H23" s="42">
        <v>1</v>
      </c>
      <c r="I23" s="42">
        <v>2</v>
      </c>
      <c r="J23" s="42">
        <v>3</v>
      </c>
      <c r="K23" s="42">
        <v>4</v>
      </c>
      <c r="L23" s="42">
        <v>3</v>
      </c>
      <c r="M23" s="42">
        <v>5</v>
      </c>
      <c r="N23" s="42">
        <v>3</v>
      </c>
      <c r="O23" s="42">
        <v>5</v>
      </c>
      <c r="P23" s="42">
        <v>4</v>
      </c>
      <c r="Q23" s="31" t="b">
        <v>0</v>
      </c>
      <c r="R23" s="31" t="b">
        <v>0</v>
      </c>
      <c r="S23" s="31" t="b">
        <v>0</v>
      </c>
      <c r="T23" s="31" t="b">
        <v>0</v>
      </c>
      <c r="U23" s="31" t="b">
        <v>0</v>
      </c>
      <c r="V23" s="23"/>
      <c r="AC23" s="26" t="s">
        <v>38</v>
      </c>
      <c r="AD23" s="10">
        <v>1</v>
      </c>
      <c r="AE23" s="10">
        <v>2</v>
      </c>
      <c r="AF23" s="10">
        <v>3</v>
      </c>
      <c r="AG23" s="10">
        <v>3</v>
      </c>
      <c r="AH23" s="10">
        <v>4</v>
      </c>
      <c r="AI23" s="10">
        <v>4</v>
      </c>
      <c r="AJ23" s="10">
        <v>5</v>
      </c>
      <c r="AK23" s="10">
        <v>5</v>
      </c>
      <c r="AL23" s="10">
        <v>5</v>
      </c>
    </row>
    <row r="24" spans="2:38" ht="17.100000000000001">
      <c r="C24" s="14" t="s">
        <v>96</v>
      </c>
      <c r="D24" s="10" t="s">
        <v>40</v>
      </c>
      <c r="E24" s="10" t="s">
        <v>183</v>
      </c>
      <c r="F24" s="11"/>
      <c r="G24" s="16" t="s">
        <v>433</v>
      </c>
      <c r="H24" s="21">
        <v>1</v>
      </c>
      <c r="I24" s="21">
        <v>2</v>
      </c>
      <c r="J24" s="21">
        <v>3</v>
      </c>
      <c r="K24" s="21">
        <v>4</v>
      </c>
      <c r="L24" s="21">
        <v>3</v>
      </c>
      <c r="M24" s="21">
        <v>5</v>
      </c>
      <c r="N24" s="21">
        <v>3</v>
      </c>
      <c r="O24" s="21">
        <v>5</v>
      </c>
      <c r="P24" s="21">
        <v>4</v>
      </c>
      <c r="Q24" s="22" t="b">
        <v>0</v>
      </c>
      <c r="R24" s="22" t="b">
        <v>0</v>
      </c>
      <c r="S24" s="22" t="b">
        <v>0</v>
      </c>
      <c r="T24" s="22" t="b">
        <v>0</v>
      </c>
      <c r="U24" s="22" t="b">
        <v>0</v>
      </c>
      <c r="V24" s="23"/>
      <c r="AC24" s="26" t="s">
        <v>39</v>
      </c>
      <c r="AD24" s="10">
        <v>1</v>
      </c>
      <c r="AE24" s="10">
        <v>2</v>
      </c>
      <c r="AF24" s="10">
        <v>2.2000000000000002</v>
      </c>
      <c r="AG24" s="10">
        <v>3</v>
      </c>
      <c r="AH24" s="10">
        <v>5</v>
      </c>
      <c r="AI24" s="10">
        <v>5</v>
      </c>
      <c r="AJ24" s="10">
        <v>5</v>
      </c>
      <c r="AK24" s="10">
        <v>5</v>
      </c>
      <c r="AL24" s="10">
        <v>5</v>
      </c>
    </row>
    <row r="25" spans="2:38" ht="17.100000000000001">
      <c r="C25" s="14" t="s">
        <v>31</v>
      </c>
      <c r="D25" s="10" t="s">
        <v>40</v>
      </c>
      <c r="E25" s="10" t="s">
        <v>184</v>
      </c>
      <c r="F25" s="11"/>
      <c r="G25" s="16" t="s">
        <v>434</v>
      </c>
      <c r="H25" s="21">
        <v>1</v>
      </c>
      <c r="I25" s="21">
        <v>2</v>
      </c>
      <c r="J25" s="21">
        <v>3</v>
      </c>
      <c r="K25" s="21">
        <v>4</v>
      </c>
      <c r="L25" s="21">
        <v>3</v>
      </c>
      <c r="M25" s="21">
        <v>5</v>
      </c>
      <c r="N25" s="21">
        <v>3</v>
      </c>
      <c r="O25" s="21">
        <v>5</v>
      </c>
      <c r="P25" s="21">
        <v>4</v>
      </c>
      <c r="Q25" s="22" t="b">
        <v>0</v>
      </c>
      <c r="R25" s="22" t="b">
        <v>0</v>
      </c>
      <c r="S25" s="22" t="b">
        <v>0</v>
      </c>
      <c r="T25" s="22" t="b">
        <v>0</v>
      </c>
      <c r="U25" s="22" t="b">
        <v>0</v>
      </c>
      <c r="V25" s="23"/>
      <c r="AC25" s="26" t="s">
        <v>40</v>
      </c>
      <c r="AD25" s="10">
        <v>1</v>
      </c>
      <c r="AE25" s="10">
        <v>2</v>
      </c>
      <c r="AF25" s="10">
        <v>3</v>
      </c>
      <c r="AG25" s="10">
        <v>4</v>
      </c>
      <c r="AH25" s="10">
        <v>3</v>
      </c>
      <c r="AI25" s="10">
        <v>5</v>
      </c>
      <c r="AJ25" s="10">
        <v>3</v>
      </c>
      <c r="AK25" s="10">
        <v>5</v>
      </c>
      <c r="AL25" s="10">
        <v>4</v>
      </c>
    </row>
    <row r="26" spans="2:38" ht="17.100000000000001">
      <c r="C26" s="14" t="s">
        <v>30</v>
      </c>
      <c r="D26" s="10" t="s">
        <v>40</v>
      </c>
      <c r="E26" s="10" t="s">
        <v>185</v>
      </c>
      <c r="F26" s="11"/>
      <c r="G26" s="16" t="s">
        <v>435</v>
      </c>
      <c r="H26" s="21">
        <v>1</v>
      </c>
      <c r="I26" s="21">
        <v>2</v>
      </c>
      <c r="J26" s="21">
        <v>3</v>
      </c>
      <c r="K26" s="21">
        <v>4</v>
      </c>
      <c r="L26" s="21">
        <v>3</v>
      </c>
      <c r="M26" s="21">
        <v>5</v>
      </c>
      <c r="N26" s="21">
        <v>3</v>
      </c>
      <c r="O26" s="21">
        <v>5</v>
      </c>
      <c r="P26" s="21">
        <v>4</v>
      </c>
      <c r="Q26" s="22" t="b">
        <v>0</v>
      </c>
      <c r="R26" s="22" t="b">
        <v>0</v>
      </c>
      <c r="S26" s="22" t="b">
        <v>0</v>
      </c>
      <c r="T26" s="22" t="b">
        <v>0</v>
      </c>
      <c r="U26" s="22" t="b">
        <v>0</v>
      </c>
      <c r="V26" s="23"/>
      <c r="AC26" s="26" t="s">
        <v>41</v>
      </c>
      <c r="AD26" s="10">
        <v>1</v>
      </c>
      <c r="AE26" s="10">
        <v>2</v>
      </c>
      <c r="AF26" s="10">
        <v>3</v>
      </c>
      <c r="AG26" s="10">
        <v>4</v>
      </c>
      <c r="AH26" s="10">
        <v>4</v>
      </c>
      <c r="AI26" s="10">
        <v>4</v>
      </c>
      <c r="AJ26" s="10">
        <v>5</v>
      </c>
      <c r="AK26" s="10">
        <v>5</v>
      </c>
      <c r="AL26" s="10">
        <v>5</v>
      </c>
    </row>
    <row r="27" spans="2:38" ht="17.100000000000001">
      <c r="C27" s="14" t="s">
        <v>97</v>
      </c>
      <c r="D27" s="10" t="s">
        <v>40</v>
      </c>
      <c r="E27" s="10" t="s">
        <v>186</v>
      </c>
      <c r="F27" s="11"/>
      <c r="G27" s="16" t="s">
        <v>436</v>
      </c>
      <c r="H27" s="21">
        <v>1</v>
      </c>
      <c r="I27" s="21">
        <v>2</v>
      </c>
      <c r="J27" s="21">
        <v>3</v>
      </c>
      <c r="K27" s="21">
        <v>4</v>
      </c>
      <c r="L27" s="21">
        <v>3</v>
      </c>
      <c r="M27" s="21">
        <v>5</v>
      </c>
      <c r="N27" s="21">
        <v>3</v>
      </c>
      <c r="O27" s="21">
        <v>5</v>
      </c>
      <c r="P27" s="21">
        <v>4</v>
      </c>
      <c r="Q27" s="22" t="b">
        <v>0</v>
      </c>
      <c r="R27" s="22" t="b">
        <v>0</v>
      </c>
      <c r="S27" s="22" t="b">
        <v>0</v>
      </c>
      <c r="T27" s="22" t="b">
        <v>0</v>
      </c>
      <c r="U27" s="22" t="b">
        <v>0</v>
      </c>
      <c r="V27" s="23"/>
      <c r="AC27" s="26" t="s">
        <v>42</v>
      </c>
      <c r="AD27" s="10">
        <v>1</v>
      </c>
      <c r="AE27" s="10">
        <v>2</v>
      </c>
      <c r="AF27" s="10">
        <v>2</v>
      </c>
      <c r="AG27" s="10">
        <v>3</v>
      </c>
      <c r="AH27" s="10">
        <v>3</v>
      </c>
      <c r="AI27" s="10">
        <v>4</v>
      </c>
      <c r="AJ27" s="10">
        <v>4</v>
      </c>
      <c r="AK27" s="10">
        <v>5</v>
      </c>
      <c r="AL27" s="10">
        <v>5</v>
      </c>
    </row>
    <row r="28" spans="2:38" ht="17.100000000000001">
      <c r="B28" s="12"/>
      <c r="C28" s="27" t="s">
        <v>98</v>
      </c>
      <c r="D28" s="28" t="s">
        <v>40</v>
      </c>
      <c r="E28" s="28" t="s">
        <v>187</v>
      </c>
      <c r="F28" s="29"/>
      <c r="G28" s="30" t="s">
        <v>437</v>
      </c>
      <c r="H28" s="42">
        <v>1</v>
      </c>
      <c r="I28" s="42">
        <v>2</v>
      </c>
      <c r="J28" s="42">
        <v>3</v>
      </c>
      <c r="K28" s="42">
        <v>4</v>
      </c>
      <c r="L28" s="42">
        <v>3</v>
      </c>
      <c r="M28" s="42">
        <v>5</v>
      </c>
      <c r="N28" s="42">
        <v>3</v>
      </c>
      <c r="O28" s="42">
        <v>5</v>
      </c>
      <c r="P28" s="42">
        <v>4</v>
      </c>
      <c r="Q28" s="31" t="b">
        <v>0</v>
      </c>
      <c r="R28" s="31" t="b">
        <v>0</v>
      </c>
      <c r="S28" s="31" t="b">
        <v>0</v>
      </c>
      <c r="T28" s="31" t="b">
        <v>0</v>
      </c>
      <c r="U28" s="31" t="b">
        <v>0</v>
      </c>
      <c r="V28" s="23"/>
      <c r="AC28" s="26" t="s">
        <v>43</v>
      </c>
      <c r="AD28" s="10">
        <v>1</v>
      </c>
      <c r="AE28" s="10">
        <v>1</v>
      </c>
      <c r="AF28" s="10">
        <v>1.6</v>
      </c>
      <c r="AG28" s="10">
        <v>3</v>
      </c>
      <c r="AH28" s="10">
        <v>2.6</v>
      </c>
      <c r="AI28" s="10">
        <v>3.2</v>
      </c>
      <c r="AJ28" s="10">
        <v>2.6</v>
      </c>
      <c r="AK28" s="10">
        <v>3.8</v>
      </c>
      <c r="AL28" s="10">
        <v>2.6</v>
      </c>
    </row>
    <row r="29" spans="2:38" ht="17.100000000000001">
      <c r="B29" s="13"/>
      <c r="C29" s="17" t="s">
        <v>99</v>
      </c>
      <c r="D29" s="10" t="s">
        <v>39</v>
      </c>
      <c r="E29" s="10" t="s">
        <v>188</v>
      </c>
      <c r="F29" s="11"/>
      <c r="G29" s="16" t="s">
        <v>438</v>
      </c>
      <c r="H29" s="21">
        <v>1</v>
      </c>
      <c r="I29" s="21">
        <v>2</v>
      </c>
      <c r="J29" s="21">
        <v>2</v>
      </c>
      <c r="K29" s="21">
        <v>3</v>
      </c>
      <c r="L29" s="21">
        <v>5</v>
      </c>
      <c r="M29" s="21">
        <v>5</v>
      </c>
      <c r="N29" s="21">
        <v>5</v>
      </c>
      <c r="O29" s="21">
        <v>5</v>
      </c>
      <c r="P29" s="21">
        <v>5</v>
      </c>
      <c r="Q29" s="22" t="b">
        <v>0</v>
      </c>
      <c r="R29" s="22" t="b">
        <v>0</v>
      </c>
      <c r="S29" s="22" t="b">
        <v>0</v>
      </c>
      <c r="T29" s="22" t="b">
        <v>0</v>
      </c>
      <c r="U29" s="22" t="b">
        <v>0</v>
      </c>
      <c r="V29" s="23"/>
      <c r="AC29" s="26" t="s">
        <v>44</v>
      </c>
      <c r="AD29" s="10">
        <v>0</v>
      </c>
      <c r="AE29" s="10">
        <v>1</v>
      </c>
      <c r="AF29" s="10">
        <v>2</v>
      </c>
      <c r="AG29" s="10">
        <v>3</v>
      </c>
      <c r="AH29" s="10">
        <v>3</v>
      </c>
      <c r="AI29" s="10">
        <v>4</v>
      </c>
      <c r="AJ29" s="10">
        <v>4</v>
      </c>
      <c r="AK29" s="10">
        <v>5</v>
      </c>
      <c r="AL29" s="10">
        <v>5</v>
      </c>
    </row>
    <row r="30" spans="2:38" ht="17.100000000000001">
      <c r="B30" s="13"/>
      <c r="C30" s="17" t="s">
        <v>100</v>
      </c>
      <c r="D30" s="10" t="s">
        <v>39</v>
      </c>
      <c r="E30" s="10" t="s">
        <v>189</v>
      </c>
      <c r="F30" s="11"/>
      <c r="G30" s="16" t="s">
        <v>439</v>
      </c>
      <c r="H30" s="21">
        <v>1</v>
      </c>
      <c r="I30" s="21">
        <v>2</v>
      </c>
      <c r="J30" s="21">
        <v>2</v>
      </c>
      <c r="K30" s="21">
        <v>3</v>
      </c>
      <c r="L30" s="21">
        <v>5</v>
      </c>
      <c r="M30" s="21">
        <v>5</v>
      </c>
      <c r="N30" s="21">
        <v>5</v>
      </c>
      <c r="O30" s="21">
        <v>5</v>
      </c>
      <c r="P30" s="21">
        <v>5</v>
      </c>
      <c r="Q30" s="22" t="b">
        <v>0</v>
      </c>
      <c r="R30" s="22" t="b">
        <v>0</v>
      </c>
      <c r="S30" s="22" t="b">
        <v>0</v>
      </c>
      <c r="T30" s="22" t="b">
        <v>0</v>
      </c>
      <c r="U30" s="22" t="b">
        <v>0</v>
      </c>
      <c r="V30" s="23"/>
      <c r="AC30" s="26" t="s">
        <v>45</v>
      </c>
      <c r="AD30" s="10">
        <v>1</v>
      </c>
      <c r="AE30" s="10">
        <v>2</v>
      </c>
      <c r="AF30" s="10">
        <v>3</v>
      </c>
      <c r="AG30" s="10">
        <v>4</v>
      </c>
      <c r="AH30" s="10">
        <v>4</v>
      </c>
      <c r="AI30" s="10">
        <v>5</v>
      </c>
      <c r="AJ30" s="10">
        <v>5</v>
      </c>
      <c r="AK30" s="10">
        <v>5</v>
      </c>
      <c r="AL30" s="10">
        <v>5</v>
      </c>
    </row>
    <row r="31" spans="2:38" ht="17.100000000000001">
      <c r="B31" s="13"/>
      <c r="C31" s="17" t="s">
        <v>101</v>
      </c>
      <c r="D31" s="10" t="s">
        <v>39</v>
      </c>
      <c r="E31" s="10" t="s">
        <v>190</v>
      </c>
      <c r="F31" s="11"/>
      <c r="G31" s="16" t="s">
        <v>440</v>
      </c>
      <c r="H31" s="21">
        <v>1</v>
      </c>
      <c r="I31" s="21">
        <v>2</v>
      </c>
      <c r="J31" s="21">
        <v>2</v>
      </c>
      <c r="K31" s="21">
        <v>3</v>
      </c>
      <c r="L31" s="21">
        <v>5</v>
      </c>
      <c r="M31" s="21">
        <v>5</v>
      </c>
      <c r="N31" s="21">
        <v>5</v>
      </c>
      <c r="O31" s="21">
        <v>5</v>
      </c>
      <c r="P31" s="21">
        <v>5</v>
      </c>
      <c r="Q31" s="22" t="b">
        <v>0</v>
      </c>
      <c r="R31" s="22" t="b">
        <v>0</v>
      </c>
      <c r="S31" s="22" t="b">
        <v>0</v>
      </c>
      <c r="T31" s="22" t="b">
        <v>0</v>
      </c>
      <c r="U31" s="22" t="b">
        <v>0</v>
      </c>
      <c r="V31" s="23"/>
      <c r="AC31" s="26" t="s">
        <v>46</v>
      </c>
      <c r="AD31" s="10">
        <v>1</v>
      </c>
      <c r="AE31" s="10">
        <v>2</v>
      </c>
      <c r="AF31" s="10">
        <v>3</v>
      </c>
      <c r="AG31" s="10">
        <v>3.2</v>
      </c>
      <c r="AH31" s="10">
        <v>2.6</v>
      </c>
      <c r="AI31" s="10">
        <v>3.8</v>
      </c>
      <c r="AJ31" s="10">
        <v>3.6</v>
      </c>
      <c r="AK31" s="10">
        <v>4.8</v>
      </c>
      <c r="AL31" s="10">
        <v>4.5999999999999996</v>
      </c>
    </row>
    <row r="32" spans="2:38" ht="17.100000000000001">
      <c r="B32" s="13"/>
      <c r="C32" s="17" t="s">
        <v>102</v>
      </c>
      <c r="D32" s="10" t="s">
        <v>39</v>
      </c>
      <c r="E32" s="10" t="s">
        <v>191</v>
      </c>
      <c r="F32" s="11"/>
      <c r="G32" s="16" t="s">
        <v>441</v>
      </c>
      <c r="H32" s="21">
        <v>1</v>
      </c>
      <c r="I32" s="21">
        <v>2</v>
      </c>
      <c r="J32" s="21">
        <v>2</v>
      </c>
      <c r="K32" s="21">
        <v>3</v>
      </c>
      <c r="L32" s="21">
        <v>5</v>
      </c>
      <c r="M32" s="21">
        <v>5</v>
      </c>
      <c r="N32" s="21">
        <v>5</v>
      </c>
      <c r="O32" s="21">
        <v>5</v>
      </c>
      <c r="P32" s="21">
        <v>5</v>
      </c>
      <c r="Q32" s="22" t="b">
        <v>0</v>
      </c>
      <c r="R32" s="22" t="b">
        <v>0</v>
      </c>
      <c r="S32" s="22" t="b">
        <v>0</v>
      </c>
      <c r="T32" s="22" t="b">
        <v>0</v>
      </c>
      <c r="U32" s="22" t="b">
        <v>0</v>
      </c>
      <c r="V32" s="23"/>
      <c r="AC32" s="26" t="s">
        <v>47</v>
      </c>
      <c r="AD32" s="10">
        <v>1</v>
      </c>
      <c r="AE32" s="10">
        <v>2</v>
      </c>
      <c r="AF32" s="10">
        <v>2</v>
      </c>
      <c r="AG32" s="10">
        <v>3</v>
      </c>
      <c r="AH32" s="10">
        <v>3</v>
      </c>
      <c r="AI32" s="10">
        <v>4</v>
      </c>
      <c r="AJ32" s="10">
        <v>4</v>
      </c>
      <c r="AK32" s="10">
        <v>5</v>
      </c>
      <c r="AL32" s="10">
        <v>5</v>
      </c>
    </row>
    <row r="33" spans="2:38" ht="17.100000000000001">
      <c r="B33" s="13"/>
      <c r="C33" s="32" t="s">
        <v>103</v>
      </c>
      <c r="D33" s="28" t="s">
        <v>39</v>
      </c>
      <c r="E33" s="28" t="s">
        <v>192</v>
      </c>
      <c r="F33" s="29"/>
      <c r="G33" s="30" t="s">
        <v>442</v>
      </c>
      <c r="H33" s="42">
        <v>1</v>
      </c>
      <c r="I33" s="42">
        <v>2</v>
      </c>
      <c r="J33" s="42">
        <v>3</v>
      </c>
      <c r="K33" s="42">
        <v>3</v>
      </c>
      <c r="L33" s="42">
        <v>5</v>
      </c>
      <c r="M33" s="42">
        <v>5</v>
      </c>
      <c r="N33" s="42">
        <v>5</v>
      </c>
      <c r="O33" s="42">
        <v>5</v>
      </c>
      <c r="P33" s="42">
        <v>5</v>
      </c>
      <c r="Q33" s="31" t="b">
        <v>0</v>
      </c>
      <c r="R33" s="31" t="b">
        <v>0</v>
      </c>
      <c r="S33" s="31" t="b">
        <v>0</v>
      </c>
      <c r="T33" s="31" t="b">
        <v>0</v>
      </c>
      <c r="U33" s="31" t="b">
        <v>0</v>
      </c>
      <c r="V33" s="23"/>
      <c r="AC33" s="26" t="s">
        <v>48</v>
      </c>
      <c r="AD33" s="10">
        <v>1</v>
      </c>
      <c r="AE33" s="10">
        <v>1.2</v>
      </c>
      <c r="AF33" s="10">
        <v>1.4</v>
      </c>
      <c r="AG33" s="10">
        <v>1.8</v>
      </c>
      <c r="AH33" s="10">
        <v>1.8</v>
      </c>
      <c r="AI33" s="10">
        <v>2.2000000000000002</v>
      </c>
      <c r="AJ33" s="10">
        <v>2</v>
      </c>
      <c r="AK33" s="10">
        <v>2.4</v>
      </c>
      <c r="AL33" s="10">
        <v>2</v>
      </c>
    </row>
    <row r="34" spans="2:38" ht="33.950000000000003">
      <c r="B34" s="13"/>
      <c r="C34" s="13" t="s">
        <v>104</v>
      </c>
      <c r="D34" s="10" t="s">
        <v>41</v>
      </c>
      <c r="E34" s="10" t="s">
        <v>193</v>
      </c>
      <c r="F34" s="11"/>
      <c r="G34" s="16" t="s">
        <v>443</v>
      </c>
      <c r="H34" s="21">
        <v>1</v>
      </c>
      <c r="I34" s="21">
        <v>2</v>
      </c>
      <c r="J34" s="21">
        <v>3</v>
      </c>
      <c r="K34" s="21">
        <v>4</v>
      </c>
      <c r="L34" s="21">
        <v>4</v>
      </c>
      <c r="M34" s="21">
        <v>4</v>
      </c>
      <c r="N34" s="21">
        <v>5</v>
      </c>
      <c r="O34" s="21">
        <v>5</v>
      </c>
      <c r="P34" s="21">
        <v>5</v>
      </c>
      <c r="Q34" s="22" t="b">
        <v>0</v>
      </c>
      <c r="R34" s="22" t="b">
        <v>0</v>
      </c>
      <c r="S34" s="22" t="b">
        <v>0</v>
      </c>
      <c r="T34" s="22" t="b">
        <v>0</v>
      </c>
      <c r="U34" s="22" t="b">
        <v>0</v>
      </c>
      <c r="V34" s="23"/>
      <c r="AC34" s="26" t="s">
        <v>49</v>
      </c>
      <c r="AD34" s="10">
        <v>1.1000000000000001</v>
      </c>
      <c r="AE34" s="10">
        <v>2</v>
      </c>
      <c r="AF34" s="10">
        <v>3</v>
      </c>
      <c r="AG34" s="10">
        <v>4</v>
      </c>
      <c r="AH34" s="10">
        <v>3</v>
      </c>
      <c r="AI34" s="10">
        <v>5</v>
      </c>
      <c r="AJ34" s="10">
        <v>3</v>
      </c>
      <c r="AK34" s="10">
        <v>5</v>
      </c>
      <c r="AL34" s="10">
        <v>4</v>
      </c>
    </row>
    <row r="35" spans="2:38" ht="17.100000000000001">
      <c r="B35" s="13"/>
      <c r="C35" s="13" t="s">
        <v>105</v>
      </c>
      <c r="D35" s="10" t="s">
        <v>41</v>
      </c>
      <c r="E35" s="14" t="s">
        <v>444</v>
      </c>
      <c r="F35" s="11"/>
      <c r="G35" s="16" t="s">
        <v>445</v>
      </c>
      <c r="H35" s="21">
        <v>1</v>
      </c>
      <c r="I35" s="21">
        <v>2</v>
      </c>
      <c r="J35" s="21">
        <v>3</v>
      </c>
      <c r="K35" s="21">
        <v>4</v>
      </c>
      <c r="L35" s="21">
        <v>4</v>
      </c>
      <c r="M35" s="21">
        <v>4</v>
      </c>
      <c r="N35" s="21">
        <v>5</v>
      </c>
      <c r="O35" s="21">
        <v>5</v>
      </c>
      <c r="P35" s="21">
        <v>5</v>
      </c>
      <c r="Q35" s="22" t="b">
        <v>0</v>
      </c>
      <c r="R35" s="22" t="b">
        <v>0</v>
      </c>
      <c r="S35" s="22" t="b">
        <v>0</v>
      </c>
      <c r="T35" s="22" t="b">
        <v>0</v>
      </c>
      <c r="U35" s="22" t="b">
        <v>0</v>
      </c>
      <c r="V35" s="23"/>
      <c r="AC35" s="26" t="s">
        <v>50</v>
      </c>
      <c r="AD35" s="10">
        <v>1.1000000000000001</v>
      </c>
      <c r="AE35" s="10">
        <v>2</v>
      </c>
      <c r="AF35" s="10">
        <v>3</v>
      </c>
      <c r="AG35" s="10">
        <v>4</v>
      </c>
      <c r="AH35" s="10">
        <v>3</v>
      </c>
      <c r="AI35" s="10">
        <v>5</v>
      </c>
      <c r="AJ35" s="10">
        <v>3</v>
      </c>
      <c r="AK35" s="10">
        <v>5</v>
      </c>
      <c r="AL35" s="10">
        <v>4</v>
      </c>
    </row>
    <row r="36" spans="2:38" ht="17.100000000000001">
      <c r="B36" s="13"/>
      <c r="C36" s="13" t="s">
        <v>106</v>
      </c>
      <c r="D36" s="10" t="s">
        <v>41</v>
      </c>
      <c r="E36" s="14" t="s">
        <v>195</v>
      </c>
      <c r="F36" s="11"/>
      <c r="G36" s="16" t="s">
        <v>446</v>
      </c>
      <c r="H36" s="21">
        <v>1</v>
      </c>
      <c r="I36" s="21">
        <v>2</v>
      </c>
      <c r="J36" s="21">
        <v>3</v>
      </c>
      <c r="K36" s="21">
        <v>4</v>
      </c>
      <c r="L36" s="21">
        <v>4</v>
      </c>
      <c r="M36" s="21">
        <v>4</v>
      </c>
      <c r="N36" s="21">
        <v>5</v>
      </c>
      <c r="O36" s="21">
        <v>5</v>
      </c>
      <c r="P36" s="21">
        <v>5</v>
      </c>
      <c r="Q36" s="22" t="b">
        <v>0</v>
      </c>
      <c r="R36" s="22" t="b">
        <v>0</v>
      </c>
      <c r="S36" s="22" t="b">
        <v>0</v>
      </c>
      <c r="T36" s="22" t="b">
        <v>0</v>
      </c>
      <c r="U36" s="22" t="b">
        <v>0</v>
      </c>
      <c r="V36" s="23"/>
      <c r="AC36" s="26" t="s">
        <v>418</v>
      </c>
      <c r="AD36" s="10">
        <v>1</v>
      </c>
      <c r="AE36" s="10"/>
      <c r="AF36" s="10"/>
      <c r="AG36" s="10"/>
      <c r="AH36" s="10"/>
      <c r="AI36" s="10"/>
      <c r="AJ36" s="10"/>
      <c r="AK36" s="10"/>
      <c r="AL36" s="10"/>
    </row>
    <row r="37" spans="2:38" ht="17.100000000000001">
      <c r="B37" s="13"/>
      <c r="C37" s="13" t="s">
        <v>107</v>
      </c>
      <c r="D37" s="10" t="s">
        <v>41</v>
      </c>
      <c r="E37" s="14" t="s">
        <v>196</v>
      </c>
      <c r="F37" s="11"/>
      <c r="G37" s="16" t="s">
        <v>447</v>
      </c>
      <c r="H37" s="21">
        <v>1</v>
      </c>
      <c r="I37" s="21">
        <v>2</v>
      </c>
      <c r="J37" s="21">
        <v>3</v>
      </c>
      <c r="K37" s="21">
        <v>4</v>
      </c>
      <c r="L37" s="21">
        <v>4</v>
      </c>
      <c r="M37" s="21">
        <v>4</v>
      </c>
      <c r="N37" s="21">
        <v>5</v>
      </c>
      <c r="O37" s="21">
        <v>5</v>
      </c>
      <c r="P37" s="21">
        <v>5</v>
      </c>
      <c r="Q37" s="22" t="b">
        <v>0</v>
      </c>
      <c r="R37" s="22" t="b">
        <v>0</v>
      </c>
      <c r="S37" s="22" t="b">
        <v>0</v>
      </c>
      <c r="T37" s="22" t="b">
        <v>0</v>
      </c>
      <c r="U37" s="22" t="b">
        <v>0</v>
      </c>
      <c r="V37" s="23"/>
      <c r="AC37" s="25" t="s">
        <v>420</v>
      </c>
      <c r="AD37" s="24">
        <v>0.96296296296296291</v>
      </c>
      <c r="AE37" s="24">
        <v>1.825</v>
      </c>
      <c r="AF37" s="24">
        <v>2.5750000000000002</v>
      </c>
      <c r="AG37" s="24">
        <v>3.375</v>
      </c>
      <c r="AH37" s="24">
        <v>3.25</v>
      </c>
      <c r="AI37" s="24">
        <v>4.2625000000000002</v>
      </c>
      <c r="AJ37" s="24">
        <v>3.7625000000000002</v>
      </c>
      <c r="AK37" s="24">
        <v>4.75</v>
      </c>
      <c r="AL37" s="24">
        <v>4.3250000000000002</v>
      </c>
    </row>
    <row r="38" spans="2:38" ht="36" customHeight="1" thickBot="1">
      <c r="B38" s="13" t="s">
        <v>378</v>
      </c>
      <c r="C38" s="33" t="s">
        <v>108</v>
      </c>
      <c r="D38" s="28" t="s">
        <v>41</v>
      </c>
      <c r="E38" s="28" t="s">
        <v>197</v>
      </c>
      <c r="F38" s="29"/>
      <c r="G38" s="30" t="s">
        <v>448</v>
      </c>
      <c r="H38" s="42">
        <v>1</v>
      </c>
      <c r="I38" s="42">
        <v>2</v>
      </c>
      <c r="J38" s="42">
        <v>3</v>
      </c>
      <c r="K38" s="42">
        <v>4</v>
      </c>
      <c r="L38" s="42">
        <v>4</v>
      </c>
      <c r="M38" s="42">
        <v>4</v>
      </c>
      <c r="N38" s="42">
        <v>5</v>
      </c>
      <c r="O38" s="42">
        <v>5</v>
      </c>
      <c r="P38" s="42">
        <v>5</v>
      </c>
      <c r="Q38" s="31" t="b">
        <v>0</v>
      </c>
      <c r="R38" s="31" t="b">
        <v>0</v>
      </c>
      <c r="S38" s="31" t="b">
        <v>0</v>
      </c>
      <c r="T38" s="31" t="b">
        <v>0</v>
      </c>
      <c r="U38" s="31" t="b">
        <v>0</v>
      </c>
      <c r="V38" s="23"/>
    </row>
    <row r="39" spans="2:38" ht="36" customHeight="1">
      <c r="B39" s="13"/>
      <c r="C39" s="14" t="s">
        <v>109</v>
      </c>
      <c r="D39" s="10" t="s">
        <v>38</v>
      </c>
      <c r="E39" s="10" t="s">
        <v>198</v>
      </c>
      <c r="F39" s="11"/>
      <c r="G39" s="16" t="s">
        <v>449</v>
      </c>
      <c r="H39" s="21">
        <v>1</v>
      </c>
      <c r="I39" s="21">
        <v>2</v>
      </c>
      <c r="J39" s="21">
        <v>3</v>
      </c>
      <c r="K39" s="21">
        <v>3</v>
      </c>
      <c r="L39" s="21">
        <v>4</v>
      </c>
      <c r="M39" s="21">
        <v>4</v>
      </c>
      <c r="N39" s="21">
        <v>5</v>
      </c>
      <c r="O39" s="21">
        <v>5</v>
      </c>
      <c r="P39" s="21">
        <v>5</v>
      </c>
      <c r="Q39" s="22" t="b">
        <v>0</v>
      </c>
      <c r="R39" s="22" t="b">
        <v>0</v>
      </c>
      <c r="S39" s="22" t="b">
        <v>0</v>
      </c>
      <c r="T39" s="22" t="b">
        <v>0</v>
      </c>
      <c r="U39" s="22" t="b">
        <v>0</v>
      </c>
      <c r="V39" s="23"/>
    </row>
    <row r="40" spans="2:38" ht="36" customHeight="1">
      <c r="B40" s="13"/>
      <c r="C40" s="14" t="s">
        <v>110</v>
      </c>
      <c r="D40" s="10" t="s">
        <v>38</v>
      </c>
      <c r="E40" s="10" t="s">
        <v>199</v>
      </c>
      <c r="F40" s="11"/>
      <c r="G40" s="16" t="s">
        <v>450</v>
      </c>
      <c r="H40" s="21">
        <v>1</v>
      </c>
      <c r="I40" s="21">
        <v>2</v>
      </c>
      <c r="J40" s="21">
        <v>3</v>
      </c>
      <c r="K40" s="21">
        <v>3</v>
      </c>
      <c r="L40" s="21">
        <v>4</v>
      </c>
      <c r="M40" s="21">
        <v>4</v>
      </c>
      <c r="N40" s="21">
        <v>5</v>
      </c>
      <c r="O40" s="21">
        <v>5</v>
      </c>
      <c r="P40" s="21">
        <v>5</v>
      </c>
      <c r="Q40" s="22" t="b">
        <v>0</v>
      </c>
      <c r="R40" s="22" t="b">
        <v>0</v>
      </c>
      <c r="S40" s="22" t="b">
        <v>0</v>
      </c>
      <c r="T40" s="22" t="b">
        <v>0</v>
      </c>
      <c r="U40" s="22" t="b">
        <v>0</v>
      </c>
      <c r="V40" s="23"/>
    </row>
    <row r="41" spans="2:38" ht="36" customHeight="1">
      <c r="B41" s="13"/>
      <c r="C41" s="14" t="s">
        <v>111</v>
      </c>
      <c r="D41" s="10" t="s">
        <v>38</v>
      </c>
      <c r="E41" s="10" t="s">
        <v>200</v>
      </c>
      <c r="F41" s="11"/>
      <c r="G41" s="16" t="s">
        <v>451</v>
      </c>
      <c r="H41" s="21">
        <v>1</v>
      </c>
      <c r="I41" s="21">
        <v>2</v>
      </c>
      <c r="J41" s="21">
        <v>3</v>
      </c>
      <c r="K41" s="21">
        <v>3</v>
      </c>
      <c r="L41" s="21">
        <v>4</v>
      </c>
      <c r="M41" s="21">
        <v>4</v>
      </c>
      <c r="N41" s="21">
        <v>5</v>
      </c>
      <c r="O41" s="21">
        <v>5</v>
      </c>
      <c r="P41" s="21">
        <v>5</v>
      </c>
      <c r="Q41" s="22" t="b">
        <v>0</v>
      </c>
      <c r="R41" s="22" t="b">
        <v>0</v>
      </c>
      <c r="S41" s="22" t="b">
        <v>0</v>
      </c>
      <c r="T41" s="22" t="b">
        <v>0</v>
      </c>
      <c r="U41" s="22" t="b">
        <v>0</v>
      </c>
      <c r="V41" s="23"/>
    </row>
    <row r="42" spans="2:38" ht="36" customHeight="1">
      <c r="B42" s="12"/>
      <c r="C42" s="14" t="s">
        <v>112</v>
      </c>
      <c r="D42" s="10" t="s">
        <v>38</v>
      </c>
      <c r="E42" s="10" t="s">
        <v>201</v>
      </c>
      <c r="F42" s="11"/>
      <c r="G42" s="16" t="s">
        <v>452</v>
      </c>
      <c r="H42" s="21">
        <v>1</v>
      </c>
      <c r="I42" s="21">
        <v>2</v>
      </c>
      <c r="J42" s="21">
        <v>3</v>
      </c>
      <c r="K42" s="21">
        <v>3</v>
      </c>
      <c r="L42" s="21">
        <v>4</v>
      </c>
      <c r="M42" s="21">
        <v>4</v>
      </c>
      <c r="N42" s="21">
        <v>5</v>
      </c>
      <c r="O42" s="21">
        <v>5</v>
      </c>
      <c r="P42" s="21">
        <v>5</v>
      </c>
      <c r="Q42" s="22" t="b">
        <v>0</v>
      </c>
      <c r="R42" s="22" t="b">
        <v>0</v>
      </c>
      <c r="S42" s="22" t="b">
        <v>0</v>
      </c>
      <c r="T42" s="22" t="b">
        <v>0</v>
      </c>
      <c r="U42" s="22" t="b">
        <v>0</v>
      </c>
      <c r="V42" s="23"/>
    </row>
    <row r="43" spans="2:38" ht="36" customHeight="1">
      <c r="B43" s="12"/>
      <c r="C43" s="14" t="s">
        <v>113</v>
      </c>
      <c r="D43" s="10" t="s">
        <v>38</v>
      </c>
      <c r="E43" s="10" t="s">
        <v>202</v>
      </c>
      <c r="F43" s="11"/>
      <c r="G43" s="16" t="s">
        <v>453</v>
      </c>
      <c r="H43" s="21">
        <v>1</v>
      </c>
      <c r="I43" s="21">
        <v>2</v>
      </c>
      <c r="J43" s="21">
        <v>3</v>
      </c>
      <c r="K43" s="21">
        <v>3</v>
      </c>
      <c r="L43" s="21">
        <v>4</v>
      </c>
      <c r="M43" s="21">
        <v>4</v>
      </c>
      <c r="N43" s="21">
        <v>5</v>
      </c>
      <c r="O43" s="21">
        <v>5</v>
      </c>
      <c r="P43" s="21">
        <v>5</v>
      </c>
      <c r="Q43" s="22" t="b">
        <v>0</v>
      </c>
      <c r="R43" s="22" t="b">
        <v>0</v>
      </c>
      <c r="S43" s="22" t="b">
        <v>0</v>
      </c>
      <c r="T43" s="22" t="b">
        <v>0</v>
      </c>
      <c r="U43" s="22" t="b">
        <v>0</v>
      </c>
      <c r="V43" s="23"/>
      <c r="X43" s="12"/>
      <c r="Y43" s="12"/>
      <c r="Z43" s="12"/>
    </row>
    <row r="44" spans="2:38" ht="36" customHeight="1">
      <c r="B44" s="12"/>
      <c r="C44" s="14" t="s">
        <v>114</v>
      </c>
      <c r="D44" s="10" t="s">
        <v>38</v>
      </c>
      <c r="E44" s="10" t="s">
        <v>203</v>
      </c>
      <c r="F44" s="11"/>
      <c r="G44" s="16" t="s">
        <v>454</v>
      </c>
      <c r="H44" s="21">
        <v>1</v>
      </c>
      <c r="I44" s="21">
        <v>2</v>
      </c>
      <c r="J44" s="21">
        <v>3</v>
      </c>
      <c r="K44" s="21">
        <v>3</v>
      </c>
      <c r="L44" s="21">
        <v>4</v>
      </c>
      <c r="M44" s="21">
        <v>4</v>
      </c>
      <c r="N44" s="21">
        <v>5</v>
      </c>
      <c r="O44" s="21">
        <v>5</v>
      </c>
      <c r="P44" s="21">
        <v>5</v>
      </c>
      <c r="Q44" s="22" t="b">
        <v>0</v>
      </c>
      <c r="R44" s="22" t="b">
        <v>0</v>
      </c>
      <c r="S44" s="22" t="b">
        <v>0</v>
      </c>
      <c r="T44" s="22" t="b">
        <v>0</v>
      </c>
      <c r="U44" s="22" t="b">
        <v>0</v>
      </c>
      <c r="V44" s="23"/>
      <c r="X44" s="12"/>
      <c r="Y44" s="12"/>
      <c r="Z44" s="12"/>
    </row>
    <row r="45" spans="2:38" ht="36" customHeight="1">
      <c r="B45" s="12"/>
      <c r="C45" s="14" t="s">
        <v>115</v>
      </c>
      <c r="D45" s="10" t="s">
        <v>38</v>
      </c>
      <c r="E45" s="10" t="s">
        <v>204</v>
      </c>
      <c r="F45" s="11"/>
      <c r="G45" s="16" t="s">
        <v>455</v>
      </c>
      <c r="H45" s="21">
        <v>1</v>
      </c>
      <c r="I45" s="21">
        <v>2</v>
      </c>
      <c r="J45" s="21">
        <v>3</v>
      </c>
      <c r="K45" s="21">
        <v>3</v>
      </c>
      <c r="L45" s="21">
        <v>4</v>
      </c>
      <c r="M45" s="21">
        <v>4</v>
      </c>
      <c r="N45" s="21">
        <v>5</v>
      </c>
      <c r="O45" s="21">
        <v>5</v>
      </c>
      <c r="P45" s="21">
        <v>5</v>
      </c>
      <c r="Q45" s="22" t="b">
        <v>0</v>
      </c>
      <c r="R45" s="22" t="b">
        <v>0</v>
      </c>
      <c r="S45" s="22" t="b">
        <v>0</v>
      </c>
      <c r="T45" s="22" t="b">
        <v>0</v>
      </c>
      <c r="U45" s="22" t="b">
        <v>0</v>
      </c>
      <c r="V45" s="23"/>
      <c r="X45" s="12"/>
      <c r="Y45" s="12"/>
      <c r="Z45" s="12"/>
    </row>
    <row r="46" spans="2:38" ht="36" customHeight="1">
      <c r="C46" s="14" t="s">
        <v>116</v>
      </c>
      <c r="D46" s="10" t="s">
        <v>38</v>
      </c>
      <c r="E46" s="10" t="s">
        <v>205</v>
      </c>
      <c r="F46" s="11"/>
      <c r="G46" s="16" t="s">
        <v>456</v>
      </c>
      <c r="H46" s="21">
        <v>1</v>
      </c>
      <c r="I46" s="21">
        <v>2</v>
      </c>
      <c r="J46" s="21">
        <v>3</v>
      </c>
      <c r="K46" s="21">
        <v>3</v>
      </c>
      <c r="L46" s="21">
        <v>4</v>
      </c>
      <c r="M46" s="21">
        <v>4</v>
      </c>
      <c r="N46" s="21">
        <v>5</v>
      </c>
      <c r="O46" s="21">
        <v>5</v>
      </c>
      <c r="P46" s="21">
        <v>5</v>
      </c>
      <c r="Q46" s="22" t="b">
        <v>0</v>
      </c>
      <c r="R46" s="22" t="b">
        <v>0</v>
      </c>
      <c r="S46" s="22" t="b">
        <v>0</v>
      </c>
      <c r="T46" s="22" t="b">
        <v>0</v>
      </c>
      <c r="U46" s="22" t="b">
        <v>0</v>
      </c>
      <c r="V46" s="23"/>
    </row>
    <row r="47" spans="2:38" ht="36" customHeight="1">
      <c r="C47" s="14" t="s">
        <v>117</v>
      </c>
      <c r="D47" s="10" t="s">
        <v>38</v>
      </c>
      <c r="E47" s="10" t="s">
        <v>206</v>
      </c>
      <c r="F47" s="11"/>
      <c r="G47" s="16" t="s">
        <v>457</v>
      </c>
      <c r="H47" s="21">
        <v>1</v>
      </c>
      <c r="I47" s="21">
        <v>2</v>
      </c>
      <c r="J47" s="21">
        <v>3</v>
      </c>
      <c r="K47" s="21">
        <v>3</v>
      </c>
      <c r="L47" s="21">
        <v>4</v>
      </c>
      <c r="M47" s="21">
        <v>4</v>
      </c>
      <c r="N47" s="21">
        <v>5</v>
      </c>
      <c r="O47" s="21">
        <v>5</v>
      </c>
      <c r="P47" s="21">
        <v>5</v>
      </c>
      <c r="Q47" s="22" t="b">
        <v>0</v>
      </c>
      <c r="R47" s="22" t="b">
        <v>0</v>
      </c>
      <c r="S47" s="22" t="b">
        <v>0</v>
      </c>
      <c r="T47" s="22" t="b">
        <v>0</v>
      </c>
      <c r="U47" s="22" t="b">
        <v>0</v>
      </c>
      <c r="V47" s="23"/>
    </row>
    <row r="48" spans="2:38" ht="36" customHeight="1" thickBot="1">
      <c r="C48" s="27" t="s">
        <v>118</v>
      </c>
      <c r="D48" s="28" t="s">
        <v>38</v>
      </c>
      <c r="E48" s="28" t="s">
        <v>207</v>
      </c>
      <c r="F48" s="29"/>
      <c r="G48" s="30" t="s">
        <v>458</v>
      </c>
      <c r="H48" s="42">
        <v>1</v>
      </c>
      <c r="I48" s="42">
        <v>2</v>
      </c>
      <c r="J48" s="42">
        <v>3</v>
      </c>
      <c r="K48" s="42">
        <v>3</v>
      </c>
      <c r="L48" s="42">
        <v>4</v>
      </c>
      <c r="M48" s="42">
        <v>4</v>
      </c>
      <c r="N48" s="42">
        <v>5</v>
      </c>
      <c r="O48" s="42">
        <v>5</v>
      </c>
      <c r="P48" s="42">
        <v>5</v>
      </c>
      <c r="Q48" s="31" t="b">
        <v>0</v>
      </c>
      <c r="R48" s="31" t="b">
        <v>0</v>
      </c>
      <c r="S48" s="31" t="b">
        <v>0</v>
      </c>
      <c r="T48" s="31" t="b">
        <v>0</v>
      </c>
      <c r="U48" s="31" t="b">
        <v>0</v>
      </c>
      <c r="V48" s="23"/>
    </row>
    <row r="49" spans="3:22" ht="36" customHeight="1">
      <c r="C49" s="17" t="s">
        <v>119</v>
      </c>
      <c r="D49" s="14" t="s">
        <v>44</v>
      </c>
      <c r="E49" s="10" t="s">
        <v>208</v>
      </c>
      <c r="F49" s="11"/>
      <c r="G49" s="16" t="s">
        <v>459</v>
      </c>
      <c r="H49" s="21">
        <v>0</v>
      </c>
      <c r="I49" s="21">
        <v>1</v>
      </c>
      <c r="J49" s="21">
        <v>2</v>
      </c>
      <c r="K49" s="21">
        <v>3</v>
      </c>
      <c r="L49" s="21">
        <v>3</v>
      </c>
      <c r="M49" s="21">
        <v>4</v>
      </c>
      <c r="N49" s="21">
        <v>4</v>
      </c>
      <c r="O49" s="21">
        <v>5</v>
      </c>
      <c r="P49" s="21">
        <v>5</v>
      </c>
      <c r="Q49" s="22" t="b">
        <v>0</v>
      </c>
      <c r="R49" s="22" t="b">
        <v>0</v>
      </c>
      <c r="S49" s="22" t="b">
        <v>0</v>
      </c>
      <c r="T49" s="22" t="b">
        <v>0</v>
      </c>
      <c r="U49" s="22" t="b">
        <v>0</v>
      </c>
      <c r="V49" s="23"/>
    </row>
    <row r="50" spans="3:22" ht="36" customHeight="1">
      <c r="C50" s="17" t="s">
        <v>120</v>
      </c>
      <c r="D50" s="14" t="s">
        <v>44</v>
      </c>
      <c r="E50" s="10" t="s">
        <v>209</v>
      </c>
      <c r="F50" s="11"/>
      <c r="G50" s="16" t="s">
        <v>460</v>
      </c>
      <c r="H50" s="21">
        <v>0</v>
      </c>
      <c r="I50" s="21">
        <v>1</v>
      </c>
      <c r="J50" s="21">
        <v>2</v>
      </c>
      <c r="K50" s="21">
        <v>3</v>
      </c>
      <c r="L50" s="21">
        <v>3</v>
      </c>
      <c r="M50" s="21">
        <v>4</v>
      </c>
      <c r="N50" s="21">
        <v>4</v>
      </c>
      <c r="O50" s="21">
        <v>5</v>
      </c>
      <c r="P50" s="21">
        <v>5</v>
      </c>
      <c r="Q50" s="22" t="b">
        <v>0</v>
      </c>
      <c r="R50" s="22" t="b">
        <v>0</v>
      </c>
      <c r="S50" s="22" t="b">
        <v>0</v>
      </c>
      <c r="T50" s="22" t="b">
        <v>0</v>
      </c>
      <c r="U50" s="22" t="b">
        <v>0</v>
      </c>
      <c r="V50" s="23"/>
    </row>
    <row r="51" spans="3:22" ht="36" customHeight="1">
      <c r="C51" s="17" t="s">
        <v>121</v>
      </c>
      <c r="D51" s="14" t="s">
        <v>44</v>
      </c>
      <c r="E51" s="10" t="s">
        <v>210</v>
      </c>
      <c r="F51" s="11"/>
      <c r="G51" s="16" t="s">
        <v>461</v>
      </c>
      <c r="H51" s="21">
        <v>0</v>
      </c>
      <c r="I51" s="21">
        <v>1</v>
      </c>
      <c r="J51" s="21">
        <v>2</v>
      </c>
      <c r="K51" s="21">
        <v>3</v>
      </c>
      <c r="L51" s="21">
        <v>3</v>
      </c>
      <c r="M51" s="21">
        <v>4</v>
      </c>
      <c r="N51" s="21">
        <v>4</v>
      </c>
      <c r="O51" s="21">
        <v>5</v>
      </c>
      <c r="P51" s="21">
        <v>5</v>
      </c>
      <c r="Q51" s="22" t="b">
        <v>0</v>
      </c>
      <c r="R51" s="22" t="b">
        <v>0</v>
      </c>
      <c r="S51" s="22" t="b">
        <v>0</v>
      </c>
      <c r="T51" s="22" t="b">
        <v>0</v>
      </c>
      <c r="U51" s="22" t="b">
        <v>0</v>
      </c>
      <c r="V51" s="23"/>
    </row>
    <row r="52" spans="3:22" ht="36" customHeight="1">
      <c r="C52" s="17" t="s">
        <v>122</v>
      </c>
      <c r="D52" s="14" t="s">
        <v>44</v>
      </c>
      <c r="E52" s="10" t="s">
        <v>211</v>
      </c>
      <c r="F52" s="11"/>
      <c r="G52" s="16" t="s">
        <v>462</v>
      </c>
      <c r="H52" s="21">
        <v>0</v>
      </c>
      <c r="I52" s="21">
        <v>1</v>
      </c>
      <c r="J52" s="21">
        <v>2</v>
      </c>
      <c r="K52" s="21">
        <v>3</v>
      </c>
      <c r="L52" s="21">
        <v>3</v>
      </c>
      <c r="M52" s="21">
        <v>4</v>
      </c>
      <c r="N52" s="21">
        <v>4</v>
      </c>
      <c r="O52" s="21">
        <v>5</v>
      </c>
      <c r="P52" s="21">
        <v>5</v>
      </c>
      <c r="Q52" s="22" t="b">
        <v>0</v>
      </c>
      <c r="R52" s="22" t="b">
        <v>0</v>
      </c>
      <c r="S52" s="22" t="b">
        <v>0</v>
      </c>
      <c r="T52" s="22" t="b">
        <v>0</v>
      </c>
      <c r="U52" s="22" t="b">
        <v>0</v>
      </c>
      <c r="V52" s="23"/>
    </row>
    <row r="53" spans="3:22" ht="36" customHeight="1" thickBot="1">
      <c r="C53" s="17" t="s">
        <v>123</v>
      </c>
      <c r="D53" s="27" t="s">
        <v>44</v>
      </c>
      <c r="E53" s="28" t="s">
        <v>212</v>
      </c>
      <c r="F53" s="29"/>
      <c r="G53" s="30" t="s">
        <v>463</v>
      </c>
      <c r="H53" s="42">
        <v>0</v>
      </c>
      <c r="I53" s="42">
        <v>1</v>
      </c>
      <c r="J53" s="42">
        <v>2</v>
      </c>
      <c r="K53" s="42">
        <v>3</v>
      </c>
      <c r="L53" s="42">
        <v>3</v>
      </c>
      <c r="M53" s="42">
        <v>4</v>
      </c>
      <c r="N53" s="42">
        <v>4</v>
      </c>
      <c r="O53" s="42">
        <v>5</v>
      </c>
      <c r="P53" s="42">
        <v>5</v>
      </c>
      <c r="Q53" s="31" t="b">
        <v>0</v>
      </c>
      <c r="R53" s="31" t="b">
        <v>0</v>
      </c>
      <c r="S53" s="31" t="b">
        <v>0</v>
      </c>
      <c r="T53" s="31" t="b">
        <v>0</v>
      </c>
      <c r="U53" s="31" t="b">
        <v>0</v>
      </c>
      <c r="V53" s="23"/>
    </row>
    <row r="54" spans="3:22" ht="36" customHeight="1">
      <c r="C54" s="17" t="s">
        <v>124</v>
      </c>
      <c r="D54" s="14" t="s">
        <v>45</v>
      </c>
      <c r="E54" s="10" t="s">
        <v>213</v>
      </c>
      <c r="F54" s="11"/>
      <c r="G54" s="16" t="s">
        <v>464</v>
      </c>
      <c r="H54" s="21">
        <v>1</v>
      </c>
      <c r="I54" s="21">
        <v>2</v>
      </c>
      <c r="J54" s="21">
        <v>3</v>
      </c>
      <c r="K54" s="21">
        <v>4</v>
      </c>
      <c r="L54" s="21">
        <v>4</v>
      </c>
      <c r="M54" s="21">
        <v>5</v>
      </c>
      <c r="N54" s="21">
        <v>5</v>
      </c>
      <c r="O54" s="21">
        <v>5</v>
      </c>
      <c r="P54" s="21">
        <v>5</v>
      </c>
      <c r="Q54" s="22" t="b">
        <v>0</v>
      </c>
      <c r="R54" s="22" t="b">
        <v>0</v>
      </c>
      <c r="S54" s="22" t="b">
        <v>0</v>
      </c>
      <c r="T54" s="22" t="b">
        <v>0</v>
      </c>
      <c r="U54" s="22" t="b">
        <v>0</v>
      </c>
      <c r="V54" s="23"/>
    </row>
    <row r="55" spans="3:22" ht="36" customHeight="1">
      <c r="C55" s="17" t="s">
        <v>125</v>
      </c>
      <c r="D55" s="14" t="s">
        <v>45</v>
      </c>
      <c r="E55" s="10" t="s">
        <v>214</v>
      </c>
      <c r="F55" s="11"/>
      <c r="G55" s="16" t="s">
        <v>465</v>
      </c>
      <c r="H55" s="21">
        <v>1</v>
      </c>
      <c r="I55" s="21">
        <v>2</v>
      </c>
      <c r="J55" s="21">
        <v>3</v>
      </c>
      <c r="K55" s="21">
        <v>4</v>
      </c>
      <c r="L55" s="21">
        <v>4</v>
      </c>
      <c r="M55" s="21">
        <v>5</v>
      </c>
      <c r="N55" s="21">
        <v>5</v>
      </c>
      <c r="O55" s="21">
        <v>5</v>
      </c>
      <c r="P55" s="21">
        <v>5</v>
      </c>
      <c r="Q55" s="22" t="b">
        <v>0</v>
      </c>
      <c r="R55" s="22" t="b">
        <v>0</v>
      </c>
      <c r="S55" s="22" t="b">
        <v>0</v>
      </c>
      <c r="T55" s="22" t="b">
        <v>0</v>
      </c>
      <c r="U55" s="22" t="b">
        <v>0</v>
      </c>
      <c r="V55" s="23"/>
    </row>
    <row r="56" spans="3:22" ht="36" customHeight="1">
      <c r="C56" s="17" t="s">
        <v>126</v>
      </c>
      <c r="D56" s="14" t="s">
        <v>45</v>
      </c>
      <c r="E56" s="10" t="s">
        <v>215</v>
      </c>
      <c r="F56" s="11"/>
      <c r="G56" s="16" t="s">
        <v>466</v>
      </c>
      <c r="H56" s="21">
        <v>1</v>
      </c>
      <c r="I56" s="21">
        <v>2</v>
      </c>
      <c r="J56" s="21">
        <v>3</v>
      </c>
      <c r="K56" s="21">
        <v>4</v>
      </c>
      <c r="L56" s="21">
        <v>4</v>
      </c>
      <c r="M56" s="21">
        <v>5</v>
      </c>
      <c r="N56" s="21">
        <v>5</v>
      </c>
      <c r="O56" s="21">
        <v>5</v>
      </c>
      <c r="P56" s="21">
        <v>5</v>
      </c>
      <c r="Q56" s="22" t="b">
        <v>0</v>
      </c>
      <c r="R56" s="22" t="b">
        <v>0</v>
      </c>
      <c r="S56" s="22" t="b">
        <v>0</v>
      </c>
      <c r="T56" s="22" t="b">
        <v>0</v>
      </c>
      <c r="U56" s="22" t="b">
        <v>0</v>
      </c>
      <c r="V56" s="23"/>
    </row>
    <row r="57" spans="3:22" ht="36" customHeight="1">
      <c r="C57" s="17" t="s">
        <v>127</v>
      </c>
      <c r="D57" s="14" t="s">
        <v>45</v>
      </c>
      <c r="E57" s="10" t="s">
        <v>216</v>
      </c>
      <c r="F57" s="11"/>
      <c r="G57" s="16" t="s">
        <v>467</v>
      </c>
      <c r="H57" s="21">
        <v>1</v>
      </c>
      <c r="I57" s="21">
        <v>2</v>
      </c>
      <c r="J57" s="21">
        <v>3</v>
      </c>
      <c r="K57" s="21">
        <v>4</v>
      </c>
      <c r="L57" s="21">
        <v>4</v>
      </c>
      <c r="M57" s="21">
        <v>5</v>
      </c>
      <c r="N57" s="21">
        <v>5</v>
      </c>
      <c r="O57" s="21">
        <v>5</v>
      </c>
      <c r="P57" s="21">
        <v>5</v>
      </c>
      <c r="Q57" s="22" t="b">
        <v>0</v>
      </c>
      <c r="R57" s="22" t="b">
        <v>0</v>
      </c>
      <c r="S57" s="22" t="b">
        <v>0</v>
      </c>
      <c r="T57" s="22" t="b">
        <v>0</v>
      </c>
      <c r="U57" s="22" t="b">
        <v>0</v>
      </c>
      <c r="V57" s="23"/>
    </row>
    <row r="58" spans="3:22" ht="36" customHeight="1" thickBot="1">
      <c r="C58" s="17" t="s">
        <v>128</v>
      </c>
      <c r="D58" s="27" t="s">
        <v>45</v>
      </c>
      <c r="E58" s="28" t="s">
        <v>217</v>
      </c>
      <c r="F58" s="29"/>
      <c r="G58" s="30" t="s">
        <v>468</v>
      </c>
      <c r="H58" s="42">
        <v>1</v>
      </c>
      <c r="I58" s="42">
        <v>2</v>
      </c>
      <c r="J58" s="42">
        <v>3</v>
      </c>
      <c r="K58" s="42">
        <v>4</v>
      </c>
      <c r="L58" s="42">
        <v>4</v>
      </c>
      <c r="M58" s="42">
        <v>5</v>
      </c>
      <c r="N58" s="42">
        <v>5</v>
      </c>
      <c r="O58" s="42">
        <v>5</v>
      </c>
      <c r="P58" s="42">
        <v>5</v>
      </c>
      <c r="Q58" s="31" t="b">
        <v>0</v>
      </c>
      <c r="R58" s="31" t="b">
        <v>0</v>
      </c>
      <c r="S58" s="31" t="b">
        <v>0</v>
      </c>
      <c r="T58" s="31" t="b">
        <v>0</v>
      </c>
      <c r="U58" s="31" t="b">
        <v>0</v>
      </c>
      <c r="V58" s="23"/>
    </row>
    <row r="59" spans="3:22" ht="36" customHeight="1">
      <c r="C59" s="17" t="s">
        <v>129</v>
      </c>
      <c r="D59" s="14" t="s">
        <v>46</v>
      </c>
      <c r="E59" s="14" t="s">
        <v>218</v>
      </c>
      <c r="F59" s="11"/>
      <c r="G59" s="16" t="s">
        <v>469</v>
      </c>
      <c r="H59" s="21">
        <v>1</v>
      </c>
      <c r="I59" s="21">
        <v>2</v>
      </c>
      <c r="J59" s="21">
        <v>3</v>
      </c>
      <c r="K59" s="21">
        <v>3</v>
      </c>
      <c r="L59" s="21">
        <v>3</v>
      </c>
      <c r="M59" s="21">
        <v>4</v>
      </c>
      <c r="N59" s="21">
        <v>4</v>
      </c>
      <c r="O59" s="21">
        <v>5</v>
      </c>
      <c r="P59" s="21">
        <v>5</v>
      </c>
      <c r="Q59" s="22" t="b">
        <v>0</v>
      </c>
      <c r="R59" s="22" t="b">
        <v>0</v>
      </c>
      <c r="S59" s="22" t="b">
        <v>0</v>
      </c>
      <c r="T59" s="22" t="b">
        <v>0</v>
      </c>
      <c r="U59" s="22" t="b">
        <v>0</v>
      </c>
      <c r="V59" s="23"/>
    </row>
    <row r="60" spans="3:22" ht="36" customHeight="1">
      <c r="C60" s="17" t="s">
        <v>130</v>
      </c>
      <c r="D60" s="14" t="s">
        <v>46</v>
      </c>
      <c r="E60" s="14" t="s">
        <v>219</v>
      </c>
      <c r="F60" s="11"/>
      <c r="G60" s="16" t="s">
        <v>470</v>
      </c>
      <c r="H60" s="21">
        <v>1</v>
      </c>
      <c r="I60" s="21">
        <v>2</v>
      </c>
      <c r="J60" s="21">
        <v>3</v>
      </c>
      <c r="K60" s="21">
        <v>3</v>
      </c>
      <c r="L60" s="21">
        <v>3</v>
      </c>
      <c r="M60" s="21">
        <v>4</v>
      </c>
      <c r="N60" s="21">
        <v>4</v>
      </c>
      <c r="O60" s="21">
        <v>5</v>
      </c>
      <c r="P60" s="21">
        <v>5</v>
      </c>
      <c r="Q60" s="22" t="b">
        <v>0</v>
      </c>
      <c r="R60" s="22" t="b">
        <v>0</v>
      </c>
      <c r="S60" s="22" t="b">
        <v>0</v>
      </c>
      <c r="T60" s="22" t="b">
        <v>0</v>
      </c>
      <c r="U60" s="22" t="b">
        <v>0</v>
      </c>
      <c r="V60" s="23"/>
    </row>
    <row r="61" spans="3:22" ht="36" customHeight="1">
      <c r="C61" s="17" t="s">
        <v>131</v>
      </c>
      <c r="D61" s="14" t="s">
        <v>46</v>
      </c>
      <c r="E61" s="10" t="s">
        <v>220</v>
      </c>
      <c r="F61" s="11"/>
      <c r="G61" s="16" t="s">
        <v>471</v>
      </c>
      <c r="H61" s="21">
        <v>1</v>
      </c>
      <c r="I61" s="21">
        <v>2</v>
      </c>
      <c r="J61" s="21">
        <v>3</v>
      </c>
      <c r="K61" s="21">
        <v>3</v>
      </c>
      <c r="L61" s="21">
        <v>3</v>
      </c>
      <c r="M61" s="21">
        <v>4</v>
      </c>
      <c r="N61" s="21">
        <v>4</v>
      </c>
      <c r="O61" s="21">
        <v>5</v>
      </c>
      <c r="P61" s="21">
        <v>5</v>
      </c>
      <c r="Q61" s="22" t="b">
        <v>0</v>
      </c>
      <c r="R61" s="22" t="b">
        <v>0</v>
      </c>
      <c r="S61" s="22" t="b">
        <v>0</v>
      </c>
      <c r="T61" s="22" t="b">
        <v>0</v>
      </c>
      <c r="U61" s="22" t="b">
        <v>0</v>
      </c>
      <c r="V61" s="23"/>
    </row>
    <row r="62" spans="3:22" ht="36" customHeight="1">
      <c r="C62" s="17" t="s">
        <v>132</v>
      </c>
      <c r="D62" s="14" t="s">
        <v>46</v>
      </c>
      <c r="E62" s="14" t="s">
        <v>221</v>
      </c>
      <c r="F62" s="11"/>
      <c r="G62" s="16" t="s">
        <v>472</v>
      </c>
      <c r="H62" s="21">
        <v>1</v>
      </c>
      <c r="I62" s="21">
        <v>2</v>
      </c>
      <c r="J62" s="21">
        <v>3</v>
      </c>
      <c r="K62" s="21">
        <v>3</v>
      </c>
      <c r="L62" s="21">
        <v>2</v>
      </c>
      <c r="M62" s="21">
        <v>4</v>
      </c>
      <c r="N62" s="21">
        <v>3</v>
      </c>
      <c r="O62" s="21">
        <v>5</v>
      </c>
      <c r="P62" s="21">
        <v>4</v>
      </c>
      <c r="Q62" s="22" t="b">
        <v>0</v>
      </c>
      <c r="R62" s="22" t="b">
        <v>0</v>
      </c>
      <c r="S62" s="22" t="b">
        <v>0</v>
      </c>
      <c r="T62" s="22" t="b">
        <v>0</v>
      </c>
      <c r="U62" s="22" t="b">
        <v>0</v>
      </c>
      <c r="V62" s="23"/>
    </row>
    <row r="63" spans="3:22" ht="36" customHeight="1" thickBot="1">
      <c r="C63" s="17" t="s">
        <v>133</v>
      </c>
      <c r="D63" s="27" t="s">
        <v>46</v>
      </c>
      <c r="E63" s="28" t="s">
        <v>222</v>
      </c>
      <c r="F63" s="29"/>
      <c r="G63" s="30" t="s">
        <v>473</v>
      </c>
      <c r="H63" s="42">
        <v>1</v>
      </c>
      <c r="I63" s="42">
        <v>2</v>
      </c>
      <c r="J63" s="42">
        <v>3</v>
      </c>
      <c r="K63" s="42">
        <v>4</v>
      </c>
      <c r="L63" s="42">
        <v>2</v>
      </c>
      <c r="M63" s="42">
        <v>3</v>
      </c>
      <c r="N63" s="42">
        <v>3</v>
      </c>
      <c r="O63" s="42">
        <v>4</v>
      </c>
      <c r="P63" s="42">
        <v>4</v>
      </c>
      <c r="Q63" s="31" t="b">
        <v>0</v>
      </c>
      <c r="R63" s="31" t="b">
        <v>0</v>
      </c>
      <c r="S63" s="31" t="b">
        <v>0</v>
      </c>
      <c r="T63" s="31" t="b">
        <v>0</v>
      </c>
      <c r="U63" s="31" t="b">
        <v>0</v>
      </c>
      <c r="V63" s="23"/>
    </row>
    <row r="64" spans="3:22" ht="36" customHeight="1">
      <c r="C64" s="17" t="s">
        <v>134</v>
      </c>
      <c r="D64" s="14" t="s">
        <v>47</v>
      </c>
      <c r="E64" s="14" t="s">
        <v>223</v>
      </c>
      <c r="F64" s="11"/>
      <c r="G64" s="16" t="s">
        <v>474</v>
      </c>
      <c r="H64" s="21">
        <v>1</v>
      </c>
      <c r="I64" s="21">
        <v>2</v>
      </c>
      <c r="J64" s="21">
        <v>2</v>
      </c>
      <c r="K64" s="21">
        <v>3</v>
      </c>
      <c r="L64" s="21">
        <v>3</v>
      </c>
      <c r="M64" s="21">
        <v>4</v>
      </c>
      <c r="N64" s="21">
        <v>4</v>
      </c>
      <c r="O64" s="21">
        <v>5</v>
      </c>
      <c r="P64" s="21">
        <v>5</v>
      </c>
      <c r="Q64" s="22" t="b">
        <v>0</v>
      </c>
      <c r="R64" s="22" t="b">
        <v>0</v>
      </c>
      <c r="S64" s="22" t="b">
        <v>0</v>
      </c>
      <c r="T64" s="22" t="b">
        <v>0</v>
      </c>
      <c r="U64" s="22" t="b">
        <v>0</v>
      </c>
      <c r="V64" s="23"/>
    </row>
    <row r="65" spans="3:22" ht="36" customHeight="1">
      <c r="C65" s="17" t="s">
        <v>135</v>
      </c>
      <c r="D65" s="14" t="s">
        <v>47</v>
      </c>
      <c r="E65" s="10" t="s">
        <v>224</v>
      </c>
      <c r="F65" s="11"/>
      <c r="G65" s="16" t="s">
        <v>475</v>
      </c>
      <c r="H65" s="21">
        <v>1</v>
      </c>
      <c r="I65" s="21">
        <v>2</v>
      </c>
      <c r="J65" s="21">
        <v>2</v>
      </c>
      <c r="K65" s="21">
        <v>3</v>
      </c>
      <c r="L65" s="21">
        <v>3</v>
      </c>
      <c r="M65" s="21">
        <v>4</v>
      </c>
      <c r="N65" s="21">
        <v>4</v>
      </c>
      <c r="O65" s="21">
        <v>5</v>
      </c>
      <c r="P65" s="21">
        <v>5</v>
      </c>
      <c r="Q65" s="22" t="b">
        <v>0</v>
      </c>
      <c r="R65" s="22" t="b">
        <v>0</v>
      </c>
      <c r="S65" s="22" t="b">
        <v>0</v>
      </c>
      <c r="T65" s="22" t="b">
        <v>0</v>
      </c>
      <c r="U65" s="22" t="b">
        <v>0</v>
      </c>
      <c r="V65" s="23"/>
    </row>
    <row r="66" spans="3:22" ht="36" customHeight="1">
      <c r="C66" s="17" t="s">
        <v>136</v>
      </c>
      <c r="D66" s="14" t="s">
        <v>47</v>
      </c>
      <c r="E66" s="10" t="s">
        <v>225</v>
      </c>
      <c r="F66" s="11"/>
      <c r="G66" s="16" t="s">
        <v>476</v>
      </c>
      <c r="H66" s="21">
        <v>1</v>
      </c>
      <c r="I66" s="21">
        <v>2</v>
      </c>
      <c r="J66" s="21">
        <v>2</v>
      </c>
      <c r="K66" s="21">
        <v>3</v>
      </c>
      <c r="L66" s="21">
        <v>3</v>
      </c>
      <c r="M66" s="21">
        <v>4</v>
      </c>
      <c r="N66" s="21">
        <v>4</v>
      </c>
      <c r="O66" s="21">
        <v>5</v>
      </c>
      <c r="P66" s="21">
        <v>5</v>
      </c>
      <c r="Q66" s="22" t="b">
        <v>0</v>
      </c>
      <c r="R66" s="22" t="b">
        <v>0</v>
      </c>
      <c r="S66" s="22" t="b">
        <v>0</v>
      </c>
      <c r="T66" s="22" t="b">
        <v>0</v>
      </c>
      <c r="U66" s="22" t="b">
        <v>0</v>
      </c>
      <c r="V66" s="23"/>
    </row>
    <row r="67" spans="3:22" ht="36" customHeight="1">
      <c r="C67" s="17" t="s">
        <v>137</v>
      </c>
      <c r="D67" s="14" t="s">
        <v>47</v>
      </c>
      <c r="E67" s="10" t="s">
        <v>226</v>
      </c>
      <c r="F67" s="11"/>
      <c r="G67" s="16" t="s">
        <v>477</v>
      </c>
      <c r="H67" s="21">
        <v>1</v>
      </c>
      <c r="I67" s="21">
        <v>2</v>
      </c>
      <c r="J67" s="21">
        <v>2</v>
      </c>
      <c r="K67" s="21">
        <v>3</v>
      </c>
      <c r="L67" s="21">
        <v>3</v>
      </c>
      <c r="M67" s="21">
        <v>4</v>
      </c>
      <c r="N67" s="21">
        <v>4</v>
      </c>
      <c r="O67" s="21">
        <v>5</v>
      </c>
      <c r="P67" s="21">
        <v>5</v>
      </c>
      <c r="Q67" s="22" t="b">
        <v>0</v>
      </c>
      <c r="R67" s="22" t="b">
        <v>0</v>
      </c>
      <c r="S67" s="22" t="b">
        <v>0</v>
      </c>
      <c r="T67" s="22" t="b">
        <v>0</v>
      </c>
      <c r="U67" s="22" t="b">
        <v>0</v>
      </c>
      <c r="V67" s="23"/>
    </row>
    <row r="68" spans="3:22" ht="36" customHeight="1" thickBot="1">
      <c r="C68" s="17" t="s">
        <v>138</v>
      </c>
      <c r="D68" s="27" t="s">
        <v>47</v>
      </c>
      <c r="E68" s="28" t="s">
        <v>227</v>
      </c>
      <c r="F68" s="29"/>
      <c r="G68" s="30" t="s">
        <v>478</v>
      </c>
      <c r="H68" s="42">
        <v>1</v>
      </c>
      <c r="I68" s="42">
        <v>2</v>
      </c>
      <c r="J68" s="42">
        <v>2</v>
      </c>
      <c r="K68" s="42">
        <v>3</v>
      </c>
      <c r="L68" s="42">
        <v>3</v>
      </c>
      <c r="M68" s="42">
        <v>4</v>
      </c>
      <c r="N68" s="42">
        <v>4</v>
      </c>
      <c r="O68" s="42">
        <v>5</v>
      </c>
      <c r="P68" s="42">
        <v>5</v>
      </c>
      <c r="Q68" s="31" t="b">
        <v>0</v>
      </c>
      <c r="R68" s="31" t="b">
        <v>0</v>
      </c>
      <c r="S68" s="31" t="b">
        <v>0</v>
      </c>
      <c r="T68" s="31" t="b">
        <v>0</v>
      </c>
      <c r="U68" s="31" t="b">
        <v>0</v>
      </c>
      <c r="V68" s="23"/>
    </row>
    <row r="69" spans="3:22" ht="36" customHeight="1">
      <c r="C69" s="17" t="s">
        <v>139</v>
      </c>
      <c r="D69" s="14" t="s">
        <v>42</v>
      </c>
      <c r="E69" s="14" t="s">
        <v>228</v>
      </c>
      <c r="F69" s="11"/>
      <c r="G69" s="16" t="s">
        <v>479</v>
      </c>
      <c r="H69" s="21">
        <v>1</v>
      </c>
      <c r="I69" s="21">
        <v>2</v>
      </c>
      <c r="J69" s="21">
        <v>2</v>
      </c>
      <c r="K69" s="21">
        <v>3</v>
      </c>
      <c r="L69" s="21">
        <v>3</v>
      </c>
      <c r="M69" s="21">
        <v>4</v>
      </c>
      <c r="N69" s="21">
        <v>4</v>
      </c>
      <c r="O69" s="21">
        <v>5</v>
      </c>
      <c r="P69" s="21">
        <v>5</v>
      </c>
      <c r="Q69" s="22" t="b">
        <v>0</v>
      </c>
      <c r="R69" s="22" t="b">
        <v>0</v>
      </c>
      <c r="S69" s="22" t="b">
        <v>0</v>
      </c>
      <c r="T69" s="22" t="b">
        <v>0</v>
      </c>
      <c r="U69" s="22" t="b">
        <v>0</v>
      </c>
      <c r="V69" s="23"/>
    </row>
    <row r="70" spans="3:22" ht="36" customHeight="1">
      <c r="C70" s="17" t="s">
        <v>140</v>
      </c>
      <c r="D70" s="14" t="s">
        <v>42</v>
      </c>
      <c r="E70" s="10" t="s">
        <v>229</v>
      </c>
      <c r="G70" s="16" t="s">
        <v>480</v>
      </c>
      <c r="H70" s="21">
        <v>1</v>
      </c>
      <c r="I70" s="21">
        <v>2</v>
      </c>
      <c r="J70" s="21">
        <v>2</v>
      </c>
      <c r="K70" s="21">
        <v>3</v>
      </c>
      <c r="L70" s="21">
        <v>3</v>
      </c>
      <c r="M70" s="21">
        <v>4</v>
      </c>
      <c r="N70" s="21">
        <v>4</v>
      </c>
      <c r="O70" s="21">
        <v>5</v>
      </c>
      <c r="P70" s="21">
        <v>5</v>
      </c>
      <c r="Q70" s="22" t="b">
        <v>0</v>
      </c>
      <c r="R70" s="22" t="b">
        <v>0</v>
      </c>
      <c r="S70" s="22" t="b">
        <v>0</v>
      </c>
      <c r="T70" s="22" t="b">
        <v>0</v>
      </c>
      <c r="U70" s="22" t="b">
        <v>0</v>
      </c>
      <c r="V70" s="23"/>
    </row>
    <row r="71" spans="3:22" ht="36" customHeight="1">
      <c r="C71" s="17" t="s">
        <v>141</v>
      </c>
      <c r="D71" s="14" t="s">
        <v>42</v>
      </c>
      <c r="E71" s="10" t="s">
        <v>230</v>
      </c>
      <c r="G71" s="16" t="s">
        <v>481</v>
      </c>
      <c r="H71" s="21">
        <v>1</v>
      </c>
      <c r="I71" s="21">
        <v>2</v>
      </c>
      <c r="J71" s="21">
        <v>2</v>
      </c>
      <c r="K71" s="21">
        <v>3</v>
      </c>
      <c r="L71" s="21">
        <v>3</v>
      </c>
      <c r="M71" s="21">
        <v>4</v>
      </c>
      <c r="N71" s="21">
        <v>4</v>
      </c>
      <c r="O71" s="21">
        <v>5</v>
      </c>
      <c r="P71" s="21">
        <v>5</v>
      </c>
      <c r="Q71" s="22" t="b">
        <v>0</v>
      </c>
      <c r="R71" s="22" t="b">
        <v>0</v>
      </c>
      <c r="S71" s="22" t="b">
        <v>0</v>
      </c>
      <c r="T71" s="22" t="b">
        <v>0</v>
      </c>
      <c r="U71" s="22" t="b">
        <v>0</v>
      </c>
      <c r="V71" s="23"/>
    </row>
    <row r="72" spans="3:22" ht="36" customHeight="1">
      <c r="C72" s="17" t="s">
        <v>142</v>
      </c>
      <c r="D72" s="14" t="s">
        <v>42</v>
      </c>
      <c r="E72" s="10" t="s">
        <v>231</v>
      </c>
      <c r="G72" s="16" t="s">
        <v>482</v>
      </c>
      <c r="H72" s="21">
        <v>1</v>
      </c>
      <c r="I72" s="21">
        <v>2</v>
      </c>
      <c r="J72" s="21">
        <v>2</v>
      </c>
      <c r="K72" s="21">
        <v>3</v>
      </c>
      <c r="L72" s="21">
        <v>3</v>
      </c>
      <c r="M72" s="21">
        <v>4</v>
      </c>
      <c r="N72" s="21">
        <v>4</v>
      </c>
      <c r="O72" s="21">
        <v>5</v>
      </c>
      <c r="P72" s="21">
        <v>5</v>
      </c>
      <c r="Q72" s="22" t="b">
        <v>0</v>
      </c>
      <c r="R72" s="22" t="b">
        <v>0</v>
      </c>
      <c r="S72" s="22" t="b">
        <v>0</v>
      </c>
      <c r="T72" s="22" t="b">
        <v>0</v>
      </c>
      <c r="U72" s="22" t="b">
        <v>0</v>
      </c>
      <c r="V72" s="23"/>
    </row>
    <row r="73" spans="3:22" ht="36" customHeight="1" thickBot="1">
      <c r="C73" s="17" t="s">
        <v>143</v>
      </c>
      <c r="D73" s="27" t="s">
        <v>42</v>
      </c>
      <c r="E73" s="28" t="s">
        <v>232</v>
      </c>
      <c r="F73" s="30"/>
      <c r="G73" s="30" t="s">
        <v>483</v>
      </c>
      <c r="H73" s="42">
        <v>1</v>
      </c>
      <c r="I73" s="42">
        <v>2</v>
      </c>
      <c r="J73" s="42">
        <v>2</v>
      </c>
      <c r="K73" s="42">
        <v>3</v>
      </c>
      <c r="L73" s="42">
        <v>3</v>
      </c>
      <c r="M73" s="42">
        <v>4</v>
      </c>
      <c r="N73" s="42">
        <v>4</v>
      </c>
      <c r="O73" s="42">
        <v>5</v>
      </c>
      <c r="P73" s="42">
        <v>5</v>
      </c>
      <c r="Q73" s="31" t="b">
        <v>0</v>
      </c>
      <c r="R73" s="31" t="b">
        <v>0</v>
      </c>
      <c r="S73" s="31" t="b">
        <v>0</v>
      </c>
      <c r="T73" s="31" t="b">
        <v>0</v>
      </c>
      <c r="U73" s="31" t="b">
        <v>0</v>
      </c>
      <c r="V73" s="23"/>
    </row>
    <row r="74" spans="3:22" ht="36" customHeight="1">
      <c r="C74" s="17" t="s">
        <v>144</v>
      </c>
      <c r="D74" s="14" t="s">
        <v>43</v>
      </c>
      <c r="E74" s="14" t="s">
        <v>484</v>
      </c>
      <c r="G74" s="16" t="s">
        <v>485</v>
      </c>
      <c r="H74" s="21">
        <v>1</v>
      </c>
      <c r="I74" s="21">
        <v>1</v>
      </c>
      <c r="J74" s="21">
        <v>2</v>
      </c>
      <c r="K74" s="21">
        <v>4</v>
      </c>
      <c r="L74" s="21">
        <v>3</v>
      </c>
      <c r="M74" s="21">
        <v>4</v>
      </c>
      <c r="N74" s="21">
        <v>3</v>
      </c>
      <c r="O74" s="21">
        <v>5</v>
      </c>
      <c r="P74" s="21">
        <v>3</v>
      </c>
      <c r="Q74" s="22" t="b">
        <v>0</v>
      </c>
      <c r="R74" s="22" t="b">
        <v>0</v>
      </c>
      <c r="S74" s="22" t="b">
        <v>0</v>
      </c>
      <c r="T74" s="22" t="b">
        <v>0</v>
      </c>
      <c r="U74" s="22" t="b">
        <v>0</v>
      </c>
      <c r="V74" s="23"/>
    </row>
    <row r="75" spans="3:22" ht="36" customHeight="1">
      <c r="C75" s="17" t="s">
        <v>145</v>
      </c>
      <c r="D75" s="14" t="s">
        <v>43</v>
      </c>
      <c r="E75" s="14" t="s">
        <v>486</v>
      </c>
      <c r="G75" s="16" t="s">
        <v>487</v>
      </c>
      <c r="H75" s="21">
        <v>1</v>
      </c>
      <c r="I75" s="21">
        <v>1</v>
      </c>
      <c r="J75" s="21">
        <v>2</v>
      </c>
      <c r="K75" s="21">
        <v>4</v>
      </c>
      <c r="L75" s="21">
        <v>3</v>
      </c>
      <c r="M75" s="21">
        <v>4</v>
      </c>
      <c r="N75" s="21">
        <v>3</v>
      </c>
      <c r="O75" s="21">
        <v>5</v>
      </c>
      <c r="P75" s="21">
        <v>3</v>
      </c>
      <c r="Q75" s="22" t="b">
        <v>0</v>
      </c>
      <c r="R75" s="22" t="b">
        <v>0</v>
      </c>
      <c r="S75" s="22" t="b">
        <v>0</v>
      </c>
      <c r="T75" s="22" t="b">
        <v>0</v>
      </c>
      <c r="U75" s="22" t="b">
        <v>0</v>
      </c>
      <c r="V75" s="23"/>
    </row>
    <row r="76" spans="3:22" ht="36" customHeight="1">
      <c r="C76" s="17" t="s">
        <v>146</v>
      </c>
      <c r="D76" s="14" t="s">
        <v>43</v>
      </c>
      <c r="E76" s="14" t="s">
        <v>488</v>
      </c>
      <c r="G76" s="16" t="s">
        <v>489</v>
      </c>
      <c r="H76" s="21">
        <v>1</v>
      </c>
      <c r="I76" s="21">
        <v>1</v>
      </c>
      <c r="J76" s="21">
        <v>2</v>
      </c>
      <c r="K76" s="21">
        <v>3</v>
      </c>
      <c r="L76" s="21">
        <v>3</v>
      </c>
      <c r="M76" s="21">
        <v>4</v>
      </c>
      <c r="N76" s="21">
        <v>3</v>
      </c>
      <c r="O76" s="21">
        <v>5</v>
      </c>
      <c r="P76" s="21">
        <v>3</v>
      </c>
      <c r="Q76" s="22" t="b">
        <v>0</v>
      </c>
      <c r="R76" s="22" t="b">
        <v>0</v>
      </c>
      <c r="S76" s="22" t="b">
        <v>0</v>
      </c>
      <c r="T76" s="22" t="b">
        <v>0</v>
      </c>
      <c r="U76" s="22" t="b">
        <v>0</v>
      </c>
      <c r="V76" s="23"/>
    </row>
    <row r="77" spans="3:22" ht="36" customHeight="1">
      <c r="C77" s="17" t="s">
        <v>147</v>
      </c>
      <c r="D77" s="14" t="s">
        <v>43</v>
      </c>
      <c r="E77" s="14" t="s">
        <v>490</v>
      </c>
      <c r="G77" s="16" t="s">
        <v>491</v>
      </c>
      <c r="H77" s="21">
        <v>1</v>
      </c>
      <c r="I77" s="21">
        <v>1</v>
      </c>
      <c r="J77" s="21">
        <v>1</v>
      </c>
      <c r="K77" s="21">
        <v>2</v>
      </c>
      <c r="L77" s="21">
        <v>2</v>
      </c>
      <c r="M77" s="21">
        <v>2</v>
      </c>
      <c r="N77" s="21">
        <v>2</v>
      </c>
      <c r="O77" s="21">
        <v>2</v>
      </c>
      <c r="P77" s="21">
        <v>2</v>
      </c>
      <c r="Q77" s="22" t="b">
        <v>0</v>
      </c>
      <c r="R77" s="22" t="b">
        <v>0</v>
      </c>
      <c r="S77" s="22" t="b">
        <v>0</v>
      </c>
      <c r="T77" s="22" t="b">
        <v>0</v>
      </c>
      <c r="U77" s="22" t="b">
        <v>0</v>
      </c>
      <c r="V77" s="23"/>
    </row>
    <row r="78" spans="3:22" ht="36" customHeight="1" thickBot="1">
      <c r="C78" s="17" t="s">
        <v>148</v>
      </c>
      <c r="D78" s="27" t="s">
        <v>43</v>
      </c>
      <c r="E78" s="27" t="s">
        <v>492</v>
      </c>
      <c r="F78" s="30"/>
      <c r="G78" s="30" t="s">
        <v>493</v>
      </c>
      <c r="H78" s="42">
        <v>1</v>
      </c>
      <c r="I78" s="42">
        <v>1</v>
      </c>
      <c r="J78" s="42">
        <v>1</v>
      </c>
      <c r="K78" s="42">
        <v>2</v>
      </c>
      <c r="L78" s="42">
        <v>2</v>
      </c>
      <c r="M78" s="42">
        <v>2</v>
      </c>
      <c r="N78" s="42">
        <v>2</v>
      </c>
      <c r="O78" s="42">
        <v>2</v>
      </c>
      <c r="P78" s="42">
        <v>2</v>
      </c>
      <c r="Q78" s="31" t="b">
        <v>0</v>
      </c>
      <c r="R78" s="31" t="b">
        <v>0</v>
      </c>
      <c r="S78" s="31" t="b">
        <v>0</v>
      </c>
      <c r="T78" s="31" t="b">
        <v>0</v>
      </c>
      <c r="U78" s="31" t="b">
        <v>0</v>
      </c>
      <c r="V78" s="23"/>
    </row>
    <row r="79" spans="3:22" ht="36" customHeight="1">
      <c r="C79" s="17" t="s">
        <v>149</v>
      </c>
      <c r="D79" s="14" t="s">
        <v>48</v>
      </c>
      <c r="E79" s="14" t="s">
        <v>494</v>
      </c>
      <c r="G79" s="16" t="s">
        <v>495</v>
      </c>
      <c r="H79" s="21">
        <v>1</v>
      </c>
      <c r="I79" s="21">
        <v>1</v>
      </c>
      <c r="J79" s="21">
        <v>1</v>
      </c>
      <c r="K79" s="21">
        <v>2</v>
      </c>
      <c r="L79" s="21">
        <v>2</v>
      </c>
      <c r="M79" s="21">
        <v>3</v>
      </c>
      <c r="N79" s="21">
        <v>3</v>
      </c>
      <c r="O79" s="21">
        <v>3</v>
      </c>
      <c r="P79" s="21">
        <v>3</v>
      </c>
      <c r="Q79" s="22" t="b">
        <v>0</v>
      </c>
      <c r="R79" s="22" t="b">
        <v>0</v>
      </c>
      <c r="S79" s="22" t="b">
        <v>0</v>
      </c>
      <c r="T79" s="22" t="b">
        <v>0</v>
      </c>
      <c r="U79" s="22" t="b">
        <v>0</v>
      </c>
      <c r="V79" s="23"/>
    </row>
    <row r="80" spans="3:22" ht="36" customHeight="1">
      <c r="C80" s="17" t="s">
        <v>150</v>
      </c>
      <c r="D80" s="14" t="s">
        <v>48</v>
      </c>
      <c r="E80" s="14" t="s">
        <v>496</v>
      </c>
      <c r="G80" s="16" t="s">
        <v>497</v>
      </c>
      <c r="H80" s="21">
        <v>1</v>
      </c>
      <c r="I80" s="21">
        <v>1</v>
      </c>
      <c r="J80" s="21">
        <v>1</v>
      </c>
      <c r="K80" s="21">
        <v>2</v>
      </c>
      <c r="L80" s="21">
        <v>2</v>
      </c>
      <c r="M80" s="21">
        <v>2</v>
      </c>
      <c r="N80" s="21">
        <v>2</v>
      </c>
      <c r="O80" s="21">
        <v>2</v>
      </c>
      <c r="P80" s="21">
        <v>2</v>
      </c>
      <c r="Q80" s="22" t="b">
        <v>0</v>
      </c>
      <c r="R80" s="22" t="b">
        <v>0</v>
      </c>
      <c r="S80" s="22" t="b">
        <v>0</v>
      </c>
      <c r="T80" s="22" t="b">
        <v>0</v>
      </c>
      <c r="U80" s="22" t="b">
        <v>0</v>
      </c>
      <c r="V80" s="23"/>
    </row>
    <row r="81" spans="3:22" ht="36" customHeight="1">
      <c r="C81" s="17" t="s">
        <v>151</v>
      </c>
      <c r="D81" s="14" t="s">
        <v>48</v>
      </c>
      <c r="E81" s="14" t="s">
        <v>498</v>
      </c>
      <c r="G81" s="16" t="s">
        <v>499</v>
      </c>
      <c r="H81" s="21">
        <v>1</v>
      </c>
      <c r="I81" s="21">
        <v>2</v>
      </c>
      <c r="J81" s="21">
        <v>3</v>
      </c>
      <c r="K81" s="21">
        <v>3</v>
      </c>
      <c r="L81" s="21">
        <v>3</v>
      </c>
      <c r="M81" s="21">
        <v>4</v>
      </c>
      <c r="N81" s="21">
        <v>3</v>
      </c>
      <c r="O81" s="21">
        <v>5</v>
      </c>
      <c r="P81" s="21">
        <v>3</v>
      </c>
      <c r="Q81" s="22" t="b">
        <v>0</v>
      </c>
      <c r="R81" s="22" t="b">
        <v>0</v>
      </c>
      <c r="S81" s="22" t="b">
        <v>0</v>
      </c>
      <c r="T81" s="22" t="b">
        <v>0</v>
      </c>
      <c r="U81" s="22" t="b">
        <v>0</v>
      </c>
      <c r="V81" s="23"/>
    </row>
    <row r="82" spans="3:22" ht="36" customHeight="1">
      <c r="C82" s="17" t="s">
        <v>152</v>
      </c>
      <c r="D82" s="14" t="s">
        <v>48</v>
      </c>
      <c r="E82" s="14" t="s">
        <v>500</v>
      </c>
      <c r="G82" s="16" t="s">
        <v>501</v>
      </c>
      <c r="H82" s="21">
        <v>1</v>
      </c>
      <c r="I82" s="21">
        <v>1</v>
      </c>
      <c r="J82" s="21">
        <v>1</v>
      </c>
      <c r="K82" s="21">
        <v>1</v>
      </c>
      <c r="L82" s="21">
        <v>1</v>
      </c>
      <c r="M82" s="21">
        <v>1</v>
      </c>
      <c r="N82" s="21">
        <v>1</v>
      </c>
      <c r="O82" s="21">
        <v>1</v>
      </c>
      <c r="P82" s="21">
        <v>1</v>
      </c>
      <c r="Q82" s="22" t="b">
        <v>0</v>
      </c>
      <c r="R82" s="22" t="b">
        <v>0</v>
      </c>
      <c r="S82" s="22" t="b">
        <v>0</v>
      </c>
      <c r="T82" s="22" t="b">
        <v>0</v>
      </c>
      <c r="U82" s="22" t="b">
        <v>0</v>
      </c>
      <c r="V82" s="23"/>
    </row>
    <row r="83" spans="3:22" ht="36" customHeight="1">
      <c r="C83" s="17" t="s">
        <v>153</v>
      </c>
      <c r="D83" s="14" t="s">
        <v>48</v>
      </c>
      <c r="E83" s="14" t="s">
        <v>502</v>
      </c>
      <c r="G83" s="16" t="s">
        <v>503</v>
      </c>
      <c r="H83" s="21">
        <v>1</v>
      </c>
      <c r="I83" s="21">
        <v>1</v>
      </c>
      <c r="J83" s="21">
        <v>1</v>
      </c>
      <c r="K83" s="21">
        <v>1</v>
      </c>
      <c r="L83" s="21">
        <v>1</v>
      </c>
      <c r="M83" s="21">
        <v>1</v>
      </c>
      <c r="N83" s="21">
        <v>1</v>
      </c>
      <c r="O83" s="21">
        <v>1</v>
      </c>
      <c r="P83" s="21">
        <v>1</v>
      </c>
      <c r="Q83" s="22" t="b">
        <v>0</v>
      </c>
      <c r="R83" s="22" t="b">
        <v>0</v>
      </c>
      <c r="S83" s="22" t="b">
        <v>0</v>
      </c>
      <c r="T83" s="22" t="b">
        <v>0</v>
      </c>
      <c r="U83" s="22" t="b">
        <v>0</v>
      </c>
      <c r="V83" s="23"/>
    </row>
  </sheetData>
  <mergeCells count="3">
    <mergeCell ref="H1:P1"/>
    <mergeCell ref="H2:P2"/>
    <mergeCell ref="Q2:U2"/>
  </mergeCells>
  <phoneticPr fontId="1" type="noConversion"/>
  <conditionalFormatting sqref="C1:C3 C84:C1048576">
    <cfRule type="duplicateValues" dxfId="118" priority="6"/>
  </conditionalFormatting>
  <conditionalFormatting sqref="C4:C48">
    <cfRule type="duplicateValues" dxfId="117" priority="62"/>
  </conditionalFormatting>
  <conditionalFormatting sqref="E4:E83">
    <cfRule type="expression" dxfId="116" priority="4" stopIfTrue="1">
      <formula>LEN(E4)&gt;32</formula>
    </cfRule>
  </conditionalFormatting>
  <conditionalFormatting pivot="1" sqref="AD23:AL35">
    <cfRule type="dataBar" priority="2">
      <dataBar>
        <cfvo type="min"/>
        <cfvo type="max"/>
        <color theme="9" tint="0.79998168889431442"/>
      </dataBar>
      <extLst>
        <ext xmlns:x14="http://schemas.microsoft.com/office/spreadsheetml/2009/9/main" uri="{B025F937-C7B1-47D3-B67F-A62EFF666E3E}">
          <x14:id>{CE3CA0F3-AF81-324A-A2BA-6E17316BC28E}</x14:id>
        </ext>
      </extLst>
    </cfRule>
  </conditionalFormatting>
  <conditionalFormatting sqref="H4:P83">
    <cfRule type="colorScale" priority="87">
      <colorScale>
        <cfvo type="min"/>
        <cfvo type="percentile" val="50"/>
        <cfvo type="max"/>
        <color theme="7" tint="0.89999084444715716"/>
        <color theme="7" tint="0.499984740745262"/>
        <color theme="7" tint="9.9978637043366805E-2"/>
      </colorScale>
    </cfRule>
  </conditionalFormatting>
  <conditionalFormatting sqref="E1:E1048576">
    <cfRule type="duplicateValues" dxfId="115" priority="1"/>
  </conditionalFormatting>
  <pageMargins left="0.7" right="0.7" top="0.75" bottom="0.75" header="0.3" footer="0.3"/>
  <pageSetup paperSize="9" orientation="portrait" horizontalDpi="0" verticalDpi="0"/>
  <drawing r:id="rId3"/>
  <tableParts count="1">
    <tablePart r:id="rId4"/>
  </tableParts>
  <extLst>
    <ext xmlns:x14="http://schemas.microsoft.com/office/spreadsheetml/2009/9/main" uri="{78C0D931-6437-407d-A8EE-F0AAD7539E65}">
      <x14:conditionalFormattings>
        <x14:conditionalFormatting xmlns:xm="http://schemas.microsoft.com/office/excel/2006/main" pivot="1">
          <x14:cfRule type="dataBar" id="{CE3CA0F3-AF81-324A-A2BA-6E17316BC28E}">
            <x14:dataBar minLength="0" maxLength="100">
              <x14:cfvo type="autoMin"/>
              <x14:cfvo type="autoMax"/>
              <x14:negativeFillColor rgb="FFFF0000"/>
              <x14:axisColor rgb="FF000000"/>
            </x14:dataBar>
          </x14:cfRule>
          <xm:sqref>AD23:AL35</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0D1D7-1DCB-4EC4-8F3E-DF0A97F97054}">
  <sheetPr codeName="Sheet10"/>
  <dimension ref="A1:CJ33"/>
  <sheetViews>
    <sheetView zoomScale="62" zoomScaleNormal="62" workbookViewId="0">
      <selection activeCell="BM76" sqref="BM76"/>
    </sheetView>
  </sheetViews>
  <sheetFormatPr defaultColWidth="8.69921875" defaultRowHeight="15.95"/>
  <cols>
    <col min="2" max="2" width="10" customWidth="1"/>
    <col min="3" max="3" width="9.8984375" customWidth="1"/>
    <col min="5" max="5" width="10.69921875" customWidth="1"/>
    <col min="6" max="88" width="3" customWidth="1"/>
  </cols>
  <sheetData>
    <row r="1" spans="1:88" ht="41.45" customHeight="1"/>
    <row r="2" spans="1:88" ht="17.100000000000001" thickBot="1">
      <c r="A2" s="54" t="s">
        <v>75</v>
      </c>
      <c r="B2" s="54" t="s">
        <v>156</v>
      </c>
      <c r="C2" s="54" t="s">
        <v>157</v>
      </c>
      <c r="D2" s="54" t="s">
        <v>158</v>
      </c>
      <c r="E2" s="54" t="s">
        <v>159</v>
      </c>
      <c r="F2" s="54" t="s">
        <v>160</v>
      </c>
      <c r="G2" s="54" t="s">
        <v>161</v>
      </c>
      <c r="H2" s="55" t="s">
        <v>162</v>
      </c>
      <c r="I2" s="14" t="s">
        <v>76</v>
      </c>
      <c r="J2" s="14" t="s">
        <v>77</v>
      </c>
      <c r="K2" s="14" t="s">
        <v>78</v>
      </c>
      <c r="L2" s="14" t="s">
        <v>79</v>
      </c>
      <c r="M2" s="14" t="s">
        <v>80</v>
      </c>
      <c r="N2" s="14" t="s">
        <v>81</v>
      </c>
      <c r="O2" s="14" t="s">
        <v>82</v>
      </c>
      <c r="P2" s="14" t="s">
        <v>83</v>
      </c>
      <c r="Q2" s="14" t="s">
        <v>84</v>
      </c>
      <c r="R2" s="27" t="s">
        <v>85</v>
      </c>
      <c r="S2" s="17" t="s">
        <v>86</v>
      </c>
      <c r="T2" s="17" t="s">
        <v>87</v>
      </c>
      <c r="U2" s="17" t="s">
        <v>88</v>
      </c>
      <c r="V2" s="17" t="s">
        <v>89</v>
      </c>
      <c r="W2" s="17" t="s">
        <v>90</v>
      </c>
      <c r="X2" s="17" t="s">
        <v>91</v>
      </c>
      <c r="Y2" s="17" t="s">
        <v>92</v>
      </c>
      <c r="Z2" s="17" t="s">
        <v>93</v>
      </c>
      <c r="AA2" s="17" t="s">
        <v>94</v>
      </c>
      <c r="AB2" s="32" t="s">
        <v>95</v>
      </c>
      <c r="AC2" s="14" t="s">
        <v>96</v>
      </c>
      <c r="AD2" s="14" t="s">
        <v>31</v>
      </c>
      <c r="AE2" s="14" t="s">
        <v>30</v>
      </c>
      <c r="AF2" s="14" t="s">
        <v>97</v>
      </c>
      <c r="AG2" s="27" t="s">
        <v>98</v>
      </c>
      <c r="AH2" s="17" t="s">
        <v>99</v>
      </c>
      <c r="AI2" s="17" t="s">
        <v>100</v>
      </c>
      <c r="AJ2" s="17" t="s">
        <v>101</v>
      </c>
      <c r="AK2" s="17" t="s">
        <v>102</v>
      </c>
      <c r="AL2" s="32" t="s">
        <v>103</v>
      </c>
      <c r="AM2" s="13" t="s">
        <v>104</v>
      </c>
      <c r="AN2" s="13" t="s">
        <v>105</v>
      </c>
      <c r="AO2" s="13" t="s">
        <v>106</v>
      </c>
      <c r="AP2" s="13" t="s">
        <v>107</v>
      </c>
      <c r="AQ2" s="33" t="s">
        <v>108</v>
      </c>
      <c r="AR2" s="14" t="s">
        <v>109</v>
      </c>
      <c r="AS2" s="14" t="s">
        <v>110</v>
      </c>
      <c r="AT2" s="14" t="s">
        <v>111</v>
      </c>
      <c r="AU2" s="14" t="s">
        <v>112</v>
      </c>
      <c r="AV2" s="14" t="s">
        <v>113</v>
      </c>
      <c r="AW2" s="14" t="s">
        <v>114</v>
      </c>
      <c r="AX2" s="14" t="s">
        <v>115</v>
      </c>
      <c r="AY2" s="14" t="s">
        <v>116</v>
      </c>
      <c r="AZ2" s="14" t="s">
        <v>117</v>
      </c>
      <c r="BA2" s="27" t="s">
        <v>118</v>
      </c>
      <c r="BB2" s="17" t="s">
        <v>119</v>
      </c>
      <c r="BC2" s="17" t="s">
        <v>120</v>
      </c>
      <c r="BD2" s="17" t="s">
        <v>121</v>
      </c>
      <c r="BE2" s="17" t="s">
        <v>122</v>
      </c>
      <c r="BF2" s="17" t="s">
        <v>123</v>
      </c>
      <c r="BG2" s="17" t="s">
        <v>124</v>
      </c>
      <c r="BH2" s="17" t="s">
        <v>125</v>
      </c>
      <c r="BI2" s="17" t="s">
        <v>126</v>
      </c>
      <c r="BJ2" s="17" t="s">
        <v>127</v>
      </c>
      <c r="BK2" s="17" t="s">
        <v>128</v>
      </c>
      <c r="BL2" s="17" t="s">
        <v>129</v>
      </c>
      <c r="BM2" s="17" t="s">
        <v>130</v>
      </c>
      <c r="BN2" s="17" t="s">
        <v>131</v>
      </c>
      <c r="BO2" s="17" t="s">
        <v>132</v>
      </c>
      <c r="BP2" s="17" t="s">
        <v>133</v>
      </c>
      <c r="BQ2" s="17" t="s">
        <v>134</v>
      </c>
      <c r="BR2" s="17" t="s">
        <v>135</v>
      </c>
      <c r="BS2" s="17" t="s">
        <v>136</v>
      </c>
      <c r="BT2" s="17" t="s">
        <v>137</v>
      </c>
      <c r="BU2" s="17" t="s">
        <v>138</v>
      </c>
      <c r="BV2" s="17" t="s">
        <v>139</v>
      </c>
      <c r="BW2" s="17" t="s">
        <v>140</v>
      </c>
      <c r="BX2" s="17" t="s">
        <v>141</v>
      </c>
      <c r="BY2" s="17" t="s">
        <v>142</v>
      </c>
      <c r="BZ2" s="17" t="s">
        <v>143</v>
      </c>
      <c r="CA2" s="17" t="s">
        <v>144</v>
      </c>
      <c r="CB2" s="17" t="s">
        <v>145</v>
      </c>
      <c r="CC2" s="17" t="s">
        <v>146</v>
      </c>
      <c r="CD2" s="17" t="s">
        <v>147</v>
      </c>
      <c r="CE2" s="17" t="s">
        <v>148</v>
      </c>
      <c r="CF2" s="17" t="s">
        <v>149</v>
      </c>
      <c r="CG2" s="17" t="s">
        <v>150</v>
      </c>
      <c r="CH2" s="17" t="s">
        <v>151</v>
      </c>
      <c r="CI2" s="17" t="s">
        <v>152</v>
      </c>
      <c r="CJ2" s="17" t="s">
        <v>153</v>
      </c>
    </row>
    <row r="3" spans="1:88">
      <c r="A3" s="61" t="s">
        <v>255</v>
      </c>
      <c r="B3" s="56" t="s">
        <v>256</v>
      </c>
      <c r="C3" s="56" t="s">
        <v>257</v>
      </c>
      <c r="D3" s="56" t="s">
        <v>31</v>
      </c>
      <c r="E3" s="56" t="s">
        <v>345</v>
      </c>
      <c r="F3" s="57"/>
      <c r="G3" s="58"/>
      <c r="H3" s="59"/>
      <c r="I3" s="60" t="str" cm="1">
        <f t="array" aca="1" ref="I3"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3" s="60" t="str" cm="1">
        <f t="array" aca="1" ref="J3"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3" s="60" t="str" cm="1">
        <f t="array" aca="1" ref="K3"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3" s="60" t="str" cm="1">
        <f t="array" aca="1" ref="L3"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3" s="60" t="str" cm="1">
        <f t="array" aca="1" ref="M3"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3" s="60" t="str" cm="1">
        <f t="array" aca="1" ref="N3"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3" s="60" t="str" cm="1">
        <f t="array" aca="1" ref="O3"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3" s="60" t="str" cm="1">
        <f t="array" aca="1" ref="P3"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3" s="60" t="str" cm="1">
        <f t="array" aca="1" ref="Q3"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3" s="60" t="str" cm="1">
        <f t="array" aca="1" ref="R3"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3" s="60" t="str" cm="1">
        <f t="array" aca="1" ref="S3"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3" s="60" t="str" cm="1">
        <f t="array" aca="1" ref="T3"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3" s="60" t="str" cm="1">
        <f t="array" aca="1" ref="U3"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3" s="60" t="str" cm="1">
        <f t="array" aca="1" ref="V3"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3" s="60" t="str" cm="1">
        <f t="array" aca="1" ref="W3"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3" s="60" t="str" cm="1">
        <f t="array" aca="1" ref="X3"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3" s="60" t="str" cm="1">
        <f t="array" aca="1" ref="Y3"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3" s="60" t="str" cm="1">
        <f t="array" aca="1" ref="Z3"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3" s="60" t="str" cm="1">
        <f t="array" aca="1" ref="AA3"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3" s="60" t="str" cm="1">
        <f t="array" aca="1" ref="AB3"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3" s="60" t="str" cm="1">
        <f t="array" aca="1" ref="AC3"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3" s="60" t="str" cm="1">
        <f t="array" aca="1" ref="AD3"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3" s="60" t="str" cm="1">
        <f t="array" aca="1" ref="AE3"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3" s="60" t="str" cm="1">
        <f t="array" aca="1" ref="AF3"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3" s="60" t="str" cm="1">
        <f t="array" aca="1" ref="AG3"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3" s="60" t="str" cm="1">
        <f t="array" aca="1" ref="AH3"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3" s="60" t="str" cm="1">
        <f t="array" aca="1" ref="AI3"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3" s="60" t="str" cm="1">
        <f t="array" aca="1" ref="AJ3"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3" s="60" t="str" cm="1">
        <f t="array" aca="1" ref="AK3"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3" s="60" t="str" cm="1">
        <f t="array" aca="1" ref="AL3"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3" s="60" t="str" cm="1">
        <f t="array" aca="1" ref="AM3"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3" s="60" t="str" cm="1">
        <f t="array" aca="1" ref="AN3"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3" s="60" t="str" cm="1">
        <f t="array" aca="1" ref="AO3"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3" s="60" t="str" cm="1">
        <f t="array" aca="1" ref="AP3"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3" s="60" t="str" cm="1">
        <f t="array" aca="1" ref="AQ3"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3" s="60" t="str" cm="1">
        <f t="array" aca="1" ref="AR3"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3" s="60" t="str" cm="1">
        <f t="array" aca="1" ref="AS3"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3" s="60" t="str" cm="1">
        <f t="array" aca="1" ref="AT3"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3" s="60" t="str" cm="1">
        <f t="array" aca="1" ref="AU3"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3" s="60" t="str" cm="1">
        <f t="array" aca="1" ref="AV3"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3" s="60" t="str" cm="1">
        <f t="array" aca="1" ref="AW3"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3" s="60" t="str" cm="1">
        <f t="array" aca="1" ref="AX3"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3" s="60" t="str" cm="1">
        <f t="array" aca="1" ref="AY3"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3" s="60" t="str" cm="1">
        <f t="array" aca="1" ref="AZ3"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3" s="60" t="str" cm="1">
        <f t="array" aca="1" ref="BA3"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3" s="60" t="str" cm="1">
        <f t="array" aca="1" ref="BB3"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3" s="60" t="str" cm="1">
        <f t="array" aca="1" ref="BC3"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3" s="60" t="str" cm="1">
        <f t="array" aca="1" ref="BD3"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3" s="60" t="str" cm="1">
        <f t="array" aca="1" ref="BE3"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3" s="60" t="str" cm="1">
        <f t="array" aca="1" ref="BF3"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3" s="60" t="str" cm="1">
        <f t="array" aca="1" ref="BG3"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3" s="60" t="str" cm="1">
        <f t="array" aca="1" ref="BH3"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3" s="60" t="str" cm="1">
        <f t="array" aca="1" ref="BI3"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3" s="60" t="str" cm="1">
        <f t="array" aca="1" ref="BJ3"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3" s="60" t="str" cm="1">
        <f t="array" aca="1" ref="BK3"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3" s="60" t="str" cm="1">
        <f t="array" aca="1" ref="BL3"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3" s="60" t="str" cm="1">
        <f t="array" aca="1" ref="BM3"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3" s="60" t="str" cm="1">
        <f t="array" aca="1" ref="BN3"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3" s="60" t="str" cm="1">
        <f t="array" aca="1" ref="BO3"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3" s="60" t="str" cm="1">
        <f t="array" aca="1" ref="BP3"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3" s="60" t="str" cm="1">
        <f t="array" aca="1" ref="BQ3"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3" s="60" t="str" cm="1">
        <f t="array" aca="1" ref="BR3"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3" s="60" t="str" cm="1">
        <f t="array" aca="1" ref="BS3"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3" s="60" t="str" cm="1">
        <f t="array" aca="1" ref="BT3"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3" s="60" t="str" cm="1">
        <f t="array" aca="1" ref="BU3"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3" s="60" t="str" cm="1">
        <f t="array" aca="1" ref="BV3"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3" s="60" t="str" cm="1">
        <f t="array" aca="1" ref="BW3"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3" s="60" t="str" cm="1">
        <f t="array" aca="1" ref="BX3"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3" s="60" t="str" cm="1">
        <f t="array" aca="1" ref="BY3"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3" s="60" t="str" cm="1">
        <f t="array" aca="1" ref="BZ3"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3" s="60" t="str" cm="1">
        <f t="array" aca="1" ref="CA3"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3" s="60" t="str" cm="1">
        <f t="array" aca="1" ref="CB3"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3" s="60" t="str" cm="1">
        <f t="array" aca="1" ref="CC3"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3" s="60" t="str" cm="1">
        <f t="array" aca="1" ref="CD3"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3" s="60" t="str" cm="1">
        <f t="array" aca="1" ref="CE3"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3" s="60" t="str" cm="1">
        <f t="array" aca="1" ref="CF3"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3" s="60" t="str" cm="1">
        <f t="array" aca="1" ref="CG3"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3" s="60" t="str" cm="1">
        <f t="array" aca="1" ref="CH3"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3" s="60" t="str" cm="1">
        <f t="array" aca="1" ref="CI3"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3" s="60" t="str" cm="1">
        <f t="array" aca="1" ref="CJ3"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4" spans="1:88">
      <c r="A4" s="49" t="s">
        <v>275</v>
      </c>
      <c r="B4" s="44" t="s">
        <v>276</v>
      </c>
      <c r="C4" s="44" t="s">
        <v>277</v>
      </c>
      <c r="D4" s="44" t="s">
        <v>31</v>
      </c>
      <c r="E4" s="44" t="s">
        <v>345</v>
      </c>
      <c r="F4" s="45"/>
      <c r="G4" s="46"/>
      <c r="H4" s="47"/>
      <c r="I4" s="60" t="str" cm="1">
        <f t="array" aca="1" ref="I4"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4" s="60" t="str" cm="1">
        <f t="array" aca="1" ref="J4"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4" s="60" t="str" cm="1">
        <f t="array" aca="1" ref="K4"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4" s="60" t="str" cm="1">
        <f t="array" aca="1" ref="L4"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4" s="60" t="str" cm="1">
        <f t="array" aca="1" ref="M4"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4" s="60" t="str" cm="1">
        <f t="array" aca="1" ref="N4"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4" s="60" t="str" cm="1">
        <f t="array" aca="1" ref="O4"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4" s="60" t="str" cm="1">
        <f t="array" aca="1" ref="P4"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4" s="60" t="str" cm="1">
        <f t="array" aca="1" ref="Q4"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4" s="60" t="str" cm="1">
        <f t="array" aca="1" ref="R4"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4" s="60" t="str" cm="1">
        <f t="array" aca="1" ref="S4"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4" s="60" t="str" cm="1">
        <f t="array" aca="1" ref="T4"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4" s="60" t="str" cm="1">
        <f t="array" aca="1" ref="U4"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4" s="60" t="str" cm="1">
        <f t="array" aca="1" ref="V4"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4" s="60" t="str" cm="1">
        <f t="array" aca="1" ref="W4"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4" s="60" t="str" cm="1">
        <f t="array" aca="1" ref="X4"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4" s="60" t="str" cm="1">
        <f t="array" aca="1" ref="Y4"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4" s="60" t="str" cm="1">
        <f t="array" aca="1" ref="Z4"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4" s="60" t="str" cm="1">
        <f t="array" aca="1" ref="AA4"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4" s="60" t="str" cm="1">
        <f t="array" aca="1" ref="AB4"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4" s="60" t="str" cm="1">
        <f t="array" aca="1" ref="AC4"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4" s="60" t="str" cm="1">
        <f t="array" aca="1" ref="AD4"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4" s="60" t="str" cm="1">
        <f t="array" aca="1" ref="AE4"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4" s="60" t="str" cm="1">
        <f t="array" aca="1" ref="AF4"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4" s="60" t="str" cm="1">
        <f t="array" aca="1" ref="AG4"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4" s="60" t="str" cm="1">
        <f t="array" aca="1" ref="AH4"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4" s="60" t="str" cm="1">
        <f t="array" aca="1" ref="AI4"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4" s="60" t="str" cm="1">
        <f t="array" aca="1" ref="AJ4"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4" s="60" t="str" cm="1">
        <f t="array" aca="1" ref="AK4"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4" s="60" t="str" cm="1">
        <f t="array" aca="1" ref="AL4"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4" s="60" t="str" cm="1">
        <f t="array" aca="1" ref="AM4"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4" s="60" t="str" cm="1">
        <f t="array" aca="1" ref="AN4"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4" s="60" t="str" cm="1">
        <f t="array" aca="1" ref="AO4"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4" s="60" t="str" cm="1">
        <f t="array" aca="1" ref="AP4"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4" s="60" t="str" cm="1">
        <f t="array" aca="1" ref="AQ4"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4" s="60" t="str" cm="1">
        <f t="array" aca="1" ref="AR4"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4" s="60" t="str" cm="1">
        <f t="array" aca="1" ref="AS4"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4" s="60" t="str" cm="1">
        <f t="array" aca="1" ref="AT4"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4" s="60" t="str" cm="1">
        <f t="array" aca="1" ref="AU4"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4" s="60" t="str" cm="1">
        <f t="array" aca="1" ref="AV4"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4" s="60" t="str" cm="1">
        <f t="array" aca="1" ref="AW4"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4" s="60" t="str" cm="1">
        <f t="array" aca="1" ref="AX4"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4" s="60" t="str" cm="1">
        <f t="array" aca="1" ref="AY4"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4" s="60" t="str" cm="1">
        <f t="array" aca="1" ref="AZ4"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4" s="60" t="str" cm="1">
        <f t="array" aca="1" ref="BA4"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4" s="60" t="str" cm="1">
        <f t="array" aca="1" ref="BB4"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4" s="60" t="str" cm="1">
        <f t="array" aca="1" ref="BC4"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4" s="60" t="str" cm="1">
        <f t="array" aca="1" ref="BD4"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4" s="60" t="str" cm="1">
        <f t="array" aca="1" ref="BE4"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4" s="60" t="str" cm="1">
        <f t="array" aca="1" ref="BF4"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4" s="60" t="str" cm="1">
        <f t="array" aca="1" ref="BG4"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4" s="60" t="str" cm="1">
        <f t="array" aca="1" ref="BH4"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4" s="60" t="str" cm="1">
        <f t="array" aca="1" ref="BI4"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4" s="60" t="str" cm="1">
        <f t="array" aca="1" ref="BJ4"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4" s="60" t="str" cm="1">
        <f t="array" aca="1" ref="BK4"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4" s="60" t="str" cm="1">
        <f t="array" aca="1" ref="BL4"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4" s="60" t="str" cm="1">
        <f t="array" aca="1" ref="BM4"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4" s="60" t="str" cm="1">
        <f t="array" aca="1" ref="BN4"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4" s="60" t="str" cm="1">
        <f t="array" aca="1" ref="BO4"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4" s="60" t="str" cm="1">
        <f t="array" aca="1" ref="BP4"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4" s="60" t="str" cm="1">
        <f t="array" aca="1" ref="BQ4"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4" s="60" t="str" cm="1">
        <f t="array" aca="1" ref="BR4"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4" s="60" t="str" cm="1">
        <f t="array" aca="1" ref="BS4"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4" s="60" t="str" cm="1">
        <f t="array" aca="1" ref="BT4"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4" s="60" t="str" cm="1">
        <f t="array" aca="1" ref="BU4"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4" s="60" t="str" cm="1">
        <f t="array" aca="1" ref="BV4"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4" s="60" t="str" cm="1">
        <f t="array" aca="1" ref="BW4"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4" s="60" t="str" cm="1">
        <f t="array" aca="1" ref="BX4"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4" s="60" t="str" cm="1">
        <f t="array" aca="1" ref="BY4"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4" s="60" t="str" cm="1">
        <f t="array" aca="1" ref="BZ4"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4" s="60" t="str" cm="1">
        <f t="array" aca="1" ref="CA4"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4" s="60" t="str" cm="1">
        <f t="array" aca="1" ref="CB4"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4" s="60" t="str" cm="1">
        <f t="array" aca="1" ref="CC4"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4" s="60" t="str" cm="1">
        <f t="array" aca="1" ref="CD4"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4" s="60" t="str" cm="1">
        <f t="array" aca="1" ref="CE4"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4" s="60" t="str" cm="1">
        <f t="array" aca="1" ref="CF4"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4" s="60" t="str" cm="1">
        <f t="array" aca="1" ref="CG4"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4" s="60" t="str" cm="1">
        <f t="array" aca="1" ref="CH4"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4" s="60" t="str" cm="1">
        <f t="array" aca="1" ref="CI4"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4" s="60" t="str" cm="1">
        <f t="array" aca="1" ref="CJ4"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5" spans="1:88">
      <c r="A5" s="49" t="s">
        <v>260</v>
      </c>
      <c r="B5" s="44" t="s">
        <v>256</v>
      </c>
      <c r="C5" s="44" t="s">
        <v>261</v>
      </c>
      <c r="D5" s="44" t="s">
        <v>30</v>
      </c>
      <c r="E5" s="44" t="s">
        <v>345</v>
      </c>
      <c r="F5" s="45"/>
      <c r="G5" s="46"/>
      <c r="H5" s="47"/>
      <c r="I5" s="60" t="str" cm="1">
        <f t="array" aca="1" ref="I5"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5" s="60" t="str" cm="1">
        <f t="array" aca="1" ref="J5"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5" s="60" t="str" cm="1">
        <f t="array" aca="1" ref="K5"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5" s="60" t="str" cm="1">
        <f t="array" aca="1" ref="L5"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5" s="60" t="str" cm="1">
        <f t="array" aca="1" ref="M5"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5" s="60" t="str" cm="1">
        <f t="array" aca="1" ref="N5"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5" s="60" t="str" cm="1">
        <f t="array" aca="1" ref="O5"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5" s="60" t="str" cm="1">
        <f t="array" aca="1" ref="P5"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5" s="60" t="str" cm="1">
        <f t="array" aca="1" ref="Q5"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5" s="60" t="str" cm="1">
        <f t="array" aca="1" ref="R5"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5" s="60" t="str" cm="1">
        <f t="array" aca="1" ref="S5"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5" s="60" t="str" cm="1">
        <f t="array" aca="1" ref="T5"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5" s="60" t="str" cm="1">
        <f t="array" aca="1" ref="U5"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5" s="60" t="str" cm="1">
        <f t="array" aca="1" ref="V5"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5" s="60" t="str" cm="1">
        <f t="array" aca="1" ref="W5"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5" s="60" t="str" cm="1">
        <f t="array" aca="1" ref="X5"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5" s="60" t="str" cm="1">
        <f t="array" aca="1" ref="Y5"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5" s="60" t="str" cm="1">
        <f t="array" aca="1" ref="Z5"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5" s="60" t="str" cm="1">
        <f t="array" aca="1" ref="AA5"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5" s="60" t="str" cm="1">
        <f t="array" aca="1" ref="AB5"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5" s="60" t="str" cm="1">
        <f t="array" aca="1" ref="AC5"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5" s="60" t="str" cm="1">
        <f t="array" aca="1" ref="AD5"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5" s="60" t="str" cm="1">
        <f t="array" aca="1" ref="AE5"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5" s="60" t="str" cm="1">
        <f t="array" aca="1" ref="AF5"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5" s="60" t="str" cm="1">
        <f t="array" aca="1" ref="AG5"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5" s="60" t="str" cm="1">
        <f t="array" aca="1" ref="AH5"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5" s="60" t="str" cm="1">
        <f t="array" aca="1" ref="AI5"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5" s="60" t="str" cm="1">
        <f t="array" aca="1" ref="AJ5"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5" s="60" t="str" cm="1">
        <f t="array" aca="1" ref="AK5"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5" s="60" t="str" cm="1">
        <f t="array" aca="1" ref="AL5"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5" s="60" t="str" cm="1">
        <f t="array" aca="1" ref="AM5"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5" s="60" t="str" cm="1">
        <f t="array" aca="1" ref="AN5"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5" s="60" t="str" cm="1">
        <f t="array" aca="1" ref="AO5"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5" s="60" t="str" cm="1">
        <f t="array" aca="1" ref="AP5"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5" s="60" t="str" cm="1">
        <f t="array" aca="1" ref="AQ5"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5" s="60" t="str" cm="1">
        <f t="array" aca="1" ref="AR5"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5" s="60" t="str" cm="1">
        <f t="array" aca="1" ref="AS5"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5" s="60" t="str" cm="1">
        <f t="array" aca="1" ref="AT5"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5" s="60" t="str" cm="1">
        <f t="array" aca="1" ref="AU5"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5" s="60" t="str" cm="1">
        <f t="array" aca="1" ref="AV5"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5" s="60" t="str" cm="1">
        <f t="array" aca="1" ref="AW5"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5" s="60" t="str" cm="1">
        <f t="array" aca="1" ref="AX5"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5" s="60" t="str" cm="1">
        <f t="array" aca="1" ref="AY5"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5" s="60" t="str" cm="1">
        <f t="array" aca="1" ref="AZ5"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5" s="60" t="str" cm="1">
        <f t="array" aca="1" ref="BA5"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5" s="60" t="str" cm="1">
        <f t="array" aca="1" ref="BB5"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5" s="60" t="str" cm="1">
        <f t="array" aca="1" ref="BC5"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5" s="60" t="str" cm="1">
        <f t="array" aca="1" ref="BD5"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5" s="60" t="str" cm="1">
        <f t="array" aca="1" ref="BE5"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5" s="60" t="str" cm="1">
        <f t="array" aca="1" ref="BF5"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5" s="60" t="str" cm="1">
        <f t="array" aca="1" ref="BG5"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5" s="60" t="str" cm="1">
        <f t="array" aca="1" ref="BH5"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5" s="60" t="str" cm="1">
        <f t="array" aca="1" ref="BI5"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5" s="60" t="str" cm="1">
        <f t="array" aca="1" ref="BJ5"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5" s="60" t="str" cm="1">
        <f t="array" aca="1" ref="BK5"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5" s="60" t="str" cm="1">
        <f t="array" aca="1" ref="BL5"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5" s="60" t="str" cm="1">
        <f t="array" aca="1" ref="BM5"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5" s="60" t="str" cm="1">
        <f t="array" aca="1" ref="BN5"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5" s="60" t="str" cm="1">
        <f t="array" aca="1" ref="BO5"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5" s="60" t="str" cm="1">
        <f t="array" aca="1" ref="BP5"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5" s="60" t="str" cm="1">
        <f t="array" aca="1" ref="BQ5"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5" s="60" t="str" cm="1">
        <f t="array" aca="1" ref="BR5"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5" s="60" t="str" cm="1">
        <f t="array" aca="1" ref="BS5"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5" s="60" t="str" cm="1">
        <f t="array" aca="1" ref="BT5"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5" s="60" t="str" cm="1">
        <f t="array" aca="1" ref="BU5"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5" s="60" t="str" cm="1">
        <f t="array" aca="1" ref="BV5"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5" s="60" t="str" cm="1">
        <f t="array" aca="1" ref="BW5"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5" s="60" t="str" cm="1">
        <f t="array" aca="1" ref="BX5"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5" s="60" t="str" cm="1">
        <f t="array" aca="1" ref="BY5"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5" s="60" t="str" cm="1">
        <f t="array" aca="1" ref="BZ5"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5" s="60" t="str" cm="1">
        <f t="array" aca="1" ref="CA5"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5" s="60" t="str" cm="1">
        <f t="array" aca="1" ref="CB5"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5" s="60" t="str" cm="1">
        <f t="array" aca="1" ref="CC5"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5" s="60" t="str" cm="1">
        <f t="array" aca="1" ref="CD5"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5" s="60" t="str" cm="1">
        <f t="array" aca="1" ref="CE5"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5" s="60" t="str" cm="1">
        <f t="array" aca="1" ref="CF5"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5" s="60" t="str" cm="1">
        <f t="array" aca="1" ref="CG5"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5" s="60" t="str" cm="1">
        <f t="array" aca="1" ref="CH5"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5" s="60" t="str" cm="1">
        <f t="array" aca="1" ref="CI5"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5" s="60" t="str" cm="1">
        <f t="array" aca="1" ref="CJ5"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6" spans="1:88">
      <c r="A6" s="49" t="s">
        <v>289</v>
      </c>
      <c r="B6" s="44" t="s">
        <v>290</v>
      </c>
      <c r="C6" s="44" t="s">
        <v>291</v>
      </c>
      <c r="D6" s="44" t="s">
        <v>30</v>
      </c>
      <c r="E6" s="44" t="s">
        <v>345</v>
      </c>
      <c r="F6" s="45"/>
      <c r="G6" s="46"/>
      <c r="H6" s="47"/>
      <c r="I6" s="60" t="str" cm="1">
        <f t="array" aca="1" ref="I6"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6" s="60" t="str" cm="1">
        <f t="array" aca="1" ref="J6"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6" s="60" t="str" cm="1">
        <f t="array" aca="1" ref="K6"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6" s="60" t="str" cm="1">
        <f t="array" aca="1" ref="L6"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6" s="60" t="str" cm="1">
        <f t="array" aca="1" ref="M6"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6" s="60" t="str" cm="1">
        <f t="array" aca="1" ref="N6"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6" s="60" t="str" cm="1">
        <f t="array" aca="1" ref="O6"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6" s="60" t="str" cm="1">
        <f t="array" aca="1" ref="P6"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6" s="60" t="str" cm="1">
        <f t="array" aca="1" ref="Q6"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6" s="60" t="str" cm="1">
        <f t="array" aca="1" ref="R6"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6" s="60" t="str" cm="1">
        <f t="array" aca="1" ref="S6"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6" s="60" t="str" cm="1">
        <f t="array" aca="1" ref="T6"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6" s="60" t="str" cm="1">
        <f t="array" aca="1" ref="U6"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6" s="60" t="str" cm="1">
        <f t="array" aca="1" ref="V6"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6" s="60" t="str" cm="1">
        <f t="array" aca="1" ref="W6"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6" s="60" t="str" cm="1">
        <f t="array" aca="1" ref="X6"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6" s="60" t="str" cm="1">
        <f t="array" aca="1" ref="Y6"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6" s="60" t="str" cm="1">
        <f t="array" aca="1" ref="Z6"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6" s="60" t="str" cm="1">
        <f t="array" aca="1" ref="AA6"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6" s="60" t="str" cm="1">
        <f t="array" aca="1" ref="AB6"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6" s="60" t="str" cm="1">
        <f t="array" aca="1" ref="AC6"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6" s="60" t="str" cm="1">
        <f t="array" aca="1" ref="AD6"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6" s="60" t="str" cm="1">
        <f t="array" aca="1" ref="AE6"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6" s="60" t="str" cm="1">
        <f t="array" aca="1" ref="AF6"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6" s="60" t="str" cm="1">
        <f t="array" aca="1" ref="AG6"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6" s="60" t="str" cm="1">
        <f t="array" aca="1" ref="AH6"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6" s="60" t="str" cm="1">
        <f t="array" aca="1" ref="AI6"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6" s="60" t="str" cm="1">
        <f t="array" aca="1" ref="AJ6"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6" s="60" t="str" cm="1">
        <f t="array" aca="1" ref="AK6"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6" s="60" t="str" cm="1">
        <f t="array" aca="1" ref="AL6"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6" s="60" t="str" cm="1">
        <f t="array" aca="1" ref="AM6"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6" s="60" t="str" cm="1">
        <f t="array" aca="1" ref="AN6"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6" s="60" t="str" cm="1">
        <f t="array" aca="1" ref="AO6"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6" s="60" t="str" cm="1">
        <f t="array" aca="1" ref="AP6"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6" s="60" t="str" cm="1">
        <f t="array" aca="1" ref="AQ6"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6" s="60" t="str" cm="1">
        <f t="array" aca="1" ref="AR6"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6" s="60" t="str" cm="1">
        <f t="array" aca="1" ref="AS6"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6" s="60" t="str" cm="1">
        <f t="array" aca="1" ref="AT6"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6" s="60" t="str" cm="1">
        <f t="array" aca="1" ref="AU6"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6" s="60" t="str" cm="1">
        <f t="array" aca="1" ref="AV6"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6" s="60" t="str" cm="1">
        <f t="array" aca="1" ref="AW6"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6" s="60" t="str" cm="1">
        <f t="array" aca="1" ref="AX6"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6" s="60" t="str" cm="1">
        <f t="array" aca="1" ref="AY6"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6" s="60" t="str" cm="1">
        <f t="array" aca="1" ref="AZ6"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6" s="60" t="str" cm="1">
        <f t="array" aca="1" ref="BA6"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6" s="60" t="str" cm="1">
        <f t="array" aca="1" ref="BB6"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6" s="60" t="str" cm="1">
        <f t="array" aca="1" ref="BC6"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6" s="60" t="str" cm="1">
        <f t="array" aca="1" ref="BD6"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6" s="60" t="str" cm="1">
        <f t="array" aca="1" ref="BE6"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6" s="60" t="str" cm="1">
        <f t="array" aca="1" ref="BF6"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6" s="60" t="str" cm="1">
        <f t="array" aca="1" ref="BG6"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6" s="60" t="str" cm="1">
        <f t="array" aca="1" ref="BH6"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6" s="60" t="str" cm="1">
        <f t="array" aca="1" ref="BI6"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6" s="60" t="str" cm="1">
        <f t="array" aca="1" ref="BJ6"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6" s="60" t="str" cm="1">
        <f t="array" aca="1" ref="BK6"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6" s="60" t="str" cm="1">
        <f t="array" aca="1" ref="BL6"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6" s="60" t="str" cm="1">
        <f t="array" aca="1" ref="BM6"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6" s="60" t="str" cm="1">
        <f t="array" aca="1" ref="BN6"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6" s="60" t="str" cm="1">
        <f t="array" aca="1" ref="BO6"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6" s="60" t="str" cm="1">
        <f t="array" aca="1" ref="BP6"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6" s="60" t="str" cm="1">
        <f t="array" aca="1" ref="BQ6"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6" s="60" t="str" cm="1">
        <f t="array" aca="1" ref="BR6"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6" s="60" t="str" cm="1">
        <f t="array" aca="1" ref="BS6"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6" s="60" t="str" cm="1">
        <f t="array" aca="1" ref="BT6"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6" s="60" t="str" cm="1">
        <f t="array" aca="1" ref="BU6"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6" s="60" t="str" cm="1">
        <f t="array" aca="1" ref="BV6"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6" s="60" t="str" cm="1">
        <f t="array" aca="1" ref="BW6"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6" s="60" t="str" cm="1">
        <f t="array" aca="1" ref="BX6"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6" s="60" t="str" cm="1">
        <f t="array" aca="1" ref="BY6"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6" s="60" t="str" cm="1">
        <f t="array" aca="1" ref="BZ6"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6" s="60" t="str" cm="1">
        <f t="array" aca="1" ref="CA6"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6" s="60" t="str" cm="1">
        <f t="array" aca="1" ref="CB6"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6" s="60" t="str" cm="1">
        <f t="array" aca="1" ref="CC6"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6" s="60" t="str" cm="1">
        <f t="array" aca="1" ref="CD6"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6" s="60" t="str" cm="1">
        <f t="array" aca="1" ref="CE6"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6" s="60" t="str" cm="1">
        <f t="array" aca="1" ref="CF6"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6" s="60" t="str" cm="1">
        <f t="array" aca="1" ref="CG6"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6" s="60" t="str" cm="1">
        <f t="array" aca="1" ref="CH6"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6" s="60" t="str" cm="1">
        <f t="array" aca="1" ref="CI6"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6" s="60" t="str" cm="1">
        <f t="array" aca="1" ref="CJ6"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7" spans="1:88">
      <c r="A7" s="49" t="s">
        <v>265</v>
      </c>
      <c r="B7" s="44" t="s">
        <v>266</v>
      </c>
      <c r="C7" s="44" t="s">
        <v>267</v>
      </c>
      <c r="D7" s="44" t="s">
        <v>30</v>
      </c>
      <c r="E7" s="44" t="s">
        <v>345</v>
      </c>
      <c r="F7" s="45"/>
      <c r="G7" s="46"/>
      <c r="H7" s="47"/>
      <c r="I7" s="60" t="str" cm="1">
        <f t="array" aca="1" ref="I7"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7" s="60" t="str" cm="1">
        <f t="array" aca="1" ref="J7"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7" s="60" t="str" cm="1">
        <f t="array" aca="1" ref="K7"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7" s="60" t="str" cm="1">
        <f t="array" aca="1" ref="L7"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7" s="60" t="str" cm="1">
        <f t="array" aca="1" ref="M7"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7" s="60" t="str" cm="1">
        <f t="array" aca="1" ref="N7"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7" s="60" t="str" cm="1">
        <f t="array" aca="1" ref="O7"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7" s="60" t="str" cm="1">
        <f t="array" aca="1" ref="P7"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7" s="60" t="str" cm="1">
        <f t="array" aca="1" ref="Q7"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7" s="60" t="str" cm="1">
        <f t="array" aca="1" ref="R7"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7" s="60" t="str" cm="1">
        <f t="array" aca="1" ref="S7"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7" s="60" t="str" cm="1">
        <f t="array" aca="1" ref="T7"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7" s="60" t="str" cm="1">
        <f t="array" aca="1" ref="U7"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7" s="60" t="str" cm="1">
        <f t="array" aca="1" ref="V7"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7" s="60" t="str" cm="1">
        <f t="array" aca="1" ref="W7"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7" s="60" t="str" cm="1">
        <f t="array" aca="1" ref="X7"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7" s="60" t="str" cm="1">
        <f t="array" aca="1" ref="Y7"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7" s="60" t="str" cm="1">
        <f t="array" aca="1" ref="Z7"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7" s="60" t="str" cm="1">
        <f t="array" aca="1" ref="AA7"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7" s="60" t="str" cm="1">
        <f t="array" aca="1" ref="AB7"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7" s="60" t="str" cm="1">
        <f t="array" aca="1" ref="AC7"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7" s="60" t="str" cm="1">
        <f t="array" aca="1" ref="AD7"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7" s="60" t="str" cm="1">
        <f t="array" aca="1" ref="AE7"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7" s="60" t="str" cm="1">
        <f t="array" aca="1" ref="AF7"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7" s="60" t="str" cm="1">
        <f t="array" aca="1" ref="AG7"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7" s="60" t="str" cm="1">
        <f t="array" aca="1" ref="AH7"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7" s="60" t="str" cm="1">
        <f t="array" aca="1" ref="AI7"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7" s="60" t="str" cm="1">
        <f t="array" aca="1" ref="AJ7"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7" s="60" t="str" cm="1">
        <f t="array" aca="1" ref="AK7"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7" s="60" t="str" cm="1">
        <f t="array" aca="1" ref="AL7"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7" s="60" t="str" cm="1">
        <f t="array" aca="1" ref="AM7"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7" s="60" t="str" cm="1">
        <f t="array" aca="1" ref="AN7"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7" s="60" t="str" cm="1">
        <f t="array" aca="1" ref="AO7"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7" s="60" t="str" cm="1">
        <f t="array" aca="1" ref="AP7"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7" s="60" t="str" cm="1">
        <f t="array" aca="1" ref="AQ7"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7" s="60" t="str" cm="1">
        <f t="array" aca="1" ref="AR7"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7" s="60" t="str" cm="1">
        <f t="array" aca="1" ref="AS7"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7" s="60" t="str" cm="1">
        <f t="array" aca="1" ref="AT7"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7" s="60" t="str" cm="1">
        <f t="array" aca="1" ref="AU7"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7" s="60" t="str" cm="1">
        <f t="array" aca="1" ref="AV7"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7" s="60" t="str" cm="1">
        <f t="array" aca="1" ref="AW7"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7" s="60" t="str" cm="1">
        <f t="array" aca="1" ref="AX7"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7" s="60" t="str" cm="1">
        <f t="array" aca="1" ref="AY7"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7" s="60" t="str" cm="1">
        <f t="array" aca="1" ref="AZ7"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7" s="60" t="str" cm="1">
        <f t="array" aca="1" ref="BA7"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7" s="60" t="str" cm="1">
        <f t="array" aca="1" ref="BB7"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7" s="60" t="str" cm="1">
        <f t="array" aca="1" ref="BC7"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7" s="60" t="str" cm="1">
        <f t="array" aca="1" ref="BD7"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7" s="60" t="str" cm="1">
        <f t="array" aca="1" ref="BE7"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7" s="60" t="str" cm="1">
        <f t="array" aca="1" ref="BF7"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7" s="60" t="str" cm="1">
        <f t="array" aca="1" ref="BG7"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7" s="60" t="str" cm="1">
        <f t="array" aca="1" ref="BH7"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7" s="60" t="str" cm="1">
        <f t="array" aca="1" ref="BI7"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7" s="60" t="str" cm="1">
        <f t="array" aca="1" ref="BJ7"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7" s="60" t="str" cm="1">
        <f t="array" aca="1" ref="BK7"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7" s="60" t="str" cm="1">
        <f t="array" aca="1" ref="BL7"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7" s="60" t="str" cm="1">
        <f t="array" aca="1" ref="BM7"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7" s="60" t="str" cm="1">
        <f t="array" aca="1" ref="BN7"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7" s="60" t="str" cm="1">
        <f t="array" aca="1" ref="BO7"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7" s="60" t="str" cm="1">
        <f t="array" aca="1" ref="BP7"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7" s="60" t="str" cm="1">
        <f t="array" aca="1" ref="BQ7"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7" s="60" t="str" cm="1">
        <f t="array" aca="1" ref="BR7"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7" s="60" t="str" cm="1">
        <f t="array" aca="1" ref="BS7"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7" s="60" t="str" cm="1">
        <f t="array" aca="1" ref="BT7"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7" s="60" t="str" cm="1">
        <f t="array" aca="1" ref="BU7"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7" s="60" t="str" cm="1">
        <f t="array" aca="1" ref="BV7"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7" s="60" t="str" cm="1">
        <f t="array" aca="1" ref="BW7"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7" s="60" t="str" cm="1">
        <f t="array" aca="1" ref="BX7"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7" s="60" t="str" cm="1">
        <f t="array" aca="1" ref="BY7"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7" s="60" t="str" cm="1">
        <f t="array" aca="1" ref="BZ7"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7" s="60" t="str" cm="1">
        <f t="array" aca="1" ref="CA7"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7" s="60" t="str" cm="1">
        <f t="array" aca="1" ref="CB7"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7" s="60" t="str" cm="1">
        <f t="array" aca="1" ref="CC7"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7" s="60" t="str" cm="1">
        <f t="array" aca="1" ref="CD7"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7" s="60" t="str" cm="1">
        <f t="array" aca="1" ref="CE7"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7" s="60" t="str" cm="1">
        <f t="array" aca="1" ref="CF7"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7" s="60" t="str" cm="1">
        <f t="array" aca="1" ref="CG7"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7" s="60" t="str" cm="1">
        <f t="array" aca="1" ref="CH7"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7" s="60" t="str" cm="1">
        <f t="array" aca="1" ref="CI7"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7" s="60" t="str" cm="1">
        <f t="array" aca="1" ref="CJ7"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8" spans="1:88">
      <c r="A8" s="49" t="s">
        <v>317</v>
      </c>
      <c r="B8" s="44" t="s">
        <v>318</v>
      </c>
      <c r="C8" s="44" t="s">
        <v>319</v>
      </c>
      <c r="D8" s="44" t="s">
        <v>30</v>
      </c>
      <c r="E8" s="44" t="s">
        <v>345</v>
      </c>
      <c r="F8" s="45"/>
      <c r="G8" s="46"/>
      <c r="H8" s="47"/>
      <c r="I8" s="60" t="str" cm="1">
        <f t="array" aca="1" ref="I8"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8" s="60" t="str" cm="1">
        <f t="array" aca="1" ref="J8"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8" s="60" t="str" cm="1">
        <f t="array" aca="1" ref="K8"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8" s="60" t="str" cm="1">
        <f t="array" aca="1" ref="L8"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8" s="60" t="str" cm="1">
        <f t="array" aca="1" ref="M8"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8" s="60" t="str" cm="1">
        <f t="array" aca="1" ref="N8"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8" s="60" t="str" cm="1">
        <f t="array" aca="1" ref="O8"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8" s="60" t="str" cm="1">
        <f t="array" aca="1" ref="P8"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8" s="60" t="str" cm="1">
        <f t="array" aca="1" ref="Q8"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8" s="60" t="str" cm="1">
        <f t="array" aca="1" ref="R8"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8" s="60" t="str" cm="1">
        <f t="array" aca="1" ref="S8"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8" s="60" t="str" cm="1">
        <f t="array" aca="1" ref="T8"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8" s="60" t="str" cm="1">
        <f t="array" aca="1" ref="U8"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8" s="60" t="str" cm="1">
        <f t="array" aca="1" ref="V8"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8" s="60" t="str" cm="1">
        <f t="array" aca="1" ref="W8"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8" s="60" t="str" cm="1">
        <f t="array" aca="1" ref="X8"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8" s="60" t="str" cm="1">
        <f t="array" aca="1" ref="Y8"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8" s="60" t="str" cm="1">
        <f t="array" aca="1" ref="Z8"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8" s="60" t="str" cm="1">
        <f t="array" aca="1" ref="AA8"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8" s="60" t="str" cm="1">
        <f t="array" aca="1" ref="AB8"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8" s="60" t="str" cm="1">
        <f t="array" aca="1" ref="AC8"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8" s="60" t="str" cm="1">
        <f t="array" aca="1" ref="AD8"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8" s="60" t="str" cm="1">
        <f t="array" aca="1" ref="AE8"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8" s="60" t="str" cm="1">
        <f t="array" aca="1" ref="AF8"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8" s="60" t="str" cm="1">
        <f t="array" aca="1" ref="AG8"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8" s="60" t="str" cm="1">
        <f t="array" aca="1" ref="AH8"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8" s="60" t="str" cm="1">
        <f t="array" aca="1" ref="AI8"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8" s="60" t="str" cm="1">
        <f t="array" aca="1" ref="AJ8"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8" s="60" t="str" cm="1">
        <f t="array" aca="1" ref="AK8"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8" s="60" t="str" cm="1">
        <f t="array" aca="1" ref="AL8"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8" s="60" t="str" cm="1">
        <f t="array" aca="1" ref="AM8"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8" s="60" t="str" cm="1">
        <f t="array" aca="1" ref="AN8"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8" s="60" t="str" cm="1">
        <f t="array" aca="1" ref="AO8"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8" s="60" t="str" cm="1">
        <f t="array" aca="1" ref="AP8"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8" s="60" t="str" cm="1">
        <f t="array" aca="1" ref="AQ8"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8" s="60" t="str" cm="1">
        <f t="array" aca="1" ref="AR8"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8" s="60" t="str" cm="1">
        <f t="array" aca="1" ref="AS8"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8" s="60" t="str" cm="1">
        <f t="array" aca="1" ref="AT8"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8" s="60" t="str" cm="1">
        <f t="array" aca="1" ref="AU8"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8" s="60" t="str" cm="1">
        <f t="array" aca="1" ref="AV8"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8" s="60" t="str" cm="1">
        <f t="array" aca="1" ref="AW8"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8" s="60" t="str" cm="1">
        <f t="array" aca="1" ref="AX8"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8" s="60" t="str" cm="1">
        <f t="array" aca="1" ref="AY8"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8" s="60" t="str" cm="1">
        <f t="array" aca="1" ref="AZ8"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8" s="60" t="str" cm="1">
        <f t="array" aca="1" ref="BA8"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8" s="60" t="str" cm="1">
        <f t="array" aca="1" ref="BB8"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8" s="60" t="str" cm="1">
        <f t="array" aca="1" ref="BC8"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8" s="60" t="str" cm="1">
        <f t="array" aca="1" ref="BD8"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8" s="60" t="str" cm="1">
        <f t="array" aca="1" ref="BE8"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8" s="60" t="str" cm="1">
        <f t="array" aca="1" ref="BF8"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8" s="60" t="str" cm="1">
        <f t="array" aca="1" ref="BG8"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8" s="60" t="str" cm="1">
        <f t="array" aca="1" ref="BH8"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8" s="60" t="str" cm="1">
        <f t="array" aca="1" ref="BI8"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8" s="60" t="str" cm="1">
        <f t="array" aca="1" ref="BJ8"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8" s="60" t="str" cm="1">
        <f t="array" aca="1" ref="BK8"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8" s="60" t="str" cm="1">
        <f t="array" aca="1" ref="BL8"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8" s="60" t="str" cm="1">
        <f t="array" aca="1" ref="BM8"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8" s="60" t="str" cm="1">
        <f t="array" aca="1" ref="BN8"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8" s="60" t="str" cm="1">
        <f t="array" aca="1" ref="BO8"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8" s="60" t="str" cm="1">
        <f t="array" aca="1" ref="BP8"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8" s="60" t="str" cm="1">
        <f t="array" aca="1" ref="BQ8"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8" s="60" t="str" cm="1">
        <f t="array" aca="1" ref="BR8"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8" s="60" t="str" cm="1">
        <f t="array" aca="1" ref="BS8"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8" s="60" t="str" cm="1">
        <f t="array" aca="1" ref="BT8"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8" s="60" t="str" cm="1">
        <f t="array" aca="1" ref="BU8"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8" s="60" t="str" cm="1">
        <f t="array" aca="1" ref="BV8"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8" s="60" t="str" cm="1">
        <f t="array" aca="1" ref="BW8"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8" s="60" t="str" cm="1">
        <f t="array" aca="1" ref="BX8"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8" s="60" t="str" cm="1">
        <f t="array" aca="1" ref="BY8"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8" s="60" t="str" cm="1">
        <f t="array" aca="1" ref="BZ8"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8" s="60" t="str" cm="1">
        <f t="array" aca="1" ref="CA8"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8" s="60" t="str" cm="1">
        <f t="array" aca="1" ref="CB8"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8" s="60" t="str" cm="1">
        <f t="array" aca="1" ref="CC8"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8" s="60" t="str" cm="1">
        <f t="array" aca="1" ref="CD8"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8" s="60" t="str" cm="1">
        <f t="array" aca="1" ref="CE8"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8" s="60" t="str" cm="1">
        <f t="array" aca="1" ref="CF8"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8" s="60" t="str" cm="1">
        <f t="array" aca="1" ref="CG8"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8" s="60" t="str" cm="1">
        <f t="array" aca="1" ref="CH8"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8" s="60" t="str" cm="1">
        <f t="array" aca="1" ref="CI8"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8" s="60" t="str" cm="1">
        <f t="array" aca="1" ref="CJ8"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9" spans="1:88">
      <c r="A9" s="49" t="s">
        <v>320</v>
      </c>
      <c r="B9" s="44" t="s">
        <v>321</v>
      </c>
      <c r="C9" s="44" t="s">
        <v>322</v>
      </c>
      <c r="D9" s="44" t="s">
        <v>30</v>
      </c>
      <c r="E9" s="44" t="s">
        <v>345</v>
      </c>
      <c r="F9" s="45"/>
      <c r="G9" s="46"/>
      <c r="H9" s="47"/>
      <c r="I9" s="60" t="str" cm="1">
        <f t="array" aca="1" ref="I9"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9" s="60" t="str" cm="1">
        <f t="array" aca="1" ref="J9"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9" s="60" t="str" cm="1">
        <f t="array" aca="1" ref="K9"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9" s="60" t="str" cm="1">
        <f t="array" aca="1" ref="L9"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9" s="60" t="str" cm="1">
        <f t="array" aca="1" ref="M9"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9" s="60" t="str" cm="1">
        <f t="array" aca="1" ref="N9"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9" s="60" t="str" cm="1">
        <f t="array" aca="1" ref="O9"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9" s="60" t="str" cm="1">
        <f t="array" aca="1" ref="P9"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9" s="60" t="str" cm="1">
        <f t="array" aca="1" ref="Q9"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9" s="60" t="str" cm="1">
        <f t="array" aca="1" ref="R9"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9" s="60" t="str" cm="1">
        <f t="array" aca="1" ref="S9"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9" s="60" t="str" cm="1">
        <f t="array" aca="1" ref="T9"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9" s="60" t="str" cm="1">
        <f t="array" aca="1" ref="U9"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9" s="60" t="str" cm="1">
        <f t="array" aca="1" ref="V9"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9" s="60" t="str" cm="1">
        <f t="array" aca="1" ref="W9"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9" s="60" t="str" cm="1">
        <f t="array" aca="1" ref="X9"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9" s="60" t="str" cm="1">
        <f t="array" aca="1" ref="Y9"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9" s="60" t="str" cm="1">
        <f t="array" aca="1" ref="Z9"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9" s="60" t="str" cm="1">
        <f t="array" aca="1" ref="AA9"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9" s="60" t="str" cm="1">
        <f t="array" aca="1" ref="AB9"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9" s="60" t="str" cm="1">
        <f t="array" aca="1" ref="AC9"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9" s="60" t="str" cm="1">
        <f t="array" aca="1" ref="AD9"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9" s="60" t="str" cm="1">
        <f t="array" aca="1" ref="AE9"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9" s="60" t="str" cm="1">
        <f t="array" aca="1" ref="AF9"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9" s="60" t="str" cm="1">
        <f t="array" aca="1" ref="AG9"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9" s="60" t="str" cm="1">
        <f t="array" aca="1" ref="AH9"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9" s="60" t="str" cm="1">
        <f t="array" aca="1" ref="AI9"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9" s="60" t="str" cm="1">
        <f t="array" aca="1" ref="AJ9"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9" s="60" t="str" cm="1">
        <f t="array" aca="1" ref="AK9"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9" s="60" t="str" cm="1">
        <f t="array" aca="1" ref="AL9"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9" s="60" t="str" cm="1">
        <f t="array" aca="1" ref="AM9"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9" s="60" t="str" cm="1">
        <f t="array" aca="1" ref="AN9"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9" s="60" t="str" cm="1">
        <f t="array" aca="1" ref="AO9"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9" s="60" t="str" cm="1">
        <f t="array" aca="1" ref="AP9"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9" s="60" t="str" cm="1">
        <f t="array" aca="1" ref="AQ9"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9" s="60" t="str" cm="1">
        <f t="array" aca="1" ref="AR9"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9" s="60" t="str" cm="1">
        <f t="array" aca="1" ref="AS9"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9" s="60" t="str" cm="1">
        <f t="array" aca="1" ref="AT9"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9" s="60" t="str" cm="1">
        <f t="array" aca="1" ref="AU9"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9" s="60" t="str" cm="1">
        <f t="array" aca="1" ref="AV9"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9" s="60" t="str" cm="1">
        <f t="array" aca="1" ref="AW9"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9" s="60" t="str" cm="1">
        <f t="array" aca="1" ref="AX9"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9" s="60" t="str" cm="1">
        <f t="array" aca="1" ref="AY9"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9" s="60" t="str" cm="1">
        <f t="array" aca="1" ref="AZ9"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9" s="60" t="str" cm="1">
        <f t="array" aca="1" ref="BA9"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9" s="60" t="str" cm="1">
        <f t="array" aca="1" ref="BB9"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9" s="60" t="str" cm="1">
        <f t="array" aca="1" ref="BC9"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9" s="60" t="str" cm="1">
        <f t="array" aca="1" ref="BD9"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9" s="60" t="str" cm="1">
        <f t="array" aca="1" ref="BE9"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9" s="60" t="str" cm="1">
        <f t="array" aca="1" ref="BF9"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9" s="60" t="str" cm="1">
        <f t="array" aca="1" ref="BG9"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9" s="60" t="str" cm="1">
        <f t="array" aca="1" ref="BH9"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9" s="60" t="str" cm="1">
        <f t="array" aca="1" ref="BI9"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9" s="60" t="str" cm="1">
        <f t="array" aca="1" ref="BJ9"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9" s="60" t="str" cm="1">
        <f t="array" aca="1" ref="BK9"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9" s="60" t="str" cm="1">
        <f t="array" aca="1" ref="BL9"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9" s="60" t="str" cm="1">
        <f t="array" aca="1" ref="BM9"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9" s="60" t="str" cm="1">
        <f t="array" aca="1" ref="BN9"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9" s="60" t="str" cm="1">
        <f t="array" aca="1" ref="BO9"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9" s="60" t="str" cm="1">
        <f t="array" aca="1" ref="BP9"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9" s="60" t="str" cm="1">
        <f t="array" aca="1" ref="BQ9"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9" s="60" t="str" cm="1">
        <f t="array" aca="1" ref="BR9"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9" s="60" t="str" cm="1">
        <f t="array" aca="1" ref="BS9"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9" s="60" t="str" cm="1">
        <f t="array" aca="1" ref="BT9"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9" s="60" t="str" cm="1">
        <f t="array" aca="1" ref="BU9"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9" s="60" t="str" cm="1">
        <f t="array" aca="1" ref="BV9"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9" s="60" t="str" cm="1">
        <f t="array" aca="1" ref="BW9"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9" s="60" t="str" cm="1">
        <f t="array" aca="1" ref="BX9"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9" s="60" t="str" cm="1">
        <f t="array" aca="1" ref="BY9"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9" s="60" t="str" cm="1">
        <f t="array" aca="1" ref="BZ9"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9" s="60" t="str" cm="1">
        <f t="array" aca="1" ref="CA9"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9" s="60" t="str" cm="1">
        <f t="array" aca="1" ref="CB9"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9" s="60" t="str" cm="1">
        <f t="array" aca="1" ref="CC9"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9" s="60" t="str" cm="1">
        <f t="array" aca="1" ref="CD9"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9" s="60" t="str" cm="1">
        <f t="array" aca="1" ref="CE9"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9" s="60" t="str" cm="1">
        <f t="array" aca="1" ref="CF9"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9" s="60" t="str" cm="1">
        <f t="array" aca="1" ref="CG9"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9" s="60" t="str" cm="1">
        <f t="array" aca="1" ref="CH9"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9" s="60" t="str" cm="1">
        <f t="array" aca="1" ref="CI9"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9" s="60" t="str" cm="1">
        <f t="array" aca="1" ref="CJ9"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10" spans="1:88">
      <c r="A10" s="49" t="s">
        <v>301</v>
      </c>
      <c r="B10" s="44" t="s">
        <v>302</v>
      </c>
      <c r="C10" s="44" t="s">
        <v>303</v>
      </c>
      <c r="D10" s="44" t="s">
        <v>30</v>
      </c>
      <c r="E10" s="44" t="s">
        <v>345</v>
      </c>
      <c r="F10" s="45"/>
      <c r="G10" s="46"/>
      <c r="H10" s="47"/>
      <c r="I10" s="60" t="str" cm="1">
        <f t="array" aca="1" ref="I10"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10" s="60" t="str" cm="1">
        <f t="array" aca="1" ref="J10"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10" s="60" t="str" cm="1">
        <f t="array" aca="1" ref="K10"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10" s="60" t="str" cm="1">
        <f t="array" aca="1" ref="L10"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10" s="60" t="str" cm="1">
        <f t="array" aca="1" ref="M10"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10" s="60" t="str" cm="1">
        <f t="array" aca="1" ref="N10"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10" s="60" t="str" cm="1">
        <f t="array" aca="1" ref="O10"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10" s="60" t="str" cm="1">
        <f t="array" aca="1" ref="P10"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10" s="60" t="str" cm="1">
        <f t="array" aca="1" ref="Q10"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10" s="60" t="str" cm="1">
        <f t="array" aca="1" ref="R10"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10" s="60" t="str" cm="1">
        <f t="array" aca="1" ref="S10"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10" s="60" t="str" cm="1">
        <f t="array" aca="1" ref="T10"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10" s="60" t="str" cm="1">
        <f t="array" aca="1" ref="U10"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10" s="60" t="str" cm="1">
        <f t="array" aca="1" ref="V10"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10" s="60" t="str" cm="1">
        <f t="array" aca="1" ref="W10"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10" s="60" t="str" cm="1">
        <f t="array" aca="1" ref="X10"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10" s="60" t="str" cm="1">
        <f t="array" aca="1" ref="Y10"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10" s="60" t="str" cm="1">
        <f t="array" aca="1" ref="Z10"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10" s="60" t="str" cm="1">
        <f t="array" aca="1" ref="AA10"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10" s="60" t="str" cm="1">
        <f t="array" aca="1" ref="AB10"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10" s="60" t="str" cm="1">
        <f t="array" aca="1" ref="AC10"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10" s="60" t="str" cm="1">
        <f t="array" aca="1" ref="AD10"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10" s="60" t="str" cm="1">
        <f t="array" aca="1" ref="AE10"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10" s="60" t="str" cm="1">
        <f t="array" aca="1" ref="AF10"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10" s="60" t="str" cm="1">
        <f t="array" aca="1" ref="AG10"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10" s="60" t="str" cm="1">
        <f t="array" aca="1" ref="AH10"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10" s="60" t="str" cm="1">
        <f t="array" aca="1" ref="AI10"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10" s="60" t="str" cm="1">
        <f t="array" aca="1" ref="AJ10"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10" s="60" t="str" cm="1">
        <f t="array" aca="1" ref="AK10"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10" s="60" t="str" cm="1">
        <f t="array" aca="1" ref="AL10"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10" s="60" t="str" cm="1">
        <f t="array" aca="1" ref="AM10"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10" s="60" t="str" cm="1">
        <f t="array" aca="1" ref="AN10"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10" s="60" t="str" cm="1">
        <f t="array" aca="1" ref="AO10"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10" s="60" t="str" cm="1">
        <f t="array" aca="1" ref="AP10"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10" s="60" t="str" cm="1">
        <f t="array" aca="1" ref="AQ10"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10" s="60" t="str" cm="1">
        <f t="array" aca="1" ref="AR10"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10" s="60" t="str" cm="1">
        <f t="array" aca="1" ref="AS10"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10" s="60" t="str" cm="1">
        <f t="array" aca="1" ref="AT10"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10" s="60" t="str" cm="1">
        <f t="array" aca="1" ref="AU10"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10" s="60" t="str" cm="1">
        <f t="array" aca="1" ref="AV10"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10" s="60" t="str" cm="1">
        <f t="array" aca="1" ref="AW10"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10" s="60" t="str" cm="1">
        <f t="array" aca="1" ref="AX10"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10" s="60" t="str" cm="1">
        <f t="array" aca="1" ref="AY10"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10" s="60" t="str" cm="1">
        <f t="array" aca="1" ref="AZ10"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10" s="60" t="str" cm="1">
        <f t="array" aca="1" ref="BA10"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10" s="60" t="str" cm="1">
        <f t="array" aca="1" ref="BB10"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10" s="60" t="str" cm="1">
        <f t="array" aca="1" ref="BC10"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10" s="60" t="str" cm="1">
        <f t="array" aca="1" ref="BD10"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10" s="60" t="str" cm="1">
        <f t="array" aca="1" ref="BE10"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10" s="60" t="str" cm="1">
        <f t="array" aca="1" ref="BF10"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10" s="60" t="str" cm="1">
        <f t="array" aca="1" ref="BG10"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10" s="60" t="str" cm="1">
        <f t="array" aca="1" ref="BH10"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10" s="60" t="str" cm="1">
        <f t="array" aca="1" ref="BI10"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10" s="60" t="str" cm="1">
        <f t="array" aca="1" ref="BJ10"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10" s="60" t="str" cm="1">
        <f t="array" aca="1" ref="BK10"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10" s="60" t="str" cm="1">
        <f t="array" aca="1" ref="BL10"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10" s="60" t="str" cm="1">
        <f t="array" aca="1" ref="BM10"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10" s="60" t="str" cm="1">
        <f t="array" aca="1" ref="BN10"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10" s="60" t="str" cm="1">
        <f t="array" aca="1" ref="BO10"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10" s="60" t="str" cm="1">
        <f t="array" aca="1" ref="BP10"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10" s="60" t="str" cm="1">
        <f t="array" aca="1" ref="BQ10"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10" s="60" t="str" cm="1">
        <f t="array" aca="1" ref="BR10"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10" s="60" t="str" cm="1">
        <f t="array" aca="1" ref="BS10"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10" s="60" t="str" cm="1">
        <f t="array" aca="1" ref="BT10"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10" s="60" t="str" cm="1">
        <f t="array" aca="1" ref="BU10"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10" s="60" t="str" cm="1">
        <f t="array" aca="1" ref="BV10"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10" s="60" t="str" cm="1">
        <f t="array" aca="1" ref="BW10"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10" s="60" t="str" cm="1">
        <f t="array" aca="1" ref="BX10"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10" s="60" t="str" cm="1">
        <f t="array" aca="1" ref="BY10"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10" s="60" t="str" cm="1">
        <f t="array" aca="1" ref="BZ10"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10" s="60" t="str" cm="1">
        <f t="array" aca="1" ref="CA10"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10" s="60" t="str" cm="1">
        <f t="array" aca="1" ref="CB10"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10" s="60" t="str" cm="1">
        <f t="array" aca="1" ref="CC10"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10" s="60" t="str" cm="1">
        <f t="array" aca="1" ref="CD10"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10" s="60" t="str" cm="1">
        <f t="array" aca="1" ref="CE10"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10" s="60" t="str" cm="1">
        <f t="array" aca="1" ref="CF10"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10" s="60" t="str" cm="1">
        <f t="array" aca="1" ref="CG10"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10" s="60" t="str" cm="1">
        <f t="array" aca="1" ref="CH10"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10" s="60" t="str" cm="1">
        <f t="array" aca="1" ref="CI10"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10" s="60" t="str" cm="1">
        <f t="array" aca="1" ref="CJ10"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11" spans="1:88">
      <c r="A11" s="49" t="s">
        <v>272</v>
      </c>
      <c r="B11" s="44" t="s">
        <v>273</v>
      </c>
      <c r="C11" s="44" t="s">
        <v>274</v>
      </c>
      <c r="D11" s="44" t="s">
        <v>30</v>
      </c>
      <c r="E11" s="44" t="s">
        <v>345</v>
      </c>
      <c r="F11" s="45"/>
      <c r="G11" s="46"/>
      <c r="H11" s="47"/>
      <c r="I11" s="60" t="str" cm="1">
        <f t="array" aca="1" ref="I11"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11" s="60" t="str" cm="1">
        <f t="array" aca="1" ref="J11"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11" s="60" t="str" cm="1">
        <f t="array" aca="1" ref="K11"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11" s="60" t="str" cm="1">
        <f t="array" aca="1" ref="L11"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11" s="60" t="str" cm="1">
        <f t="array" aca="1" ref="M11"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11" s="60" t="str" cm="1">
        <f t="array" aca="1" ref="N11"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11" s="60" t="str" cm="1">
        <f t="array" aca="1" ref="O11"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11" s="60" t="str" cm="1">
        <f t="array" aca="1" ref="P11"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11" s="60" t="str" cm="1">
        <f t="array" aca="1" ref="Q11"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11" s="60" t="str" cm="1">
        <f t="array" aca="1" ref="R11"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11" s="60" t="str" cm="1">
        <f t="array" aca="1" ref="S11"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11" s="60" t="str" cm="1">
        <f t="array" aca="1" ref="T11"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11" s="60" t="str" cm="1">
        <f t="array" aca="1" ref="U11"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11" s="60" t="str" cm="1">
        <f t="array" aca="1" ref="V11"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11" s="60" t="str" cm="1">
        <f t="array" aca="1" ref="W11"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11" s="60" t="str" cm="1">
        <f t="array" aca="1" ref="X11"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11" s="60" t="str" cm="1">
        <f t="array" aca="1" ref="Y11"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11" s="60" t="str" cm="1">
        <f t="array" aca="1" ref="Z11"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11" s="60" t="str" cm="1">
        <f t="array" aca="1" ref="AA11"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11" s="60" t="str" cm="1">
        <f t="array" aca="1" ref="AB11"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11" s="60" t="str" cm="1">
        <f t="array" aca="1" ref="AC11"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11" s="60" t="str" cm="1">
        <f t="array" aca="1" ref="AD11"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11" s="60" t="str" cm="1">
        <f t="array" aca="1" ref="AE11"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11" s="60" t="str" cm="1">
        <f t="array" aca="1" ref="AF11"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11" s="60" t="str" cm="1">
        <f t="array" aca="1" ref="AG11"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11" s="60" t="str" cm="1">
        <f t="array" aca="1" ref="AH11"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11" s="60" t="str" cm="1">
        <f t="array" aca="1" ref="AI11"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11" s="60" t="str" cm="1">
        <f t="array" aca="1" ref="AJ11"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11" s="60" t="str" cm="1">
        <f t="array" aca="1" ref="AK11"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11" s="60" t="str" cm="1">
        <f t="array" aca="1" ref="AL11"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11" s="60" t="str" cm="1">
        <f t="array" aca="1" ref="AM11"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11" s="60" t="str" cm="1">
        <f t="array" aca="1" ref="AN11"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11" s="60" t="str" cm="1">
        <f t="array" aca="1" ref="AO11"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11" s="60" t="str" cm="1">
        <f t="array" aca="1" ref="AP11"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11" s="60" t="str" cm="1">
        <f t="array" aca="1" ref="AQ11"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11" s="60" t="str" cm="1">
        <f t="array" aca="1" ref="AR11"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11" s="60" t="str" cm="1">
        <f t="array" aca="1" ref="AS11"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11" s="60" t="str" cm="1">
        <f t="array" aca="1" ref="AT11"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11" s="60" t="str" cm="1">
        <f t="array" aca="1" ref="AU11"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11" s="60" t="str" cm="1">
        <f t="array" aca="1" ref="AV11"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11" s="60" t="str" cm="1">
        <f t="array" aca="1" ref="AW11"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11" s="60" t="str" cm="1">
        <f t="array" aca="1" ref="AX11"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11" s="60" t="str" cm="1">
        <f t="array" aca="1" ref="AY11"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11" s="60" t="str" cm="1">
        <f t="array" aca="1" ref="AZ11"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11" s="60" t="str" cm="1">
        <f t="array" aca="1" ref="BA11"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11" s="60" t="str" cm="1">
        <f t="array" aca="1" ref="BB11"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11" s="60" t="str" cm="1">
        <f t="array" aca="1" ref="BC11"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11" s="60" t="str" cm="1">
        <f t="array" aca="1" ref="BD11"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11" s="60" t="str" cm="1">
        <f t="array" aca="1" ref="BE11"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11" s="60" t="str" cm="1">
        <f t="array" aca="1" ref="BF11"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11" s="60" t="str" cm="1">
        <f t="array" aca="1" ref="BG11"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11" s="60" t="str" cm="1">
        <f t="array" aca="1" ref="BH11"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11" s="60" t="str" cm="1">
        <f t="array" aca="1" ref="BI11"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11" s="60" t="str" cm="1">
        <f t="array" aca="1" ref="BJ11"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11" s="60" t="str" cm="1">
        <f t="array" aca="1" ref="BK11"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11" s="60" t="str" cm="1">
        <f t="array" aca="1" ref="BL11"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11" s="60" t="str" cm="1">
        <f t="array" aca="1" ref="BM11"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11" s="60" t="str" cm="1">
        <f t="array" aca="1" ref="BN11"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11" s="60" t="str" cm="1">
        <f t="array" aca="1" ref="BO11"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11" s="60" t="str" cm="1">
        <f t="array" aca="1" ref="BP11"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11" s="60" t="str" cm="1">
        <f t="array" aca="1" ref="BQ11"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11" s="60" t="str" cm="1">
        <f t="array" aca="1" ref="BR11"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11" s="60" t="str" cm="1">
        <f t="array" aca="1" ref="BS11"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11" s="60" t="str" cm="1">
        <f t="array" aca="1" ref="BT11"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11" s="60" t="str" cm="1">
        <f t="array" aca="1" ref="BU11"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11" s="60" t="str" cm="1">
        <f t="array" aca="1" ref="BV11"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11" s="60" t="str" cm="1">
        <f t="array" aca="1" ref="BW11"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11" s="60" t="str" cm="1">
        <f t="array" aca="1" ref="BX11"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11" s="60" t="str" cm="1">
        <f t="array" aca="1" ref="BY11"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11" s="60" t="str" cm="1">
        <f t="array" aca="1" ref="BZ11"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11" s="60" t="str" cm="1">
        <f t="array" aca="1" ref="CA11"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11" s="60" t="str" cm="1">
        <f t="array" aca="1" ref="CB11"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11" s="60" t="str" cm="1">
        <f t="array" aca="1" ref="CC11"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11" s="60" t="str" cm="1">
        <f t="array" aca="1" ref="CD11"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11" s="60" t="str" cm="1">
        <f t="array" aca="1" ref="CE11"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11" s="60" t="str" cm="1">
        <f t="array" aca="1" ref="CF11"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11" s="60" t="str" cm="1">
        <f t="array" aca="1" ref="CG11"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11" s="60" t="str" cm="1">
        <f t="array" aca="1" ref="CH11"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11" s="60" t="str" cm="1">
        <f t="array" aca="1" ref="CI11"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11" s="60" t="str" cm="1">
        <f t="array" aca="1" ref="CJ11"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12" spans="1:88">
      <c r="A12" s="49" t="s">
        <v>243</v>
      </c>
      <c r="B12" s="44" t="s">
        <v>244</v>
      </c>
      <c r="C12" s="44" t="s">
        <v>245</v>
      </c>
      <c r="D12" s="44" t="s">
        <v>29</v>
      </c>
      <c r="E12" s="44" t="s">
        <v>345</v>
      </c>
      <c r="F12" s="45"/>
      <c r="G12" s="46"/>
      <c r="H12" s="47"/>
      <c r="I12" s="60" t="str" cm="1">
        <f t="array" aca="1" ref="I12"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12" s="60" t="str" cm="1">
        <f t="array" aca="1" ref="J12"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12" s="60" t="str" cm="1">
        <f t="array" aca="1" ref="K12"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12" s="60" t="str" cm="1">
        <f t="array" aca="1" ref="L12"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12" s="60" t="str" cm="1">
        <f t="array" aca="1" ref="M12"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12" s="60" t="str" cm="1">
        <f t="array" aca="1" ref="N12"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12" s="60" t="str" cm="1">
        <f t="array" aca="1" ref="O12"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12" s="60" t="str" cm="1">
        <f t="array" aca="1" ref="P12"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12" s="60" t="str" cm="1">
        <f t="array" aca="1" ref="Q12"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12" s="60" t="str" cm="1">
        <f t="array" aca="1" ref="R12"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12" s="60" t="str" cm="1">
        <f t="array" aca="1" ref="S12"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12" s="60" t="str" cm="1">
        <f t="array" aca="1" ref="T12"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12" s="60" t="str" cm="1">
        <f t="array" aca="1" ref="U12"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12" s="60" t="str" cm="1">
        <f t="array" aca="1" ref="V12"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12" s="60" t="str" cm="1">
        <f t="array" aca="1" ref="W12"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12" s="60" t="str" cm="1">
        <f t="array" aca="1" ref="X12"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12" s="60" t="str" cm="1">
        <f t="array" aca="1" ref="Y12"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12" s="60" t="str" cm="1">
        <f t="array" aca="1" ref="Z12"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12" s="60" t="str" cm="1">
        <f t="array" aca="1" ref="AA12"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12" s="60" t="str" cm="1">
        <f t="array" aca="1" ref="AB12"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12" s="60" t="str" cm="1">
        <f t="array" aca="1" ref="AC12"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12" s="60" t="str" cm="1">
        <f t="array" aca="1" ref="AD12"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12" s="60" t="str" cm="1">
        <f t="array" aca="1" ref="AE12"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12" s="60" t="str" cm="1">
        <f t="array" aca="1" ref="AF12"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12" s="60" t="str" cm="1">
        <f t="array" aca="1" ref="AG12"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12" s="60" t="str" cm="1">
        <f t="array" aca="1" ref="AH12"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12" s="60" t="str" cm="1">
        <f t="array" aca="1" ref="AI12"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12" s="60" t="str" cm="1">
        <f t="array" aca="1" ref="AJ12"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12" s="60" t="str" cm="1">
        <f t="array" aca="1" ref="AK12"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12" s="60" t="str" cm="1">
        <f t="array" aca="1" ref="AL12"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12" s="60" t="str" cm="1">
        <f t="array" aca="1" ref="AM12"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12" s="60" t="str" cm="1">
        <f t="array" aca="1" ref="AN12"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12" s="60" t="str" cm="1">
        <f t="array" aca="1" ref="AO12"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12" s="60" t="str" cm="1">
        <f t="array" aca="1" ref="AP12"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12" s="60" t="str" cm="1">
        <f t="array" aca="1" ref="AQ12"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12" s="60" t="str" cm="1">
        <f t="array" aca="1" ref="AR12"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12" s="60" t="str" cm="1">
        <f t="array" aca="1" ref="AS12"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12" s="60" t="str" cm="1">
        <f t="array" aca="1" ref="AT12"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12" s="60" t="str" cm="1">
        <f t="array" aca="1" ref="AU12"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12" s="60" t="str" cm="1">
        <f t="array" aca="1" ref="AV12"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12" s="60" t="str" cm="1">
        <f t="array" aca="1" ref="AW12"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12" s="60" t="str" cm="1">
        <f t="array" aca="1" ref="AX12"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12" s="60" t="str" cm="1">
        <f t="array" aca="1" ref="AY12"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12" s="60" t="str" cm="1">
        <f t="array" aca="1" ref="AZ12"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12" s="60" t="str" cm="1">
        <f t="array" aca="1" ref="BA12"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12" s="60" t="str" cm="1">
        <f t="array" aca="1" ref="BB12"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12" s="60" t="str" cm="1">
        <f t="array" aca="1" ref="BC12"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12" s="60" t="str" cm="1">
        <f t="array" aca="1" ref="BD12"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12" s="60" t="str" cm="1">
        <f t="array" aca="1" ref="BE12"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12" s="60" t="str" cm="1">
        <f t="array" aca="1" ref="BF12"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12" s="60" t="str" cm="1">
        <f t="array" aca="1" ref="BG12"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12" s="60" t="str" cm="1">
        <f t="array" aca="1" ref="BH12"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12" s="60" t="str" cm="1">
        <f t="array" aca="1" ref="BI12"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12" s="60" t="str" cm="1">
        <f t="array" aca="1" ref="BJ12"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12" s="60" t="str" cm="1">
        <f t="array" aca="1" ref="BK12"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12" s="60" t="str" cm="1">
        <f t="array" aca="1" ref="BL12"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12" s="60" t="str" cm="1">
        <f t="array" aca="1" ref="BM12"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12" s="60" t="str" cm="1">
        <f t="array" aca="1" ref="BN12"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12" s="60" t="str" cm="1">
        <f t="array" aca="1" ref="BO12"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12" s="60" t="str" cm="1">
        <f t="array" aca="1" ref="BP12"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12" s="60" t="str" cm="1">
        <f t="array" aca="1" ref="BQ12"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12" s="60" t="str" cm="1">
        <f t="array" aca="1" ref="BR12"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12" s="60" t="str" cm="1">
        <f t="array" aca="1" ref="BS12"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12" s="60" t="str" cm="1">
        <f t="array" aca="1" ref="BT12"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12" s="60" t="str" cm="1">
        <f t="array" aca="1" ref="BU12"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12" s="60" t="str" cm="1">
        <f t="array" aca="1" ref="BV12"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12" s="60" t="str" cm="1">
        <f t="array" aca="1" ref="BW12"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12" s="60" t="str" cm="1">
        <f t="array" aca="1" ref="BX12"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12" s="60" t="str" cm="1">
        <f t="array" aca="1" ref="BY12"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12" s="60" t="str" cm="1">
        <f t="array" aca="1" ref="BZ12"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12" s="60" t="str" cm="1">
        <f t="array" aca="1" ref="CA12"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12" s="60" t="str" cm="1">
        <f t="array" aca="1" ref="CB12"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12" s="60" t="str" cm="1">
        <f t="array" aca="1" ref="CC12"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12" s="60" t="str" cm="1">
        <f t="array" aca="1" ref="CD12"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12" s="60" t="str" cm="1">
        <f t="array" aca="1" ref="CE12"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12" s="60" t="str" cm="1">
        <f t="array" aca="1" ref="CF12"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12" s="60" t="str" cm="1">
        <f t="array" aca="1" ref="CG12"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12" s="60" t="str" cm="1">
        <f t="array" aca="1" ref="CH12"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12" s="60" t="str" cm="1">
        <f t="array" aca="1" ref="CI12"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12" s="60" t="str" cm="1">
        <f t="array" aca="1" ref="CJ12"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13" spans="1:88">
      <c r="A13" s="49" t="s">
        <v>292</v>
      </c>
      <c r="B13" s="44" t="s">
        <v>293</v>
      </c>
      <c r="C13" s="44" t="s">
        <v>294</v>
      </c>
      <c r="D13" s="44" t="s">
        <v>29</v>
      </c>
      <c r="E13" s="44" t="s">
        <v>345</v>
      </c>
      <c r="F13" s="45"/>
      <c r="G13" s="46"/>
      <c r="H13" s="47"/>
      <c r="I13" s="60" t="str" cm="1">
        <f t="array" aca="1" ref="I13"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13" s="60" t="str" cm="1">
        <f t="array" aca="1" ref="J13"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13" s="60" t="str" cm="1">
        <f t="array" aca="1" ref="K13"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13" s="60" t="str" cm="1">
        <f t="array" aca="1" ref="L13"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13" s="60" t="str" cm="1">
        <f t="array" aca="1" ref="M13"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13" s="60" t="str" cm="1">
        <f t="array" aca="1" ref="N13"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13" s="60" t="str" cm="1">
        <f t="array" aca="1" ref="O13"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13" s="60" t="str" cm="1">
        <f t="array" aca="1" ref="P13"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13" s="60" t="str" cm="1">
        <f t="array" aca="1" ref="Q13"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13" s="60" t="str" cm="1">
        <f t="array" aca="1" ref="R13"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13" s="60" t="str" cm="1">
        <f t="array" aca="1" ref="S13"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13" s="60" t="str" cm="1">
        <f t="array" aca="1" ref="T13"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13" s="60" t="str" cm="1">
        <f t="array" aca="1" ref="U13"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13" s="60" t="str" cm="1">
        <f t="array" aca="1" ref="V13"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13" s="60" t="str" cm="1">
        <f t="array" aca="1" ref="W13"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13" s="60" t="str" cm="1">
        <f t="array" aca="1" ref="X13"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13" s="60" t="str" cm="1">
        <f t="array" aca="1" ref="Y13"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13" s="60" t="str" cm="1">
        <f t="array" aca="1" ref="Z13"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13" s="60" t="str" cm="1">
        <f t="array" aca="1" ref="AA13"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13" s="60" t="str" cm="1">
        <f t="array" aca="1" ref="AB13"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13" s="60" t="str" cm="1">
        <f t="array" aca="1" ref="AC13"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13" s="60" t="str" cm="1">
        <f t="array" aca="1" ref="AD13"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13" s="60" t="str" cm="1">
        <f t="array" aca="1" ref="AE13"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13" s="60" t="str" cm="1">
        <f t="array" aca="1" ref="AF13"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13" s="60" t="str" cm="1">
        <f t="array" aca="1" ref="AG13"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13" s="60" t="str" cm="1">
        <f t="array" aca="1" ref="AH13"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13" s="60" t="str" cm="1">
        <f t="array" aca="1" ref="AI13"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13" s="60" t="str" cm="1">
        <f t="array" aca="1" ref="AJ13"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13" s="60" t="str" cm="1">
        <f t="array" aca="1" ref="AK13"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13" s="60" t="str" cm="1">
        <f t="array" aca="1" ref="AL13"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13" s="60" t="str" cm="1">
        <f t="array" aca="1" ref="AM13"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13" s="60" t="str" cm="1">
        <f t="array" aca="1" ref="AN13"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13" s="60" t="str" cm="1">
        <f t="array" aca="1" ref="AO13"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13" s="60" t="str" cm="1">
        <f t="array" aca="1" ref="AP13"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13" s="60" t="str" cm="1">
        <f t="array" aca="1" ref="AQ13"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13" s="60" t="str" cm="1">
        <f t="array" aca="1" ref="AR13"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13" s="60" t="str" cm="1">
        <f t="array" aca="1" ref="AS13"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13" s="60" t="str" cm="1">
        <f t="array" aca="1" ref="AT13"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13" s="60" t="str" cm="1">
        <f t="array" aca="1" ref="AU13"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13" s="60" t="str" cm="1">
        <f t="array" aca="1" ref="AV13"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13" s="60" t="str" cm="1">
        <f t="array" aca="1" ref="AW13"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13" s="60" t="str" cm="1">
        <f t="array" aca="1" ref="AX13"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13" s="60" t="str" cm="1">
        <f t="array" aca="1" ref="AY13"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13" s="60" t="str" cm="1">
        <f t="array" aca="1" ref="AZ13"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13" s="60" t="str" cm="1">
        <f t="array" aca="1" ref="BA13"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13" s="60" t="str" cm="1">
        <f t="array" aca="1" ref="BB13"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13" s="60" t="str" cm="1">
        <f t="array" aca="1" ref="BC13"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13" s="60" t="str" cm="1">
        <f t="array" aca="1" ref="BD13"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13" s="60" t="str" cm="1">
        <f t="array" aca="1" ref="BE13"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13" s="60" t="str" cm="1">
        <f t="array" aca="1" ref="BF13"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13" s="60" t="str" cm="1">
        <f t="array" aca="1" ref="BG13"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13" s="60" t="str" cm="1">
        <f t="array" aca="1" ref="BH13"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13" s="60" t="str" cm="1">
        <f t="array" aca="1" ref="BI13"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13" s="60" t="str" cm="1">
        <f t="array" aca="1" ref="BJ13"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13" s="60" t="str" cm="1">
        <f t="array" aca="1" ref="BK13"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13" s="60" t="str" cm="1">
        <f t="array" aca="1" ref="BL13"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13" s="60" t="str" cm="1">
        <f t="array" aca="1" ref="BM13"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13" s="60" t="str" cm="1">
        <f t="array" aca="1" ref="BN13"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13" s="60" t="str" cm="1">
        <f t="array" aca="1" ref="BO13"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13" s="60" t="str" cm="1">
        <f t="array" aca="1" ref="BP13"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13" s="60" t="str" cm="1">
        <f t="array" aca="1" ref="BQ13"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13" s="60" t="str" cm="1">
        <f t="array" aca="1" ref="BR13"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13" s="60" t="str" cm="1">
        <f t="array" aca="1" ref="BS13"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13" s="60" t="str" cm="1">
        <f t="array" aca="1" ref="BT13"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13" s="60" t="str" cm="1">
        <f t="array" aca="1" ref="BU13"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13" s="60" t="str" cm="1">
        <f t="array" aca="1" ref="BV13"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13" s="60" t="str" cm="1">
        <f t="array" aca="1" ref="BW13"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13" s="60" t="str" cm="1">
        <f t="array" aca="1" ref="BX13"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13" s="60" t="str" cm="1">
        <f t="array" aca="1" ref="BY13"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13" s="60" t="str" cm="1">
        <f t="array" aca="1" ref="BZ13"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13" s="60" t="str" cm="1">
        <f t="array" aca="1" ref="CA13"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13" s="60" t="str" cm="1">
        <f t="array" aca="1" ref="CB13"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13" s="60" t="str" cm="1">
        <f t="array" aca="1" ref="CC13"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13" s="60" t="str" cm="1">
        <f t="array" aca="1" ref="CD13"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13" s="60" t="str" cm="1">
        <f t="array" aca="1" ref="CE13"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13" s="60" t="str" cm="1">
        <f t="array" aca="1" ref="CF13"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13" s="60" t="str" cm="1">
        <f t="array" aca="1" ref="CG13"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13" s="60" t="str" cm="1">
        <f t="array" aca="1" ref="CH13"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13" s="60" t="str" cm="1">
        <f t="array" aca="1" ref="CI13"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13" s="60" t="str" cm="1">
        <f t="array" aca="1" ref="CJ13"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14" spans="1:88">
      <c r="A14" s="49" t="s">
        <v>284</v>
      </c>
      <c r="B14" s="44" t="s">
        <v>259</v>
      </c>
      <c r="C14" s="44" t="s">
        <v>285</v>
      </c>
      <c r="D14" s="44" t="s">
        <v>29</v>
      </c>
      <c r="E14" s="44" t="s">
        <v>345</v>
      </c>
      <c r="F14" s="45"/>
      <c r="G14" s="46"/>
      <c r="H14" s="47"/>
      <c r="I14" s="60" t="str" cm="1">
        <f t="array" aca="1" ref="I14"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14" s="60" t="str" cm="1">
        <f t="array" aca="1" ref="J14"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14" s="60" t="str" cm="1">
        <f t="array" aca="1" ref="K14"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14" s="60" t="str" cm="1">
        <f t="array" aca="1" ref="L14"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14" s="60" t="str" cm="1">
        <f t="array" aca="1" ref="M14"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14" s="60" t="str" cm="1">
        <f t="array" aca="1" ref="N14"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14" s="60" t="str" cm="1">
        <f t="array" aca="1" ref="O14"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14" s="60" t="str" cm="1">
        <f t="array" aca="1" ref="P14"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14" s="60" t="str" cm="1">
        <f t="array" aca="1" ref="Q14"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14" s="60" t="str" cm="1">
        <f t="array" aca="1" ref="R14"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14" s="60" t="str" cm="1">
        <f t="array" aca="1" ref="S14"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14" s="60" t="str" cm="1">
        <f t="array" aca="1" ref="T14"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14" s="60" t="str" cm="1">
        <f t="array" aca="1" ref="U14"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14" s="60" t="str" cm="1">
        <f t="array" aca="1" ref="V14"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14" s="60" t="str" cm="1">
        <f t="array" aca="1" ref="W14"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14" s="60" t="str" cm="1">
        <f t="array" aca="1" ref="X14"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14" s="60" t="str" cm="1">
        <f t="array" aca="1" ref="Y14"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14" s="60" t="str" cm="1">
        <f t="array" aca="1" ref="Z14"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14" s="60" t="str" cm="1">
        <f t="array" aca="1" ref="AA14"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14" s="60" t="str" cm="1">
        <f t="array" aca="1" ref="AB14"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14" s="60" t="str" cm="1">
        <f t="array" aca="1" ref="AC14"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14" s="60" t="str" cm="1">
        <f t="array" aca="1" ref="AD14"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14" s="60" t="str" cm="1">
        <f t="array" aca="1" ref="AE14"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14" s="60" t="str" cm="1">
        <f t="array" aca="1" ref="AF14"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14" s="60" t="str" cm="1">
        <f t="array" aca="1" ref="AG14"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14" s="60" t="str" cm="1">
        <f t="array" aca="1" ref="AH14"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14" s="60" t="str" cm="1">
        <f t="array" aca="1" ref="AI14"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14" s="60" t="str" cm="1">
        <f t="array" aca="1" ref="AJ14"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14" s="60" t="str" cm="1">
        <f t="array" aca="1" ref="AK14"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14" s="60" t="str" cm="1">
        <f t="array" aca="1" ref="AL14"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14" s="60" t="str" cm="1">
        <f t="array" aca="1" ref="AM14"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14" s="60" t="str" cm="1">
        <f t="array" aca="1" ref="AN14"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14" s="60" t="str" cm="1">
        <f t="array" aca="1" ref="AO14"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14" s="60" t="str" cm="1">
        <f t="array" aca="1" ref="AP14"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14" s="60" t="str" cm="1">
        <f t="array" aca="1" ref="AQ14"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14" s="60" t="str" cm="1">
        <f t="array" aca="1" ref="AR14"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14" s="60" t="str" cm="1">
        <f t="array" aca="1" ref="AS14"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14" s="60" t="str" cm="1">
        <f t="array" aca="1" ref="AT14"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14" s="60" t="str" cm="1">
        <f t="array" aca="1" ref="AU14"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14" s="60" t="str" cm="1">
        <f t="array" aca="1" ref="AV14"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14" s="60" t="str" cm="1">
        <f t="array" aca="1" ref="AW14"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14" s="60" t="str" cm="1">
        <f t="array" aca="1" ref="AX14"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14" s="60" t="str" cm="1">
        <f t="array" aca="1" ref="AY14"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14" s="60" t="str" cm="1">
        <f t="array" aca="1" ref="AZ14"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14" s="60" t="str" cm="1">
        <f t="array" aca="1" ref="BA14"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14" s="60" t="str" cm="1">
        <f t="array" aca="1" ref="BB14"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14" s="60" t="str" cm="1">
        <f t="array" aca="1" ref="BC14"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14" s="60" t="str" cm="1">
        <f t="array" aca="1" ref="BD14"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14" s="60" t="str" cm="1">
        <f t="array" aca="1" ref="BE14"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14" s="60" t="str" cm="1">
        <f t="array" aca="1" ref="BF14"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14" s="60" t="str" cm="1">
        <f t="array" aca="1" ref="BG14"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14" s="60" t="str" cm="1">
        <f t="array" aca="1" ref="BH14"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14" s="60" t="str" cm="1">
        <f t="array" aca="1" ref="BI14"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14" s="60" t="str" cm="1">
        <f t="array" aca="1" ref="BJ14"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14" s="60" t="str" cm="1">
        <f t="array" aca="1" ref="BK14"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14" s="60" t="str" cm="1">
        <f t="array" aca="1" ref="BL14"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14" s="60" t="str" cm="1">
        <f t="array" aca="1" ref="BM14"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14" s="60" t="str" cm="1">
        <f t="array" aca="1" ref="BN14"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14" s="60" t="str" cm="1">
        <f t="array" aca="1" ref="BO14"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14" s="60" t="str" cm="1">
        <f t="array" aca="1" ref="BP14"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14" s="60" t="str" cm="1">
        <f t="array" aca="1" ref="BQ14"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14" s="60" t="str" cm="1">
        <f t="array" aca="1" ref="BR14"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14" s="60" t="str" cm="1">
        <f t="array" aca="1" ref="BS14"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14" s="60" t="str" cm="1">
        <f t="array" aca="1" ref="BT14"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14" s="60" t="str" cm="1">
        <f t="array" aca="1" ref="BU14"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14" s="60" t="str" cm="1">
        <f t="array" aca="1" ref="BV14"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14" s="60" t="str" cm="1">
        <f t="array" aca="1" ref="BW14"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14" s="60" t="str" cm="1">
        <f t="array" aca="1" ref="BX14"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14" s="60" t="str" cm="1">
        <f t="array" aca="1" ref="BY14"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14" s="60" t="str" cm="1">
        <f t="array" aca="1" ref="BZ14"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14" s="60" t="str" cm="1">
        <f t="array" aca="1" ref="CA14"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14" s="60" t="str" cm="1">
        <f t="array" aca="1" ref="CB14"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14" s="60" t="str" cm="1">
        <f t="array" aca="1" ref="CC14"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14" s="60" t="str" cm="1">
        <f t="array" aca="1" ref="CD14"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14" s="60" t="str" cm="1">
        <f t="array" aca="1" ref="CE14"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14" s="60" t="str" cm="1">
        <f t="array" aca="1" ref="CF14"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14" s="60" t="str" cm="1">
        <f t="array" aca="1" ref="CG14"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14" s="60" t="str" cm="1">
        <f t="array" aca="1" ref="CH14"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14" s="60" t="str" cm="1">
        <f t="array" aca="1" ref="CI14"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14" s="60" t="str" cm="1">
        <f t="array" aca="1" ref="CJ14"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15" spans="1:88">
      <c r="A15" s="49" t="s">
        <v>298</v>
      </c>
      <c r="B15" s="44" t="s">
        <v>299</v>
      </c>
      <c r="C15" s="44" t="s">
        <v>300</v>
      </c>
      <c r="D15" s="44" t="s">
        <v>29</v>
      </c>
      <c r="E15" s="44" t="s">
        <v>345</v>
      </c>
      <c r="F15" s="45"/>
      <c r="G15" s="46"/>
      <c r="H15" s="47"/>
      <c r="I15" s="60" t="str" cm="1">
        <f t="array" aca="1" ref="I15"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15" s="60" t="str" cm="1">
        <f t="array" aca="1" ref="J15"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15" s="60" t="str" cm="1">
        <f t="array" aca="1" ref="K15"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15" s="60" t="str" cm="1">
        <f t="array" aca="1" ref="L15"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15" s="60" t="str" cm="1">
        <f t="array" aca="1" ref="M15"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15" s="60" t="str" cm="1">
        <f t="array" aca="1" ref="N15"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15" s="60" t="str" cm="1">
        <f t="array" aca="1" ref="O15"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15" s="60" t="str" cm="1">
        <f t="array" aca="1" ref="P15"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15" s="60" t="str" cm="1">
        <f t="array" aca="1" ref="Q15"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15" s="60" t="str" cm="1">
        <f t="array" aca="1" ref="R15"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15" s="60" t="str" cm="1">
        <f t="array" aca="1" ref="S15"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15" s="60" t="str" cm="1">
        <f t="array" aca="1" ref="T15"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15" s="60" t="str" cm="1">
        <f t="array" aca="1" ref="U15"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15" s="60" t="str" cm="1">
        <f t="array" aca="1" ref="V15"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15" s="60" t="str" cm="1">
        <f t="array" aca="1" ref="W15"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15" s="60" t="str" cm="1">
        <f t="array" aca="1" ref="X15"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15" s="60" t="str" cm="1">
        <f t="array" aca="1" ref="Y15"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15" s="60" t="str" cm="1">
        <f t="array" aca="1" ref="Z15"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15" s="60" t="str" cm="1">
        <f t="array" aca="1" ref="AA15"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15" s="60" t="str" cm="1">
        <f t="array" aca="1" ref="AB15"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15" s="60" t="str" cm="1">
        <f t="array" aca="1" ref="AC15"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15" s="60" t="str" cm="1">
        <f t="array" aca="1" ref="AD15"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15" s="60" t="str" cm="1">
        <f t="array" aca="1" ref="AE15"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15" s="60" t="str" cm="1">
        <f t="array" aca="1" ref="AF15"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15" s="60" t="str" cm="1">
        <f t="array" aca="1" ref="AG15"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15" s="60" t="str" cm="1">
        <f t="array" aca="1" ref="AH15"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15" s="60" t="str" cm="1">
        <f t="array" aca="1" ref="AI15"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15" s="60" t="str" cm="1">
        <f t="array" aca="1" ref="AJ15"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15" s="60" t="str" cm="1">
        <f t="array" aca="1" ref="AK15"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15" s="60" t="str" cm="1">
        <f t="array" aca="1" ref="AL15"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15" s="60" t="str" cm="1">
        <f t="array" aca="1" ref="AM15"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15" s="60" t="str" cm="1">
        <f t="array" aca="1" ref="AN15"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15" s="60" t="str" cm="1">
        <f t="array" aca="1" ref="AO15"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15" s="60" t="str" cm="1">
        <f t="array" aca="1" ref="AP15"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15" s="60" t="str" cm="1">
        <f t="array" aca="1" ref="AQ15"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15" s="60" t="str" cm="1">
        <f t="array" aca="1" ref="AR15"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15" s="60" t="str" cm="1">
        <f t="array" aca="1" ref="AS15"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15" s="60" t="str" cm="1">
        <f t="array" aca="1" ref="AT15"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15" s="60" t="str" cm="1">
        <f t="array" aca="1" ref="AU15"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15" s="60" t="str" cm="1">
        <f t="array" aca="1" ref="AV15"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15" s="60" t="str" cm="1">
        <f t="array" aca="1" ref="AW15"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15" s="60" t="str" cm="1">
        <f t="array" aca="1" ref="AX15"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15" s="60" t="str" cm="1">
        <f t="array" aca="1" ref="AY15"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15" s="60" t="str" cm="1">
        <f t="array" aca="1" ref="AZ15"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15" s="60" t="str" cm="1">
        <f t="array" aca="1" ref="BA15"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15" s="60" t="str" cm="1">
        <f t="array" aca="1" ref="BB15"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15" s="60" t="str" cm="1">
        <f t="array" aca="1" ref="BC15"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15" s="60" t="str" cm="1">
        <f t="array" aca="1" ref="BD15"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15" s="60" t="str" cm="1">
        <f t="array" aca="1" ref="BE15"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15" s="60" t="str" cm="1">
        <f t="array" aca="1" ref="BF15"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15" s="60" t="str" cm="1">
        <f t="array" aca="1" ref="BG15"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15" s="60" t="str" cm="1">
        <f t="array" aca="1" ref="BH15"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15" s="60" t="str" cm="1">
        <f t="array" aca="1" ref="BI15"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15" s="60" t="str" cm="1">
        <f t="array" aca="1" ref="BJ15"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15" s="60" t="str" cm="1">
        <f t="array" aca="1" ref="BK15"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15" s="60" t="str" cm="1">
        <f t="array" aca="1" ref="BL15"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15" s="60" t="str" cm="1">
        <f t="array" aca="1" ref="BM15"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15" s="60" t="str" cm="1">
        <f t="array" aca="1" ref="BN15"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15" s="60" t="str" cm="1">
        <f t="array" aca="1" ref="BO15"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15" s="60" t="str" cm="1">
        <f t="array" aca="1" ref="BP15"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15" s="60" t="str" cm="1">
        <f t="array" aca="1" ref="BQ15"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15" s="60" t="str" cm="1">
        <f t="array" aca="1" ref="BR15"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15" s="60" t="str" cm="1">
        <f t="array" aca="1" ref="BS15"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15" s="60" t="str" cm="1">
        <f t="array" aca="1" ref="BT15"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15" s="60" t="str" cm="1">
        <f t="array" aca="1" ref="BU15"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15" s="60" t="str" cm="1">
        <f t="array" aca="1" ref="BV15"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15" s="60" t="str" cm="1">
        <f t="array" aca="1" ref="BW15"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15" s="60" t="str" cm="1">
        <f t="array" aca="1" ref="BX15"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15" s="60" t="str" cm="1">
        <f t="array" aca="1" ref="BY15"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15" s="60" t="str" cm="1">
        <f t="array" aca="1" ref="BZ15"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15" s="60" t="str" cm="1">
        <f t="array" aca="1" ref="CA15"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15" s="60" t="str" cm="1">
        <f t="array" aca="1" ref="CB15"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15" s="60" t="str" cm="1">
        <f t="array" aca="1" ref="CC15"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15" s="60" t="str" cm="1">
        <f t="array" aca="1" ref="CD15"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15" s="60" t="str" cm="1">
        <f t="array" aca="1" ref="CE15"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15" s="60" t="str" cm="1">
        <f t="array" aca="1" ref="CF15"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15" s="60" t="str" cm="1">
        <f t="array" aca="1" ref="CG15"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15" s="60" t="str" cm="1">
        <f t="array" aca="1" ref="CH15"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15" s="60" t="str" cm="1">
        <f t="array" aca="1" ref="CI15"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15" s="60" t="str" cm="1">
        <f t="array" aca="1" ref="CJ15"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16" spans="1:88">
      <c r="A16" s="49" t="s">
        <v>281</v>
      </c>
      <c r="B16" s="44" t="s">
        <v>282</v>
      </c>
      <c r="C16" s="44" t="s">
        <v>283</v>
      </c>
      <c r="D16" s="44" t="s">
        <v>29</v>
      </c>
      <c r="E16" s="44" t="s">
        <v>345</v>
      </c>
      <c r="F16" s="45"/>
      <c r="G16" s="46"/>
      <c r="H16" s="47"/>
      <c r="I16" s="60" t="str" cm="1">
        <f t="array" aca="1" ref="I16"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16" s="60" t="str" cm="1">
        <f t="array" aca="1" ref="J16"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16" s="60" t="str" cm="1">
        <f t="array" aca="1" ref="K16"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16" s="60" t="str" cm="1">
        <f t="array" aca="1" ref="L16"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16" s="60" t="str" cm="1">
        <f t="array" aca="1" ref="M16"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16" s="60" t="str" cm="1">
        <f t="array" aca="1" ref="N16"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16" s="60" t="str" cm="1">
        <f t="array" aca="1" ref="O16"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16" s="60" t="str" cm="1">
        <f t="array" aca="1" ref="P16"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16" s="60" t="str" cm="1">
        <f t="array" aca="1" ref="Q16"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16" s="60" t="str" cm="1">
        <f t="array" aca="1" ref="R16"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16" s="60" t="str" cm="1">
        <f t="array" aca="1" ref="S16"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16" s="60" t="str" cm="1">
        <f t="array" aca="1" ref="T16"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16" s="60" t="str" cm="1">
        <f t="array" aca="1" ref="U16"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16" s="60" t="str" cm="1">
        <f t="array" aca="1" ref="V16"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16" s="60" t="str" cm="1">
        <f t="array" aca="1" ref="W16"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16" s="60" t="str" cm="1">
        <f t="array" aca="1" ref="X16"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16" s="60" t="str" cm="1">
        <f t="array" aca="1" ref="Y16"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16" s="60" t="str" cm="1">
        <f t="array" aca="1" ref="Z16"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16" s="60" t="str" cm="1">
        <f t="array" aca="1" ref="AA16"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16" s="60" t="str" cm="1">
        <f t="array" aca="1" ref="AB16"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16" s="60" t="str" cm="1">
        <f t="array" aca="1" ref="AC16"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16" s="60" t="str" cm="1">
        <f t="array" aca="1" ref="AD16"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16" s="60" t="str" cm="1">
        <f t="array" aca="1" ref="AE16"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16" s="60" t="str" cm="1">
        <f t="array" aca="1" ref="AF16"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16" s="60" t="str" cm="1">
        <f t="array" aca="1" ref="AG16"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16" s="60" t="str" cm="1">
        <f t="array" aca="1" ref="AH16"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16" s="60" t="str" cm="1">
        <f t="array" aca="1" ref="AI16"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16" s="60" t="str" cm="1">
        <f t="array" aca="1" ref="AJ16"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16" s="60" t="str" cm="1">
        <f t="array" aca="1" ref="AK16"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16" s="60" t="str" cm="1">
        <f t="array" aca="1" ref="AL16"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16" s="60" t="str" cm="1">
        <f t="array" aca="1" ref="AM16"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16" s="60" t="str" cm="1">
        <f t="array" aca="1" ref="AN16"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16" s="60" t="str" cm="1">
        <f t="array" aca="1" ref="AO16"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16" s="60" t="str" cm="1">
        <f t="array" aca="1" ref="AP16"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16" s="60" t="str" cm="1">
        <f t="array" aca="1" ref="AQ16"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16" s="60" t="str" cm="1">
        <f t="array" aca="1" ref="AR16"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16" s="60" t="str" cm="1">
        <f t="array" aca="1" ref="AS16"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16" s="60" t="str" cm="1">
        <f t="array" aca="1" ref="AT16"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16" s="60" t="str" cm="1">
        <f t="array" aca="1" ref="AU16"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16" s="60" t="str" cm="1">
        <f t="array" aca="1" ref="AV16"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16" s="60" t="str" cm="1">
        <f t="array" aca="1" ref="AW16"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16" s="60" t="str" cm="1">
        <f t="array" aca="1" ref="AX16"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16" s="60" t="str" cm="1">
        <f t="array" aca="1" ref="AY16"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16" s="60" t="str" cm="1">
        <f t="array" aca="1" ref="AZ16"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16" s="60" t="str" cm="1">
        <f t="array" aca="1" ref="BA16"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16" s="60" t="str" cm="1">
        <f t="array" aca="1" ref="BB16"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16" s="60" t="str" cm="1">
        <f t="array" aca="1" ref="BC16"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16" s="60" t="str" cm="1">
        <f t="array" aca="1" ref="BD16"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16" s="60" t="str" cm="1">
        <f t="array" aca="1" ref="BE16"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16" s="60" t="str" cm="1">
        <f t="array" aca="1" ref="BF16"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16" s="60" t="str" cm="1">
        <f t="array" aca="1" ref="BG16"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16" s="60" t="str" cm="1">
        <f t="array" aca="1" ref="BH16"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16" s="60" t="str" cm="1">
        <f t="array" aca="1" ref="BI16"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16" s="60" t="str" cm="1">
        <f t="array" aca="1" ref="BJ16"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16" s="60" t="str" cm="1">
        <f t="array" aca="1" ref="BK16"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16" s="60" t="str" cm="1">
        <f t="array" aca="1" ref="BL16"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16" s="60" t="str" cm="1">
        <f t="array" aca="1" ref="BM16"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16" s="60" t="str" cm="1">
        <f t="array" aca="1" ref="BN16"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16" s="60" t="str" cm="1">
        <f t="array" aca="1" ref="BO16"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16" s="60" t="str" cm="1">
        <f t="array" aca="1" ref="BP16"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16" s="60" t="str" cm="1">
        <f t="array" aca="1" ref="BQ16"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16" s="60" t="str" cm="1">
        <f t="array" aca="1" ref="BR16"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16" s="60" t="str" cm="1">
        <f t="array" aca="1" ref="BS16"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16" s="60" t="str" cm="1">
        <f t="array" aca="1" ref="BT16"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16" s="60" t="str" cm="1">
        <f t="array" aca="1" ref="BU16"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16" s="60" t="str" cm="1">
        <f t="array" aca="1" ref="BV16"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16" s="60" t="str" cm="1">
        <f t="array" aca="1" ref="BW16"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16" s="60" t="str" cm="1">
        <f t="array" aca="1" ref="BX16"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16" s="60" t="str" cm="1">
        <f t="array" aca="1" ref="BY16"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16" s="60" t="str" cm="1">
        <f t="array" aca="1" ref="BZ16"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16" s="60" t="str" cm="1">
        <f t="array" aca="1" ref="CA16"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16" s="60" t="str" cm="1">
        <f t="array" aca="1" ref="CB16"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16" s="60" t="str" cm="1">
        <f t="array" aca="1" ref="CC16"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16" s="60" t="str" cm="1">
        <f t="array" aca="1" ref="CD16"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16" s="60" t="str" cm="1">
        <f t="array" aca="1" ref="CE16"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16" s="60" t="str" cm="1">
        <f t="array" aca="1" ref="CF16"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16" s="60" t="str" cm="1">
        <f t="array" aca="1" ref="CG16"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16" s="60" t="str" cm="1">
        <f t="array" aca="1" ref="CH16"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16" s="60" t="str" cm="1">
        <f t="array" aca="1" ref="CI16"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16" s="60" t="str" cm="1">
        <f t="array" aca="1" ref="CJ16"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17" spans="1:88">
      <c r="A17" s="49" t="s">
        <v>252</v>
      </c>
      <c r="B17" s="44" t="s">
        <v>253</v>
      </c>
      <c r="C17" s="44" t="s">
        <v>254</v>
      </c>
      <c r="D17" s="44" t="s">
        <v>28</v>
      </c>
      <c r="E17" s="44" t="s">
        <v>345</v>
      </c>
      <c r="F17" s="45"/>
      <c r="G17" s="46"/>
      <c r="H17" s="47"/>
      <c r="I17" s="60" t="str" cm="1">
        <f t="array" aca="1" ref="I17"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17" s="60" t="str" cm="1">
        <f t="array" aca="1" ref="J17"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17" s="60" t="str" cm="1">
        <f t="array" aca="1" ref="K17"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17" s="60" t="str" cm="1">
        <f t="array" aca="1" ref="L17"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17" s="60" t="str" cm="1">
        <f t="array" aca="1" ref="M17"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17" s="60" t="str" cm="1">
        <f t="array" aca="1" ref="N17"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17" s="60" t="str" cm="1">
        <f t="array" aca="1" ref="O17"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17" s="60" t="str" cm="1">
        <f t="array" aca="1" ref="P17"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17" s="60" t="str" cm="1">
        <f t="array" aca="1" ref="Q17"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17" s="60" t="str" cm="1">
        <f t="array" aca="1" ref="R17"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17" s="60" t="str" cm="1">
        <f t="array" aca="1" ref="S17"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17" s="60" t="str" cm="1">
        <f t="array" aca="1" ref="T17"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17" s="60" t="str" cm="1">
        <f t="array" aca="1" ref="U17"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17" s="60" t="str" cm="1">
        <f t="array" aca="1" ref="V17"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17" s="60" t="str" cm="1">
        <f t="array" aca="1" ref="W17"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17" s="60" t="str" cm="1">
        <f t="array" aca="1" ref="X17"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17" s="60" t="str" cm="1">
        <f t="array" aca="1" ref="Y17"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17" s="60" t="str" cm="1">
        <f t="array" aca="1" ref="Z17"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17" s="60" t="str" cm="1">
        <f t="array" aca="1" ref="AA17"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17" s="60" t="str" cm="1">
        <f t="array" aca="1" ref="AB17"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17" s="60" t="str" cm="1">
        <f t="array" aca="1" ref="AC17"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17" s="60" t="str" cm="1">
        <f t="array" aca="1" ref="AD17"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17" s="60" t="str" cm="1">
        <f t="array" aca="1" ref="AE17"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17" s="60" t="str" cm="1">
        <f t="array" aca="1" ref="AF17"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17" s="60" t="str" cm="1">
        <f t="array" aca="1" ref="AG17"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17" s="60" t="str" cm="1">
        <f t="array" aca="1" ref="AH17"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17" s="60" t="str" cm="1">
        <f t="array" aca="1" ref="AI17"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17" s="60" t="str" cm="1">
        <f t="array" aca="1" ref="AJ17"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17" s="60" t="str" cm="1">
        <f t="array" aca="1" ref="AK17"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17" s="60" t="str" cm="1">
        <f t="array" aca="1" ref="AL17"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17" s="60" t="str" cm="1">
        <f t="array" aca="1" ref="AM17"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17" s="60" t="str" cm="1">
        <f t="array" aca="1" ref="AN17"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17" s="60" t="str" cm="1">
        <f t="array" aca="1" ref="AO17"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17" s="60" t="str" cm="1">
        <f t="array" aca="1" ref="AP17"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17" s="60" t="str" cm="1">
        <f t="array" aca="1" ref="AQ17"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17" s="60" t="str" cm="1">
        <f t="array" aca="1" ref="AR17"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17" s="60" t="str" cm="1">
        <f t="array" aca="1" ref="AS17"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17" s="60" t="str" cm="1">
        <f t="array" aca="1" ref="AT17"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17" s="60" t="str" cm="1">
        <f t="array" aca="1" ref="AU17"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17" s="60" t="str" cm="1">
        <f t="array" aca="1" ref="AV17"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17" s="60" t="str" cm="1">
        <f t="array" aca="1" ref="AW17"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17" s="60" t="str" cm="1">
        <f t="array" aca="1" ref="AX17"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17" s="60" t="str" cm="1">
        <f t="array" aca="1" ref="AY17"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17" s="60" t="str" cm="1">
        <f t="array" aca="1" ref="AZ17"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17" s="60" t="str" cm="1">
        <f t="array" aca="1" ref="BA17"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17" s="60" t="str" cm="1">
        <f t="array" aca="1" ref="BB17"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17" s="60" t="str" cm="1">
        <f t="array" aca="1" ref="BC17"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17" s="60" t="str" cm="1">
        <f t="array" aca="1" ref="BD17"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17" s="60" t="str" cm="1">
        <f t="array" aca="1" ref="BE17"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17" s="60" t="str" cm="1">
        <f t="array" aca="1" ref="BF17"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17" s="60" t="str" cm="1">
        <f t="array" aca="1" ref="BG17"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17" s="60" t="str" cm="1">
        <f t="array" aca="1" ref="BH17"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17" s="60" t="str" cm="1">
        <f t="array" aca="1" ref="BI17"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17" s="60" t="str" cm="1">
        <f t="array" aca="1" ref="BJ17"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17" s="60" t="str" cm="1">
        <f t="array" aca="1" ref="BK17"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17" s="60" t="str" cm="1">
        <f t="array" aca="1" ref="BL17"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17" s="60" t="str" cm="1">
        <f t="array" aca="1" ref="BM17"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17" s="60" t="str" cm="1">
        <f t="array" aca="1" ref="BN17"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17" s="60" t="str" cm="1">
        <f t="array" aca="1" ref="BO17"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17" s="60" t="str" cm="1">
        <f t="array" aca="1" ref="BP17"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17" s="60" t="str" cm="1">
        <f t="array" aca="1" ref="BQ17"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17" s="60" t="str" cm="1">
        <f t="array" aca="1" ref="BR17"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17" s="60" t="str" cm="1">
        <f t="array" aca="1" ref="BS17"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17" s="60" t="str" cm="1">
        <f t="array" aca="1" ref="BT17"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17" s="60" t="str" cm="1">
        <f t="array" aca="1" ref="BU17"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17" s="60" t="str" cm="1">
        <f t="array" aca="1" ref="BV17"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17" s="60" t="str" cm="1">
        <f t="array" aca="1" ref="BW17"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17" s="60" t="str" cm="1">
        <f t="array" aca="1" ref="BX17"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17" s="60" t="str" cm="1">
        <f t="array" aca="1" ref="BY17"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17" s="60" t="str" cm="1">
        <f t="array" aca="1" ref="BZ17"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17" s="60" t="str" cm="1">
        <f t="array" aca="1" ref="CA17"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17" s="60" t="str" cm="1">
        <f t="array" aca="1" ref="CB17"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17" s="60" t="str" cm="1">
        <f t="array" aca="1" ref="CC17"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17" s="60" t="str" cm="1">
        <f t="array" aca="1" ref="CD17"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17" s="60" t="str" cm="1">
        <f t="array" aca="1" ref="CE17"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17" s="60" t="str" cm="1">
        <f t="array" aca="1" ref="CF17"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17" s="60" t="str" cm="1">
        <f t="array" aca="1" ref="CG17"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17" s="60" t="str" cm="1">
        <f t="array" aca="1" ref="CH17"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17" s="60" t="str" cm="1">
        <f t="array" aca="1" ref="CI17"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17" s="60" t="str" cm="1">
        <f t="array" aca="1" ref="CJ17"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18" spans="1:88">
      <c r="A18" s="49" t="s">
        <v>314</v>
      </c>
      <c r="B18" s="44" t="s">
        <v>315</v>
      </c>
      <c r="C18" s="44" t="s">
        <v>316</v>
      </c>
      <c r="D18" s="44" t="s">
        <v>27</v>
      </c>
      <c r="E18" s="44" t="s">
        <v>345</v>
      </c>
      <c r="F18" s="45"/>
      <c r="G18" s="46"/>
      <c r="H18" s="47"/>
      <c r="I18" s="60" t="str" cm="1">
        <f t="array" aca="1" ref="I18"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18" s="60" t="str" cm="1">
        <f t="array" aca="1" ref="J18"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18" s="60" t="str" cm="1">
        <f t="array" aca="1" ref="K18"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18" s="60" t="str" cm="1">
        <f t="array" aca="1" ref="L18"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18" s="60" t="str" cm="1">
        <f t="array" aca="1" ref="M18"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18" s="60" t="str" cm="1">
        <f t="array" aca="1" ref="N18"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18" s="60" t="str" cm="1">
        <f t="array" aca="1" ref="O18"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18" s="60" t="str" cm="1">
        <f t="array" aca="1" ref="P18"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18" s="60" t="str" cm="1">
        <f t="array" aca="1" ref="Q18"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18" s="60" t="str" cm="1">
        <f t="array" aca="1" ref="R18"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18" s="60" t="str" cm="1">
        <f t="array" aca="1" ref="S18"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18" s="60" t="str" cm="1">
        <f t="array" aca="1" ref="T18"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18" s="60" t="str" cm="1">
        <f t="array" aca="1" ref="U18"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18" s="60" t="str" cm="1">
        <f t="array" aca="1" ref="V18"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18" s="60" t="str" cm="1">
        <f t="array" aca="1" ref="W18"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18" s="60" t="str" cm="1">
        <f t="array" aca="1" ref="X18"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18" s="60" t="str" cm="1">
        <f t="array" aca="1" ref="Y18"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18" s="60" t="str" cm="1">
        <f t="array" aca="1" ref="Z18"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18" s="60" t="str" cm="1">
        <f t="array" aca="1" ref="AA18"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18" s="60" t="str" cm="1">
        <f t="array" aca="1" ref="AB18"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18" s="60" t="str" cm="1">
        <f t="array" aca="1" ref="AC18"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18" s="60" t="str" cm="1">
        <f t="array" aca="1" ref="AD18"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18" s="60" t="str" cm="1">
        <f t="array" aca="1" ref="AE18"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18" s="60" t="str" cm="1">
        <f t="array" aca="1" ref="AF18"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18" s="60" t="str" cm="1">
        <f t="array" aca="1" ref="AG18"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18" s="60" t="str" cm="1">
        <f t="array" aca="1" ref="AH18"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18" s="60" t="str" cm="1">
        <f t="array" aca="1" ref="AI18"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18" s="60" t="str" cm="1">
        <f t="array" aca="1" ref="AJ18"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18" s="60" t="str" cm="1">
        <f t="array" aca="1" ref="AK18"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18" s="60" t="str" cm="1">
        <f t="array" aca="1" ref="AL18"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18" s="60" t="str" cm="1">
        <f t="array" aca="1" ref="AM18"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18" s="60" t="str" cm="1">
        <f t="array" aca="1" ref="AN18"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18" s="60" t="str" cm="1">
        <f t="array" aca="1" ref="AO18"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18" s="60" t="str" cm="1">
        <f t="array" aca="1" ref="AP18"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18" s="60" t="str" cm="1">
        <f t="array" aca="1" ref="AQ18"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18" s="60" t="str" cm="1">
        <f t="array" aca="1" ref="AR18"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18" s="60" t="str" cm="1">
        <f t="array" aca="1" ref="AS18"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18" s="60" t="str" cm="1">
        <f t="array" aca="1" ref="AT18"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18" s="60" t="str" cm="1">
        <f t="array" aca="1" ref="AU18"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18" s="60" t="str" cm="1">
        <f t="array" aca="1" ref="AV18"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18" s="60" t="str" cm="1">
        <f t="array" aca="1" ref="AW18"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18" s="60" t="str" cm="1">
        <f t="array" aca="1" ref="AX18"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18" s="60" t="str" cm="1">
        <f t="array" aca="1" ref="AY18"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18" s="60" t="str" cm="1">
        <f t="array" aca="1" ref="AZ18"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18" s="60" t="str" cm="1">
        <f t="array" aca="1" ref="BA18"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18" s="60" t="str" cm="1">
        <f t="array" aca="1" ref="BB18"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18" s="60" t="str" cm="1">
        <f t="array" aca="1" ref="BC18"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18" s="60" t="str" cm="1">
        <f t="array" aca="1" ref="BD18"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18" s="60" t="str" cm="1">
        <f t="array" aca="1" ref="BE18"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18" s="60" t="str" cm="1">
        <f t="array" aca="1" ref="BF18"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18" s="60" t="str" cm="1">
        <f t="array" aca="1" ref="BG18"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18" s="60" t="str" cm="1">
        <f t="array" aca="1" ref="BH18"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18" s="60" t="str" cm="1">
        <f t="array" aca="1" ref="BI18"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18" s="60" t="str" cm="1">
        <f t="array" aca="1" ref="BJ18"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18" s="60" t="str" cm="1">
        <f t="array" aca="1" ref="BK18"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18" s="60" t="str" cm="1">
        <f t="array" aca="1" ref="BL18"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18" s="60" t="str" cm="1">
        <f t="array" aca="1" ref="BM18"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18" s="60" t="str" cm="1">
        <f t="array" aca="1" ref="BN18"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18" s="60" t="str" cm="1">
        <f t="array" aca="1" ref="BO18"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18" s="60" t="str" cm="1">
        <f t="array" aca="1" ref="BP18"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18" s="60" t="str" cm="1">
        <f t="array" aca="1" ref="BQ18"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18" s="60" t="str" cm="1">
        <f t="array" aca="1" ref="BR18"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18" s="60" t="str" cm="1">
        <f t="array" aca="1" ref="BS18"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18" s="60" t="str" cm="1">
        <f t="array" aca="1" ref="BT18"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18" s="60" t="str" cm="1">
        <f t="array" aca="1" ref="BU18"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18" s="60" t="str" cm="1">
        <f t="array" aca="1" ref="BV18"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18" s="60" t="str" cm="1">
        <f t="array" aca="1" ref="BW18"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18" s="60" t="str" cm="1">
        <f t="array" aca="1" ref="BX18"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18" s="60" t="str" cm="1">
        <f t="array" aca="1" ref="BY18"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18" s="60" t="str" cm="1">
        <f t="array" aca="1" ref="BZ18"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18" s="60" t="str" cm="1">
        <f t="array" aca="1" ref="CA18"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18" s="60" t="str" cm="1">
        <f t="array" aca="1" ref="CB18"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18" s="60" t="str" cm="1">
        <f t="array" aca="1" ref="CC18"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18" s="60" t="str" cm="1">
        <f t="array" aca="1" ref="CD18"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18" s="60" t="str" cm="1">
        <f t="array" aca="1" ref="CE18"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18" s="60" t="str" cm="1">
        <f t="array" aca="1" ref="CF18"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18" s="60" t="str" cm="1">
        <f t="array" aca="1" ref="CG18"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18" s="60" t="str" cm="1">
        <f t="array" aca="1" ref="CH18"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18" s="60" t="str" cm="1">
        <f t="array" aca="1" ref="CI18"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18" s="60" t="str" cm="1">
        <f t="array" aca="1" ref="CJ18"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19" spans="1:88">
      <c r="A19" s="50" t="s">
        <v>269</v>
      </c>
      <c r="B19" s="51" t="s">
        <v>270</v>
      </c>
      <c r="C19" s="51" t="s">
        <v>271</v>
      </c>
      <c r="D19" s="51" t="s">
        <v>26</v>
      </c>
      <c r="E19" s="51" t="s">
        <v>345</v>
      </c>
      <c r="F19" s="52"/>
      <c r="G19" s="53"/>
      <c r="H19" s="48"/>
      <c r="I19" s="60" t="str" cm="1">
        <f t="array" aca="1" ref="I19"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19" s="60" t="str" cm="1">
        <f t="array" aca="1" ref="J19"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19" s="60" t="str" cm="1">
        <f t="array" aca="1" ref="K19"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19" s="60" t="str" cm="1">
        <f t="array" aca="1" ref="L19"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19" s="60" t="str" cm="1">
        <f t="array" aca="1" ref="M19"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19" s="60" t="str" cm="1">
        <f t="array" aca="1" ref="N19"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19" s="60" t="str" cm="1">
        <f t="array" aca="1" ref="O19"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19" s="60" t="str" cm="1">
        <f t="array" aca="1" ref="P19"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19" s="60" t="str" cm="1">
        <f t="array" aca="1" ref="Q19"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19" s="60" t="str" cm="1">
        <f t="array" aca="1" ref="R19"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19" s="60" t="str" cm="1">
        <f t="array" aca="1" ref="S19"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19" s="60" t="str" cm="1">
        <f t="array" aca="1" ref="T19"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19" s="60" t="str" cm="1">
        <f t="array" aca="1" ref="U19"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19" s="60" t="str" cm="1">
        <f t="array" aca="1" ref="V19"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19" s="60" t="str" cm="1">
        <f t="array" aca="1" ref="W19"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19" s="60" t="str" cm="1">
        <f t="array" aca="1" ref="X19"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19" s="60" t="str" cm="1">
        <f t="array" aca="1" ref="Y19"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19" s="60" t="str" cm="1">
        <f t="array" aca="1" ref="Z19"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19" s="60" t="str" cm="1">
        <f t="array" aca="1" ref="AA19"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19" s="60" t="str" cm="1">
        <f t="array" aca="1" ref="AB19"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19" s="60" t="str" cm="1">
        <f t="array" aca="1" ref="AC19"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19" s="60" t="str" cm="1">
        <f t="array" aca="1" ref="AD19"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19" s="60" t="str" cm="1">
        <f t="array" aca="1" ref="AE19"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19" s="60" t="str" cm="1">
        <f t="array" aca="1" ref="AF19"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19" s="60" t="str" cm="1">
        <f t="array" aca="1" ref="AG19"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19" s="60" t="str" cm="1">
        <f t="array" aca="1" ref="AH19"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19" s="60" t="str" cm="1">
        <f t="array" aca="1" ref="AI19"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19" s="60" t="str" cm="1">
        <f t="array" aca="1" ref="AJ19"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19" s="60" t="str" cm="1">
        <f t="array" aca="1" ref="AK19"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19" s="60" t="str" cm="1">
        <f t="array" aca="1" ref="AL19"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19" s="60" t="str" cm="1">
        <f t="array" aca="1" ref="AM19"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19" s="60" t="str" cm="1">
        <f t="array" aca="1" ref="AN19"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19" s="60" t="str" cm="1">
        <f t="array" aca="1" ref="AO19"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19" s="60" t="str" cm="1">
        <f t="array" aca="1" ref="AP19"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19" s="60" t="str" cm="1">
        <f t="array" aca="1" ref="AQ19"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19" s="60" t="str" cm="1">
        <f t="array" aca="1" ref="AR19"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19" s="60" t="str" cm="1">
        <f t="array" aca="1" ref="AS19"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19" s="60" t="str" cm="1">
        <f t="array" aca="1" ref="AT19"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19" s="60" t="str" cm="1">
        <f t="array" aca="1" ref="AU19"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19" s="60" t="str" cm="1">
        <f t="array" aca="1" ref="AV19"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19" s="60" t="str" cm="1">
        <f t="array" aca="1" ref="AW19"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19" s="60" t="str" cm="1">
        <f t="array" aca="1" ref="AX19"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19" s="60" t="str" cm="1">
        <f t="array" aca="1" ref="AY19"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19" s="60" t="str" cm="1">
        <f t="array" aca="1" ref="AZ19"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19" s="60" t="str" cm="1">
        <f t="array" aca="1" ref="BA19"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19" s="60" t="str" cm="1">
        <f t="array" aca="1" ref="BB19"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19" s="60" t="str" cm="1">
        <f t="array" aca="1" ref="BC19"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19" s="60" t="str" cm="1">
        <f t="array" aca="1" ref="BD19"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19" s="60" t="str" cm="1">
        <f t="array" aca="1" ref="BE19"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19" s="60" t="str" cm="1">
        <f t="array" aca="1" ref="BF19"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19" s="60" t="str" cm="1">
        <f t="array" aca="1" ref="BG19"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19" s="60" t="str" cm="1">
        <f t="array" aca="1" ref="BH19"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19" s="60" t="str" cm="1">
        <f t="array" aca="1" ref="BI19"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19" s="60" t="str" cm="1">
        <f t="array" aca="1" ref="BJ19"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19" s="60" t="str" cm="1">
        <f t="array" aca="1" ref="BK19"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19" s="60" t="str" cm="1">
        <f t="array" aca="1" ref="BL19"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19" s="60" t="str" cm="1">
        <f t="array" aca="1" ref="BM19"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19" s="60" t="str" cm="1">
        <f t="array" aca="1" ref="BN19"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19" s="60" t="str" cm="1">
        <f t="array" aca="1" ref="BO19"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19" s="60" t="str" cm="1">
        <f t="array" aca="1" ref="BP19"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19" s="60" t="str" cm="1">
        <f t="array" aca="1" ref="BQ19"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19" s="60" t="str" cm="1">
        <f t="array" aca="1" ref="BR19"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19" s="60" t="str" cm="1">
        <f t="array" aca="1" ref="BS19"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19" s="60" t="str" cm="1">
        <f t="array" aca="1" ref="BT19"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19" s="60" t="str" cm="1">
        <f t="array" aca="1" ref="BU19"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19" s="60" t="str" cm="1">
        <f t="array" aca="1" ref="BV19"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19" s="60" t="str" cm="1">
        <f t="array" aca="1" ref="BW19"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19" s="60" t="str" cm="1">
        <f t="array" aca="1" ref="BX19"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19" s="60" t="str" cm="1">
        <f t="array" aca="1" ref="BY19"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19" s="60" t="str" cm="1">
        <f t="array" aca="1" ref="BZ19"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19" s="60" t="str" cm="1">
        <f t="array" aca="1" ref="CA19"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19" s="60" t="str" cm="1">
        <f t="array" aca="1" ref="CB19"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19" s="60" t="str" cm="1">
        <f t="array" aca="1" ref="CC19"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19" s="60" t="str" cm="1">
        <f t="array" aca="1" ref="CD19"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19" s="60" t="str" cm="1">
        <f t="array" aca="1" ref="CE19"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19" s="60" t="str" cm="1">
        <f t="array" aca="1" ref="CF19"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19" s="60" t="str" cm="1">
        <f t="array" aca="1" ref="CG19"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19" s="60" t="str" cm="1">
        <f t="array" aca="1" ref="CH19"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19" s="60" t="str" cm="1">
        <f t="array" aca="1" ref="CI19"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19" s="60" t="str" cm="1">
        <f t="array" aca="1" ref="CJ19"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20" spans="1:88">
      <c r="A20" s="49" t="s">
        <v>332</v>
      </c>
      <c r="B20" s="44" t="s">
        <v>333</v>
      </c>
      <c r="C20" s="44"/>
      <c r="D20" s="44" t="s">
        <v>28</v>
      </c>
      <c r="E20" s="64" t="s">
        <v>345</v>
      </c>
      <c r="F20" s="45"/>
      <c r="G20" s="46"/>
      <c r="H20" s="47"/>
      <c r="I20" s="60" t="str" cm="1">
        <f t="array" aca="1" ref="I20"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20" s="60" t="str" cm="1">
        <f t="array" aca="1" ref="J20"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20" s="60" t="str" cm="1">
        <f t="array" aca="1" ref="K20"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20" s="60" t="str" cm="1">
        <f t="array" aca="1" ref="L20"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20" s="60" t="str" cm="1">
        <f t="array" aca="1" ref="M20"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20" s="60" t="str" cm="1">
        <f t="array" aca="1" ref="N20"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20" s="60" t="str" cm="1">
        <f t="array" aca="1" ref="O20"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20" s="60" t="str" cm="1">
        <f t="array" aca="1" ref="P20"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20" s="60" t="str" cm="1">
        <f t="array" aca="1" ref="Q20"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20" s="60" t="str" cm="1">
        <f t="array" aca="1" ref="R20"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20" s="60" t="str" cm="1">
        <f t="array" aca="1" ref="S20"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20" s="60" t="str" cm="1">
        <f t="array" aca="1" ref="T20"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20" s="60" t="str" cm="1">
        <f t="array" aca="1" ref="U20"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20" s="60" t="str" cm="1">
        <f t="array" aca="1" ref="V20"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20" s="60" t="str" cm="1">
        <f t="array" aca="1" ref="W20"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20" s="60" t="str" cm="1">
        <f t="array" aca="1" ref="X20"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20" s="60" t="str" cm="1">
        <f t="array" aca="1" ref="Y20"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20" s="60" t="str" cm="1">
        <f t="array" aca="1" ref="Z20"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20" s="60" t="str" cm="1">
        <f t="array" aca="1" ref="AA20"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20" s="60" t="str" cm="1">
        <f t="array" aca="1" ref="AB20"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20" s="60" t="str" cm="1">
        <f t="array" aca="1" ref="AC20"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20" s="60" t="str" cm="1">
        <f t="array" aca="1" ref="AD20"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20" s="60" t="str" cm="1">
        <f t="array" aca="1" ref="AE20"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20" s="60" t="str" cm="1">
        <f t="array" aca="1" ref="AF20"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20" s="60" t="str" cm="1">
        <f t="array" aca="1" ref="AG20"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20" s="60" t="str" cm="1">
        <f t="array" aca="1" ref="AH20"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20" s="60" t="str" cm="1">
        <f t="array" aca="1" ref="AI20"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20" s="60" t="str" cm="1">
        <f t="array" aca="1" ref="AJ20"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20" s="60" t="str" cm="1">
        <f t="array" aca="1" ref="AK20"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20" s="60" t="str" cm="1">
        <f t="array" aca="1" ref="AL20"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20" s="60" t="str" cm="1">
        <f t="array" aca="1" ref="AM20"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20" s="60" t="str" cm="1">
        <f t="array" aca="1" ref="AN20"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20" s="60" t="str" cm="1">
        <f t="array" aca="1" ref="AO20"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20" s="60" t="str" cm="1">
        <f t="array" aca="1" ref="AP20"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20" s="60" t="str" cm="1">
        <f t="array" aca="1" ref="AQ20"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20" s="60" t="str" cm="1">
        <f t="array" aca="1" ref="AR20"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20" s="60" t="str" cm="1">
        <f t="array" aca="1" ref="AS20"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20" s="60" t="str" cm="1">
        <f t="array" aca="1" ref="AT20"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20" s="60" t="str" cm="1">
        <f t="array" aca="1" ref="AU20"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20" s="60" t="str" cm="1">
        <f t="array" aca="1" ref="AV20"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20" s="60" t="str" cm="1">
        <f t="array" aca="1" ref="AW20"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20" s="60" t="str" cm="1">
        <f t="array" aca="1" ref="AX20"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20" s="60" t="str" cm="1">
        <f t="array" aca="1" ref="AY20"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20" s="60" t="str" cm="1">
        <f t="array" aca="1" ref="AZ20"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20" s="60" t="str" cm="1">
        <f t="array" aca="1" ref="BA20"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20" s="60" t="str" cm="1">
        <f t="array" aca="1" ref="BB20"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20" s="60" t="str" cm="1">
        <f t="array" aca="1" ref="BC20"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20" s="60" t="str" cm="1">
        <f t="array" aca="1" ref="BD20"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20" s="60" t="str" cm="1">
        <f t="array" aca="1" ref="BE20"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20" s="60" t="str" cm="1">
        <f t="array" aca="1" ref="BF20"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20" s="60" t="str" cm="1">
        <f t="array" aca="1" ref="BG20"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20" s="60" t="str" cm="1">
        <f t="array" aca="1" ref="BH20"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20" s="60" t="str" cm="1">
        <f t="array" aca="1" ref="BI20"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20" s="60" t="str" cm="1">
        <f t="array" aca="1" ref="BJ20"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20" s="60" t="str" cm="1">
        <f t="array" aca="1" ref="BK20"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20" s="60" t="str" cm="1">
        <f t="array" aca="1" ref="BL20"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20" s="60" t="str" cm="1">
        <f t="array" aca="1" ref="BM20"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20" s="60" t="str" cm="1">
        <f t="array" aca="1" ref="BN20"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20" s="60" t="str" cm="1">
        <f t="array" aca="1" ref="BO20"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20" s="60" t="str" cm="1">
        <f t="array" aca="1" ref="BP20"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20" s="60" t="str" cm="1">
        <f t="array" aca="1" ref="BQ20"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20" s="60" t="str" cm="1">
        <f t="array" aca="1" ref="BR20"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20" s="60" t="str" cm="1">
        <f t="array" aca="1" ref="BS20"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20" s="60" t="str" cm="1">
        <f t="array" aca="1" ref="BT20"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20" s="60" t="str" cm="1">
        <f t="array" aca="1" ref="BU20"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20" s="60" t="str" cm="1">
        <f t="array" aca="1" ref="BV20"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20" s="60" t="str" cm="1">
        <f t="array" aca="1" ref="BW20"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20" s="60" t="str" cm="1">
        <f t="array" aca="1" ref="BX20"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20" s="60" t="str" cm="1">
        <f t="array" aca="1" ref="BY20"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20" s="60" t="str" cm="1">
        <f t="array" aca="1" ref="BZ20"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20" s="60" t="str" cm="1">
        <f t="array" aca="1" ref="CA20"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20" s="60" t="str" cm="1">
        <f t="array" aca="1" ref="CB20"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20" s="60" t="str" cm="1">
        <f t="array" aca="1" ref="CC20"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20" s="60" t="str" cm="1">
        <f t="array" aca="1" ref="CD20"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20" s="60" t="str" cm="1">
        <f t="array" aca="1" ref="CE20"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20" s="60" t="str" cm="1">
        <f t="array" aca="1" ref="CF20"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20" s="60" t="str" cm="1">
        <f t="array" aca="1" ref="CG20"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20" s="60" t="str" cm="1">
        <f t="array" aca="1" ref="CH20"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20" s="60" t="str" cm="1">
        <f t="array" aca="1" ref="CI20"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20" s="62" t="str" cm="1">
        <f t="array" aca="1" ref="CJ20"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21" spans="1:88">
      <c r="A21" s="49" t="s">
        <v>248</v>
      </c>
      <c r="B21" s="44" t="s">
        <v>249</v>
      </c>
      <c r="C21" s="44"/>
      <c r="D21" s="44" t="s">
        <v>31</v>
      </c>
      <c r="E21" s="64" t="s">
        <v>345</v>
      </c>
      <c r="F21" s="45"/>
      <c r="G21" s="46"/>
      <c r="H21" s="47"/>
      <c r="I21" s="60" t="str" cm="1">
        <f t="array" aca="1" ref="I21"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21" s="60" t="str" cm="1">
        <f t="array" aca="1" ref="J21"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21" s="60" t="str" cm="1">
        <f t="array" aca="1" ref="K21"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21" s="60" t="str" cm="1">
        <f t="array" aca="1" ref="L21"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21" s="60" t="str" cm="1">
        <f t="array" aca="1" ref="M21"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21" s="60" t="str" cm="1">
        <f t="array" aca="1" ref="N21"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21" s="60" t="str" cm="1">
        <f t="array" aca="1" ref="O21"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21" s="60" t="str" cm="1">
        <f t="array" aca="1" ref="P21"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21" s="60" t="str" cm="1">
        <f t="array" aca="1" ref="Q21"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21" s="60" t="str" cm="1">
        <f t="array" aca="1" ref="R21"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21" s="60" t="str" cm="1">
        <f t="array" aca="1" ref="S21"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21" s="60" t="str" cm="1">
        <f t="array" aca="1" ref="T21"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21" s="60" t="str" cm="1">
        <f t="array" aca="1" ref="U21"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21" s="60" t="str" cm="1">
        <f t="array" aca="1" ref="V21"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21" s="60" t="str" cm="1">
        <f t="array" aca="1" ref="W21"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21" s="60" t="str" cm="1">
        <f t="array" aca="1" ref="X21"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21" s="60" t="str" cm="1">
        <f t="array" aca="1" ref="Y21"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21" s="60" t="str" cm="1">
        <f t="array" aca="1" ref="Z21"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21" s="60" t="str" cm="1">
        <f t="array" aca="1" ref="AA21"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21" s="60" t="str" cm="1">
        <f t="array" aca="1" ref="AB21"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21" s="60" t="str" cm="1">
        <f t="array" aca="1" ref="AC21"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21" s="60" t="str" cm="1">
        <f t="array" aca="1" ref="AD21"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21" s="60" t="str" cm="1">
        <f t="array" aca="1" ref="AE21"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21" s="60" t="str" cm="1">
        <f t="array" aca="1" ref="AF21"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21" s="60" t="str" cm="1">
        <f t="array" aca="1" ref="AG21"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21" s="60" t="str" cm="1">
        <f t="array" aca="1" ref="AH21"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21" s="60" t="str" cm="1">
        <f t="array" aca="1" ref="AI21"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21" s="60" t="str" cm="1">
        <f t="array" aca="1" ref="AJ21"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21" s="60" t="str" cm="1">
        <f t="array" aca="1" ref="AK21"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21" s="60" t="str" cm="1">
        <f t="array" aca="1" ref="AL21"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21" s="60" t="str" cm="1">
        <f t="array" aca="1" ref="AM21"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21" s="60" t="str" cm="1">
        <f t="array" aca="1" ref="AN21"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21" s="60" t="str" cm="1">
        <f t="array" aca="1" ref="AO21"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21" s="60" t="str" cm="1">
        <f t="array" aca="1" ref="AP21"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21" s="60" t="str" cm="1">
        <f t="array" aca="1" ref="AQ21"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21" s="60" t="str" cm="1">
        <f t="array" aca="1" ref="AR21"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21" s="60" t="str" cm="1">
        <f t="array" aca="1" ref="AS21"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21" s="60" t="str" cm="1">
        <f t="array" aca="1" ref="AT21"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21" s="60" t="str" cm="1">
        <f t="array" aca="1" ref="AU21"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21" s="60" t="str" cm="1">
        <f t="array" aca="1" ref="AV21"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21" s="60" t="str" cm="1">
        <f t="array" aca="1" ref="AW21"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21" s="60" t="str" cm="1">
        <f t="array" aca="1" ref="AX21"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21" s="60" t="str" cm="1">
        <f t="array" aca="1" ref="AY21"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21" s="60" t="str" cm="1">
        <f t="array" aca="1" ref="AZ21"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21" s="60" t="str" cm="1">
        <f t="array" aca="1" ref="BA21"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21" s="60" t="str" cm="1">
        <f t="array" aca="1" ref="BB21"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21" s="60" t="str" cm="1">
        <f t="array" aca="1" ref="BC21"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21" s="60" t="str" cm="1">
        <f t="array" aca="1" ref="BD21"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21" s="60" t="str" cm="1">
        <f t="array" aca="1" ref="BE21"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21" s="60" t="str" cm="1">
        <f t="array" aca="1" ref="BF21"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21" s="60" t="str" cm="1">
        <f t="array" aca="1" ref="BG21"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21" s="60" t="str" cm="1">
        <f t="array" aca="1" ref="BH21"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21" s="60" t="str" cm="1">
        <f t="array" aca="1" ref="BI21"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21" s="60" t="str" cm="1">
        <f t="array" aca="1" ref="BJ21"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21" s="60" t="str" cm="1">
        <f t="array" aca="1" ref="BK21"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21" s="60" t="str" cm="1">
        <f t="array" aca="1" ref="BL21"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21" s="60" t="str" cm="1">
        <f t="array" aca="1" ref="BM21"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21" s="60" t="str" cm="1">
        <f t="array" aca="1" ref="BN21"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21" s="60" t="str" cm="1">
        <f t="array" aca="1" ref="BO21"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21" s="60" t="str" cm="1">
        <f t="array" aca="1" ref="BP21"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21" s="60" t="str" cm="1">
        <f t="array" aca="1" ref="BQ21"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21" s="60" t="str" cm="1">
        <f t="array" aca="1" ref="BR21"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21" s="60" t="str" cm="1">
        <f t="array" aca="1" ref="BS21"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21" s="60" t="str" cm="1">
        <f t="array" aca="1" ref="BT21"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21" s="60" t="str" cm="1">
        <f t="array" aca="1" ref="BU21"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21" s="60" t="str" cm="1">
        <f t="array" aca="1" ref="BV21"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21" s="60" t="str" cm="1">
        <f t="array" aca="1" ref="BW21"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21" s="60" t="str" cm="1">
        <f t="array" aca="1" ref="BX21"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21" s="60" t="str" cm="1">
        <f t="array" aca="1" ref="BY21"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21" s="60" t="str" cm="1">
        <f t="array" aca="1" ref="BZ21"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21" s="60" t="str" cm="1">
        <f t="array" aca="1" ref="CA21"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21" s="60" t="str" cm="1">
        <f t="array" aca="1" ref="CB21"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21" s="60" t="str" cm="1">
        <f t="array" aca="1" ref="CC21"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21" s="60" t="str" cm="1">
        <f t="array" aca="1" ref="CD21"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21" s="60" t="str" cm="1">
        <f t="array" aca="1" ref="CE21"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21" s="60" t="str" cm="1">
        <f t="array" aca="1" ref="CF21"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21" s="60" t="str" cm="1">
        <f t="array" aca="1" ref="CG21"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21" s="60" t="str" cm="1">
        <f t="array" aca="1" ref="CH21"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21" s="60" t="str" cm="1">
        <f t="array" aca="1" ref="CI21"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21" s="62" t="str" cm="1">
        <f t="array" aca="1" ref="CJ21"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22" spans="1:88">
      <c r="A22" s="49" t="s">
        <v>262</v>
      </c>
      <c r="B22" s="44" t="s">
        <v>256</v>
      </c>
      <c r="C22" s="44"/>
      <c r="D22" s="44" t="s">
        <v>30</v>
      </c>
      <c r="E22" s="64" t="s">
        <v>345</v>
      </c>
      <c r="F22" s="45"/>
      <c r="G22" s="46"/>
      <c r="H22" s="47"/>
      <c r="I22" s="60" t="str" cm="1">
        <f t="array" aca="1" ref="I22"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22" s="60" t="str" cm="1">
        <f t="array" aca="1" ref="J22"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22" s="60" t="str" cm="1">
        <f t="array" aca="1" ref="K22"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22" s="60" t="str" cm="1">
        <f t="array" aca="1" ref="L22"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22" s="60" t="str" cm="1">
        <f t="array" aca="1" ref="M22"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22" s="60" t="str" cm="1">
        <f t="array" aca="1" ref="N22"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22" s="60" t="str" cm="1">
        <f t="array" aca="1" ref="O22"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22" s="60" t="str" cm="1">
        <f t="array" aca="1" ref="P22"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22" s="60" t="str" cm="1">
        <f t="array" aca="1" ref="Q22"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22" s="60" t="str" cm="1">
        <f t="array" aca="1" ref="R22"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22" s="60" t="str" cm="1">
        <f t="array" aca="1" ref="S22"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22" s="60" t="str" cm="1">
        <f t="array" aca="1" ref="T22"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22" s="60" t="str" cm="1">
        <f t="array" aca="1" ref="U22"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22" s="60" t="str" cm="1">
        <f t="array" aca="1" ref="V22"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22" s="60" t="str" cm="1">
        <f t="array" aca="1" ref="W22"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22" s="60" t="str" cm="1">
        <f t="array" aca="1" ref="X22"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22" s="60" t="str" cm="1">
        <f t="array" aca="1" ref="Y22"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22" s="60" t="str" cm="1">
        <f t="array" aca="1" ref="Z22"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22" s="60" t="str" cm="1">
        <f t="array" aca="1" ref="AA22"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22" s="60" t="str" cm="1">
        <f t="array" aca="1" ref="AB22"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22" s="60" t="str" cm="1">
        <f t="array" aca="1" ref="AC22"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22" s="60" t="str" cm="1">
        <f t="array" aca="1" ref="AD22"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22" s="60" t="str" cm="1">
        <f t="array" aca="1" ref="AE22"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22" s="60" t="str" cm="1">
        <f t="array" aca="1" ref="AF22"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22" s="60" t="str" cm="1">
        <f t="array" aca="1" ref="AG22"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22" s="60" t="str" cm="1">
        <f t="array" aca="1" ref="AH22"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22" s="60" t="str" cm="1">
        <f t="array" aca="1" ref="AI22"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22" s="60" t="str" cm="1">
        <f t="array" aca="1" ref="AJ22"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22" s="60" t="str" cm="1">
        <f t="array" aca="1" ref="AK22"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22" s="60" t="str" cm="1">
        <f t="array" aca="1" ref="AL22"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22" s="60" t="str" cm="1">
        <f t="array" aca="1" ref="AM22"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22" s="60" t="str" cm="1">
        <f t="array" aca="1" ref="AN22"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22" s="60" t="str" cm="1">
        <f t="array" aca="1" ref="AO22"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22" s="60" t="str" cm="1">
        <f t="array" aca="1" ref="AP22"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22" s="60" t="str" cm="1">
        <f t="array" aca="1" ref="AQ22"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22" s="60" t="str" cm="1">
        <f t="array" aca="1" ref="AR22"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22" s="60" t="str" cm="1">
        <f t="array" aca="1" ref="AS22"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22" s="60" t="str" cm="1">
        <f t="array" aca="1" ref="AT22"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22" s="60" t="str" cm="1">
        <f t="array" aca="1" ref="AU22"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22" s="60" t="str" cm="1">
        <f t="array" aca="1" ref="AV22"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22" s="60" t="str" cm="1">
        <f t="array" aca="1" ref="AW22"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22" s="60" t="str" cm="1">
        <f t="array" aca="1" ref="AX22"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22" s="60" t="str" cm="1">
        <f t="array" aca="1" ref="AY22"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22" s="60" t="str" cm="1">
        <f t="array" aca="1" ref="AZ22"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22" s="60" t="str" cm="1">
        <f t="array" aca="1" ref="BA22"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22" s="60" t="str" cm="1">
        <f t="array" aca="1" ref="BB22"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22" s="60" t="str" cm="1">
        <f t="array" aca="1" ref="BC22"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22" s="60" t="str" cm="1">
        <f t="array" aca="1" ref="BD22"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22" s="60" t="str" cm="1">
        <f t="array" aca="1" ref="BE22"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22" s="60" t="str" cm="1">
        <f t="array" aca="1" ref="BF22"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22" s="60" t="str" cm="1">
        <f t="array" aca="1" ref="BG22"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22" s="60" t="str" cm="1">
        <f t="array" aca="1" ref="BH22"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22" s="60" t="str" cm="1">
        <f t="array" aca="1" ref="BI22"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22" s="60" t="str" cm="1">
        <f t="array" aca="1" ref="BJ22"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22" s="60" t="str" cm="1">
        <f t="array" aca="1" ref="BK22"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22" s="60" t="str" cm="1">
        <f t="array" aca="1" ref="BL22"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22" s="60" t="str" cm="1">
        <f t="array" aca="1" ref="BM22"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22" s="60" t="str" cm="1">
        <f t="array" aca="1" ref="BN22"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22" s="60" t="str" cm="1">
        <f t="array" aca="1" ref="BO22"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22" s="60" t="str" cm="1">
        <f t="array" aca="1" ref="BP22"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22" s="60" t="str" cm="1">
        <f t="array" aca="1" ref="BQ22"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22" s="60" t="str" cm="1">
        <f t="array" aca="1" ref="BR22"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22" s="60" t="str" cm="1">
        <f t="array" aca="1" ref="BS22"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22" s="60" t="str" cm="1">
        <f t="array" aca="1" ref="BT22"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22" s="60" t="str" cm="1">
        <f t="array" aca="1" ref="BU22"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22" s="60" t="str" cm="1">
        <f t="array" aca="1" ref="BV22"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22" s="60" t="str" cm="1">
        <f t="array" aca="1" ref="BW22"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22" s="60" t="str" cm="1">
        <f t="array" aca="1" ref="BX22"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22" s="60" t="str" cm="1">
        <f t="array" aca="1" ref="BY22"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22" s="60" t="str" cm="1">
        <f t="array" aca="1" ref="BZ22"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22" s="60" t="str" cm="1">
        <f t="array" aca="1" ref="CA22"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22" s="60" t="str" cm="1">
        <f t="array" aca="1" ref="CB22"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22" s="60" t="str" cm="1">
        <f t="array" aca="1" ref="CC22"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22" s="60" t="str" cm="1">
        <f t="array" aca="1" ref="CD22"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22" s="60" t="str" cm="1">
        <f t="array" aca="1" ref="CE22"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22" s="60" t="str" cm="1">
        <f t="array" aca="1" ref="CF22"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22" s="60" t="str" cm="1">
        <f t="array" aca="1" ref="CG22"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22" s="60" t="str" cm="1">
        <f t="array" aca="1" ref="CH22"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22" s="60" t="str" cm="1">
        <f t="array" aca="1" ref="CI22"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22" s="62" t="str" cm="1">
        <f t="array" aca="1" ref="CJ22"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23" spans="1:88">
      <c r="A23" s="49" t="s">
        <v>341</v>
      </c>
      <c r="B23" s="44" t="s">
        <v>342</v>
      </c>
      <c r="C23" s="44"/>
      <c r="D23" s="44" t="s">
        <v>31</v>
      </c>
      <c r="E23" s="64" t="s">
        <v>345</v>
      </c>
      <c r="F23" s="45"/>
      <c r="G23" s="46"/>
      <c r="H23" s="47"/>
      <c r="I23" s="60" t="str" cm="1">
        <f t="array" aca="1" ref="I23"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23" s="60" t="str" cm="1">
        <f t="array" aca="1" ref="J23"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23" s="60" t="str" cm="1">
        <f t="array" aca="1" ref="K23"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23" s="60" t="str" cm="1">
        <f t="array" aca="1" ref="L23"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23" s="60" t="str" cm="1">
        <f t="array" aca="1" ref="M23"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23" s="60" t="str" cm="1">
        <f t="array" aca="1" ref="N23"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23" s="60" t="str" cm="1">
        <f t="array" aca="1" ref="O23"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23" s="60" t="str" cm="1">
        <f t="array" aca="1" ref="P23"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23" s="60" t="str" cm="1">
        <f t="array" aca="1" ref="Q23"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23" s="60" t="str" cm="1">
        <f t="array" aca="1" ref="R23"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23" s="60" t="str" cm="1">
        <f t="array" aca="1" ref="S23"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23" s="60" t="str" cm="1">
        <f t="array" aca="1" ref="T23"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23" s="60" t="str" cm="1">
        <f t="array" aca="1" ref="U23"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23" s="60" t="str" cm="1">
        <f t="array" aca="1" ref="V23"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23" s="60" t="str" cm="1">
        <f t="array" aca="1" ref="W23"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23" s="60" t="str" cm="1">
        <f t="array" aca="1" ref="X23"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23" s="60" t="str" cm="1">
        <f t="array" aca="1" ref="Y23"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23" s="60" t="str" cm="1">
        <f t="array" aca="1" ref="Z23"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23" s="60" t="str" cm="1">
        <f t="array" aca="1" ref="AA23"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23" s="60" t="str" cm="1">
        <f t="array" aca="1" ref="AB23"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23" s="60" t="str" cm="1">
        <f t="array" aca="1" ref="AC23"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23" s="60" t="str" cm="1">
        <f t="array" aca="1" ref="AD23"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23" s="60" t="str" cm="1">
        <f t="array" aca="1" ref="AE23"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23" s="60" t="str" cm="1">
        <f t="array" aca="1" ref="AF23"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23" s="60" t="str" cm="1">
        <f t="array" aca="1" ref="AG23"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23" s="60" t="str" cm="1">
        <f t="array" aca="1" ref="AH23"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23" s="60" t="str" cm="1">
        <f t="array" aca="1" ref="AI23"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23" s="60" t="str" cm="1">
        <f t="array" aca="1" ref="AJ23"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23" s="60" t="str" cm="1">
        <f t="array" aca="1" ref="AK23"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23" s="60" t="str" cm="1">
        <f t="array" aca="1" ref="AL23"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23" s="60" t="str" cm="1">
        <f t="array" aca="1" ref="AM23"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23" s="60" t="str" cm="1">
        <f t="array" aca="1" ref="AN23"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23" s="60" t="str" cm="1">
        <f t="array" aca="1" ref="AO23"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23" s="60" t="str" cm="1">
        <f t="array" aca="1" ref="AP23"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23" s="60" t="str" cm="1">
        <f t="array" aca="1" ref="AQ23"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23" s="60" t="str" cm="1">
        <f t="array" aca="1" ref="AR23"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23" s="60" t="str" cm="1">
        <f t="array" aca="1" ref="AS23"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23" s="60" t="str" cm="1">
        <f t="array" aca="1" ref="AT23"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23" s="60" t="str" cm="1">
        <f t="array" aca="1" ref="AU23"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23" s="60" t="str" cm="1">
        <f t="array" aca="1" ref="AV23"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23" s="60" t="str" cm="1">
        <f t="array" aca="1" ref="AW23"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23" s="60" t="str" cm="1">
        <f t="array" aca="1" ref="AX23"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23" s="60" t="str" cm="1">
        <f t="array" aca="1" ref="AY23"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23" s="60" t="str" cm="1">
        <f t="array" aca="1" ref="AZ23"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23" s="60" t="str" cm="1">
        <f t="array" aca="1" ref="BA23"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23" s="60" t="str" cm="1">
        <f t="array" aca="1" ref="BB23"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23" s="60" t="str" cm="1">
        <f t="array" aca="1" ref="BC23"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23" s="60" t="str" cm="1">
        <f t="array" aca="1" ref="BD23"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23" s="60" t="str" cm="1">
        <f t="array" aca="1" ref="BE23"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23" s="60" t="str" cm="1">
        <f t="array" aca="1" ref="BF23"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23" s="60" t="str" cm="1">
        <f t="array" aca="1" ref="BG23"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23" s="60" t="str" cm="1">
        <f t="array" aca="1" ref="BH23"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23" s="60" t="str" cm="1">
        <f t="array" aca="1" ref="BI23"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23" s="60" t="str" cm="1">
        <f t="array" aca="1" ref="BJ23"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23" s="60" t="str" cm="1">
        <f t="array" aca="1" ref="BK23"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23" s="60" t="str" cm="1">
        <f t="array" aca="1" ref="BL23"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23" s="60" t="str" cm="1">
        <f t="array" aca="1" ref="BM23"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23" s="60" t="str" cm="1">
        <f t="array" aca="1" ref="BN23"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23" s="60" t="str" cm="1">
        <f t="array" aca="1" ref="BO23"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23" s="60" t="str" cm="1">
        <f t="array" aca="1" ref="BP23"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23" s="60" t="str" cm="1">
        <f t="array" aca="1" ref="BQ23"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23" s="60" t="str" cm="1">
        <f t="array" aca="1" ref="BR23"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23" s="60" t="str" cm="1">
        <f t="array" aca="1" ref="BS23"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23" s="60" t="str" cm="1">
        <f t="array" aca="1" ref="BT23"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23" s="60" t="str" cm="1">
        <f t="array" aca="1" ref="BU23"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23" s="60" t="str" cm="1">
        <f t="array" aca="1" ref="BV23"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23" s="60" t="str" cm="1">
        <f t="array" aca="1" ref="BW23"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23" s="60" t="str" cm="1">
        <f t="array" aca="1" ref="BX23"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23" s="60" t="str" cm="1">
        <f t="array" aca="1" ref="BY23"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23" s="60" t="str" cm="1">
        <f t="array" aca="1" ref="BZ23"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23" s="60" t="str" cm="1">
        <f t="array" aca="1" ref="CA23"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23" s="60" t="str" cm="1">
        <f t="array" aca="1" ref="CB23"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23" s="60" t="str" cm="1">
        <f t="array" aca="1" ref="CC23"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23" s="60" t="str" cm="1">
        <f t="array" aca="1" ref="CD23"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23" s="60" t="str" cm="1">
        <f t="array" aca="1" ref="CE23"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23" s="60" t="str" cm="1">
        <f t="array" aca="1" ref="CF23"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23" s="60" t="str" cm="1">
        <f t="array" aca="1" ref="CG23"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23" s="60" t="str" cm="1">
        <f t="array" aca="1" ref="CH23"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23" s="60" t="str" cm="1">
        <f t="array" aca="1" ref="CI23"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23" s="62" t="str" cm="1">
        <f t="array" aca="1" ref="CJ23"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24" spans="1:88">
      <c r="A24" s="49" t="s">
        <v>278</v>
      </c>
      <c r="B24" s="44" t="s">
        <v>279</v>
      </c>
      <c r="C24" s="44"/>
      <c r="D24" s="44" t="s">
        <v>31</v>
      </c>
      <c r="E24" s="64" t="s">
        <v>345</v>
      </c>
      <c r="F24" s="45"/>
      <c r="G24" s="46"/>
      <c r="H24" s="47"/>
      <c r="I24" s="60" t="str" cm="1">
        <f t="array" aca="1" ref="I24"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24" s="60" t="str" cm="1">
        <f t="array" aca="1" ref="J24"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24" s="60" t="str" cm="1">
        <f t="array" aca="1" ref="K24"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24" s="60" t="str" cm="1">
        <f t="array" aca="1" ref="L24"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24" s="60" t="str" cm="1">
        <f t="array" aca="1" ref="M24"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24" s="60" t="str" cm="1">
        <f t="array" aca="1" ref="N24"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24" s="60" t="str" cm="1">
        <f t="array" aca="1" ref="O24"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24" s="60" t="str" cm="1">
        <f t="array" aca="1" ref="P24"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24" s="60" t="str" cm="1">
        <f t="array" aca="1" ref="Q24"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24" s="60" t="str" cm="1">
        <f t="array" aca="1" ref="R24"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24" s="60" t="str" cm="1">
        <f t="array" aca="1" ref="S24"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24" s="60" t="str" cm="1">
        <f t="array" aca="1" ref="T24"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24" s="60" t="str" cm="1">
        <f t="array" aca="1" ref="U24"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24" s="60" t="str" cm="1">
        <f t="array" aca="1" ref="V24"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24" s="60" t="str" cm="1">
        <f t="array" aca="1" ref="W24"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24" s="60" t="str" cm="1">
        <f t="array" aca="1" ref="X24"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24" s="60" t="str" cm="1">
        <f t="array" aca="1" ref="Y24"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24" s="60" t="str" cm="1">
        <f t="array" aca="1" ref="Z24"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24" s="60" t="str" cm="1">
        <f t="array" aca="1" ref="AA24"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24" s="60" t="str" cm="1">
        <f t="array" aca="1" ref="AB24"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24" s="60" t="str" cm="1">
        <f t="array" aca="1" ref="AC24"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24" s="60" t="str" cm="1">
        <f t="array" aca="1" ref="AD24"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24" s="60" t="str" cm="1">
        <f t="array" aca="1" ref="AE24"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24" s="60" t="str" cm="1">
        <f t="array" aca="1" ref="AF24"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24" s="60" t="str" cm="1">
        <f t="array" aca="1" ref="AG24"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24" s="60" t="str" cm="1">
        <f t="array" aca="1" ref="AH24"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24" s="60" t="str" cm="1">
        <f t="array" aca="1" ref="AI24"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24" s="60" t="str" cm="1">
        <f t="array" aca="1" ref="AJ24"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24" s="60" t="str" cm="1">
        <f t="array" aca="1" ref="AK24"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24" s="60" t="str" cm="1">
        <f t="array" aca="1" ref="AL24"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24" s="60" t="str" cm="1">
        <f t="array" aca="1" ref="AM24"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24" s="60" t="str" cm="1">
        <f t="array" aca="1" ref="AN24"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24" s="60" t="str" cm="1">
        <f t="array" aca="1" ref="AO24"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24" s="60" t="str" cm="1">
        <f t="array" aca="1" ref="AP24"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24" s="60" t="str" cm="1">
        <f t="array" aca="1" ref="AQ24"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24" s="60" t="str" cm="1">
        <f t="array" aca="1" ref="AR24"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24" s="60" t="str" cm="1">
        <f t="array" aca="1" ref="AS24"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24" s="60" t="str" cm="1">
        <f t="array" aca="1" ref="AT24"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24" s="60" t="str" cm="1">
        <f t="array" aca="1" ref="AU24"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24" s="60" t="str" cm="1">
        <f t="array" aca="1" ref="AV24"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24" s="60" t="str" cm="1">
        <f t="array" aca="1" ref="AW24"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24" s="60" t="str" cm="1">
        <f t="array" aca="1" ref="AX24"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24" s="60" t="str" cm="1">
        <f t="array" aca="1" ref="AY24"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24" s="60" t="str" cm="1">
        <f t="array" aca="1" ref="AZ24"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24" s="60" t="str" cm="1">
        <f t="array" aca="1" ref="BA24"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24" s="60" t="str" cm="1">
        <f t="array" aca="1" ref="BB24"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24" s="60" t="str" cm="1">
        <f t="array" aca="1" ref="BC24"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24" s="60" t="str" cm="1">
        <f t="array" aca="1" ref="BD24"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24" s="60" t="str" cm="1">
        <f t="array" aca="1" ref="BE24"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24" s="60" t="str" cm="1">
        <f t="array" aca="1" ref="BF24"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24" s="60" t="str" cm="1">
        <f t="array" aca="1" ref="BG24"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24" s="60" t="str" cm="1">
        <f t="array" aca="1" ref="BH24"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24" s="60" t="str" cm="1">
        <f t="array" aca="1" ref="BI24"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24" s="60" t="str" cm="1">
        <f t="array" aca="1" ref="BJ24"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24" s="60" t="str" cm="1">
        <f t="array" aca="1" ref="BK24"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24" s="60" t="str" cm="1">
        <f t="array" aca="1" ref="BL24"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24" s="60" t="str" cm="1">
        <f t="array" aca="1" ref="BM24"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24" s="60" t="str" cm="1">
        <f t="array" aca="1" ref="BN24"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24" s="60" t="str" cm="1">
        <f t="array" aca="1" ref="BO24"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24" s="60" t="str" cm="1">
        <f t="array" aca="1" ref="BP24"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24" s="60" t="str" cm="1">
        <f t="array" aca="1" ref="BQ24"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24" s="60" t="str" cm="1">
        <f t="array" aca="1" ref="BR24"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24" s="60" t="str" cm="1">
        <f t="array" aca="1" ref="BS24"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24" s="60" t="str" cm="1">
        <f t="array" aca="1" ref="BT24"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24" s="60" t="str" cm="1">
        <f t="array" aca="1" ref="BU24"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24" s="60" t="str" cm="1">
        <f t="array" aca="1" ref="BV24"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24" s="60" t="str" cm="1">
        <f t="array" aca="1" ref="BW24"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24" s="60" t="str" cm="1">
        <f t="array" aca="1" ref="BX24"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24" s="60" t="str" cm="1">
        <f t="array" aca="1" ref="BY24"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24" s="60" t="str" cm="1">
        <f t="array" aca="1" ref="BZ24"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24" s="60" t="str" cm="1">
        <f t="array" aca="1" ref="CA24"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24" s="60" t="str" cm="1">
        <f t="array" aca="1" ref="CB24"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24" s="60" t="str" cm="1">
        <f t="array" aca="1" ref="CC24"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24" s="60" t="str" cm="1">
        <f t="array" aca="1" ref="CD24"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24" s="60" t="str" cm="1">
        <f t="array" aca="1" ref="CE24"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24" s="60" t="str" cm="1">
        <f t="array" aca="1" ref="CF24"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24" s="60" t="str" cm="1">
        <f t="array" aca="1" ref="CG24"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24" s="60" t="str" cm="1">
        <f t="array" aca="1" ref="CH24"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24" s="60" t="str" cm="1">
        <f t="array" aca="1" ref="CI24"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24" s="62" t="str" cm="1">
        <f t="array" aca="1" ref="CJ24"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25" spans="1:88">
      <c r="A25" s="49" t="s">
        <v>343</v>
      </c>
      <c r="B25" s="44" t="s">
        <v>344</v>
      </c>
      <c r="C25" s="44"/>
      <c r="D25" s="44" t="s">
        <v>30</v>
      </c>
      <c r="E25" s="64" t="s">
        <v>345</v>
      </c>
      <c r="F25" s="45"/>
      <c r="G25" s="46"/>
      <c r="H25" s="47"/>
      <c r="I25" s="60" t="str" cm="1">
        <f t="array" aca="1" ref="I25"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25" s="60" t="str" cm="1">
        <f t="array" aca="1" ref="J25"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25" s="60" t="str" cm="1">
        <f t="array" aca="1" ref="K25"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25" s="60" t="str" cm="1">
        <f t="array" aca="1" ref="L25"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25" s="60" t="str" cm="1">
        <f t="array" aca="1" ref="M25"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25" s="60" t="str" cm="1">
        <f t="array" aca="1" ref="N25"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25" s="60" t="str" cm="1">
        <f t="array" aca="1" ref="O25"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25" s="60" t="str" cm="1">
        <f t="array" aca="1" ref="P25"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25" s="60" t="str" cm="1">
        <f t="array" aca="1" ref="Q25"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25" s="60" t="str" cm="1">
        <f t="array" aca="1" ref="R25"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25" s="60" t="str" cm="1">
        <f t="array" aca="1" ref="S25"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25" s="60" t="str" cm="1">
        <f t="array" aca="1" ref="T25"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25" s="60" t="str" cm="1">
        <f t="array" aca="1" ref="U25"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25" s="60" t="str" cm="1">
        <f t="array" aca="1" ref="V25"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25" s="60" t="str" cm="1">
        <f t="array" aca="1" ref="W25"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25" s="60" t="str" cm="1">
        <f t="array" aca="1" ref="X25"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25" s="60" t="str" cm="1">
        <f t="array" aca="1" ref="Y25"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25" s="60" t="str" cm="1">
        <f t="array" aca="1" ref="Z25"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25" s="60" t="str" cm="1">
        <f t="array" aca="1" ref="AA25"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25" s="60" t="str" cm="1">
        <f t="array" aca="1" ref="AB25"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25" s="60" t="str" cm="1">
        <f t="array" aca="1" ref="AC25"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25" s="60" t="str" cm="1">
        <f t="array" aca="1" ref="AD25"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25" s="60" t="str" cm="1">
        <f t="array" aca="1" ref="AE25"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25" s="60" t="str" cm="1">
        <f t="array" aca="1" ref="AF25"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25" s="60" t="str" cm="1">
        <f t="array" aca="1" ref="AG25"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25" s="60" t="str" cm="1">
        <f t="array" aca="1" ref="AH25"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25" s="60" t="str" cm="1">
        <f t="array" aca="1" ref="AI25"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25" s="60" t="str" cm="1">
        <f t="array" aca="1" ref="AJ25"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25" s="60" t="str" cm="1">
        <f t="array" aca="1" ref="AK25"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25" s="60" t="str" cm="1">
        <f t="array" aca="1" ref="AL25"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25" s="60" t="str" cm="1">
        <f t="array" aca="1" ref="AM25"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25" s="60" t="str" cm="1">
        <f t="array" aca="1" ref="AN25"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25" s="60" t="str" cm="1">
        <f t="array" aca="1" ref="AO25"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25" s="60" t="str" cm="1">
        <f t="array" aca="1" ref="AP25"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25" s="60" t="str" cm="1">
        <f t="array" aca="1" ref="AQ25"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25" s="60" t="str" cm="1">
        <f t="array" aca="1" ref="AR25"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25" s="60" t="str" cm="1">
        <f t="array" aca="1" ref="AS25"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25" s="60" t="str" cm="1">
        <f t="array" aca="1" ref="AT25"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25" s="60" t="str" cm="1">
        <f t="array" aca="1" ref="AU25"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25" s="60" t="str" cm="1">
        <f t="array" aca="1" ref="AV25"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25" s="60" t="str" cm="1">
        <f t="array" aca="1" ref="AW25"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25" s="60" t="str" cm="1">
        <f t="array" aca="1" ref="AX25"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25" s="60" t="str" cm="1">
        <f t="array" aca="1" ref="AY25"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25" s="60" t="str" cm="1">
        <f t="array" aca="1" ref="AZ25"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25" s="60" t="str" cm="1">
        <f t="array" aca="1" ref="BA25"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25" s="60" t="str" cm="1">
        <f t="array" aca="1" ref="BB25"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25" s="60" t="str" cm="1">
        <f t="array" aca="1" ref="BC25"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25" s="60" t="str" cm="1">
        <f t="array" aca="1" ref="BD25"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25" s="60" t="str" cm="1">
        <f t="array" aca="1" ref="BE25"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25" s="60" t="str" cm="1">
        <f t="array" aca="1" ref="BF25"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25" s="60" t="str" cm="1">
        <f t="array" aca="1" ref="BG25"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25" s="60" t="str" cm="1">
        <f t="array" aca="1" ref="BH25"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25" s="60" t="str" cm="1">
        <f t="array" aca="1" ref="BI25"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25" s="60" t="str" cm="1">
        <f t="array" aca="1" ref="BJ25"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25" s="60" t="str" cm="1">
        <f t="array" aca="1" ref="BK25"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25" s="60" t="str" cm="1">
        <f t="array" aca="1" ref="BL25"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25" s="60" t="str" cm="1">
        <f t="array" aca="1" ref="BM25"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25" s="60" t="str" cm="1">
        <f t="array" aca="1" ref="BN25"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25" s="60" t="str" cm="1">
        <f t="array" aca="1" ref="BO25"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25" s="60" t="str" cm="1">
        <f t="array" aca="1" ref="BP25"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25" s="60" t="str" cm="1">
        <f t="array" aca="1" ref="BQ25"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25" s="60" t="str" cm="1">
        <f t="array" aca="1" ref="BR25"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25" s="60" t="str" cm="1">
        <f t="array" aca="1" ref="BS25"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25" s="60" t="str" cm="1">
        <f t="array" aca="1" ref="BT25"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25" s="60" t="str" cm="1">
        <f t="array" aca="1" ref="BU25"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25" s="60" t="str" cm="1">
        <f t="array" aca="1" ref="BV25"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25" s="60" t="str" cm="1">
        <f t="array" aca="1" ref="BW25"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25" s="60" t="str" cm="1">
        <f t="array" aca="1" ref="BX25"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25" s="60" t="str" cm="1">
        <f t="array" aca="1" ref="BY25"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25" s="60" t="str" cm="1">
        <f t="array" aca="1" ref="BZ25"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25" s="60" t="str" cm="1">
        <f t="array" aca="1" ref="CA25"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25" s="60" t="str" cm="1">
        <f t="array" aca="1" ref="CB25"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25" s="60" t="str" cm="1">
        <f t="array" aca="1" ref="CC25"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25" s="60" t="str" cm="1">
        <f t="array" aca="1" ref="CD25"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25" s="60" t="str" cm="1">
        <f t="array" aca="1" ref="CE25"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25" s="60" t="str" cm="1">
        <f t="array" aca="1" ref="CF25"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25" s="60" t="str" cm="1">
        <f t="array" aca="1" ref="CG25"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25" s="60" t="str" cm="1">
        <f t="array" aca="1" ref="CH25"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25" s="60" t="str" cm="1">
        <f t="array" aca="1" ref="CI25"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25" s="62" t="str" cm="1">
        <f t="array" aca="1" ref="CJ25"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26" spans="1:88">
      <c r="A26" s="49" t="s">
        <v>305</v>
      </c>
      <c r="B26" s="44" t="s">
        <v>306</v>
      </c>
      <c r="C26" s="44"/>
      <c r="D26" s="44" t="s">
        <v>31</v>
      </c>
      <c r="E26" s="64" t="s">
        <v>345</v>
      </c>
      <c r="F26" s="45"/>
      <c r="G26" s="46"/>
      <c r="H26" s="47"/>
      <c r="I26" s="60" t="str" cm="1">
        <f t="array" aca="1" ref="I26"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26" s="60" t="str" cm="1">
        <f t="array" aca="1" ref="J26"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26" s="60" t="str" cm="1">
        <f t="array" aca="1" ref="K26"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26" s="60" t="str" cm="1">
        <f t="array" aca="1" ref="L26"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26" s="60" t="str" cm="1">
        <f t="array" aca="1" ref="M26"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26" s="60" t="str" cm="1">
        <f t="array" aca="1" ref="N26"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26" s="60" t="str" cm="1">
        <f t="array" aca="1" ref="O26"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26" s="60" t="str" cm="1">
        <f t="array" aca="1" ref="P26"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26" s="60" t="str" cm="1">
        <f t="array" aca="1" ref="Q26"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26" s="60" t="str" cm="1">
        <f t="array" aca="1" ref="R26"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26" s="60" t="str" cm="1">
        <f t="array" aca="1" ref="S26"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26" s="60" t="str" cm="1">
        <f t="array" aca="1" ref="T26"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26" s="60" t="str" cm="1">
        <f t="array" aca="1" ref="U26"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26" s="60" t="str" cm="1">
        <f t="array" aca="1" ref="V26"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26" s="60" t="str" cm="1">
        <f t="array" aca="1" ref="W26"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26" s="60" t="str" cm="1">
        <f t="array" aca="1" ref="X26"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26" s="60" t="str" cm="1">
        <f t="array" aca="1" ref="Y26"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26" s="60" t="str" cm="1">
        <f t="array" aca="1" ref="Z26"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26" s="60" t="str" cm="1">
        <f t="array" aca="1" ref="AA26"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26" s="60" t="str" cm="1">
        <f t="array" aca="1" ref="AB26"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26" s="60" t="str" cm="1">
        <f t="array" aca="1" ref="AC26"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26" s="60" t="str" cm="1">
        <f t="array" aca="1" ref="AD26"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26" s="60" t="str" cm="1">
        <f t="array" aca="1" ref="AE26"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26" s="60" t="str" cm="1">
        <f t="array" aca="1" ref="AF26"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26" s="60" t="str" cm="1">
        <f t="array" aca="1" ref="AG26"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26" s="60" t="str" cm="1">
        <f t="array" aca="1" ref="AH26"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26" s="60" t="str" cm="1">
        <f t="array" aca="1" ref="AI26"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26" s="60" t="str" cm="1">
        <f t="array" aca="1" ref="AJ26"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26" s="60" t="str" cm="1">
        <f t="array" aca="1" ref="AK26"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26" s="60" t="str" cm="1">
        <f t="array" aca="1" ref="AL26"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26" s="60" t="str" cm="1">
        <f t="array" aca="1" ref="AM26"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26" s="60" t="str" cm="1">
        <f t="array" aca="1" ref="AN26"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26" s="60" t="str" cm="1">
        <f t="array" aca="1" ref="AO26"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26" s="60" t="str" cm="1">
        <f t="array" aca="1" ref="AP26"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26" s="60" t="str" cm="1">
        <f t="array" aca="1" ref="AQ26"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26" s="60" t="str" cm="1">
        <f t="array" aca="1" ref="AR26"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26" s="60" t="str" cm="1">
        <f t="array" aca="1" ref="AS26"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26" s="60" t="str" cm="1">
        <f t="array" aca="1" ref="AT26"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26" s="60" t="str" cm="1">
        <f t="array" aca="1" ref="AU26"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26" s="60" t="str" cm="1">
        <f t="array" aca="1" ref="AV26"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26" s="60" t="str" cm="1">
        <f t="array" aca="1" ref="AW26"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26" s="60" t="str" cm="1">
        <f t="array" aca="1" ref="AX26"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26" s="60" t="str" cm="1">
        <f t="array" aca="1" ref="AY26"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26" s="60" t="str" cm="1">
        <f t="array" aca="1" ref="AZ26"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26" s="60" t="str" cm="1">
        <f t="array" aca="1" ref="BA26"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26" s="60" t="str" cm="1">
        <f t="array" aca="1" ref="BB26"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26" s="60" t="str" cm="1">
        <f t="array" aca="1" ref="BC26"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26" s="60" t="str" cm="1">
        <f t="array" aca="1" ref="BD26"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26" s="60" t="str" cm="1">
        <f t="array" aca="1" ref="BE26"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26" s="60" t="str" cm="1">
        <f t="array" aca="1" ref="BF26"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26" s="60" t="str" cm="1">
        <f t="array" aca="1" ref="BG26"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26" s="60" t="str" cm="1">
        <f t="array" aca="1" ref="BH26"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26" s="60" t="str" cm="1">
        <f t="array" aca="1" ref="BI26"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26" s="60" t="str" cm="1">
        <f t="array" aca="1" ref="BJ26"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26" s="60" t="str" cm="1">
        <f t="array" aca="1" ref="BK26"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26" s="60" t="str" cm="1">
        <f t="array" aca="1" ref="BL26"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26" s="60" t="str" cm="1">
        <f t="array" aca="1" ref="BM26"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26" s="60" t="str" cm="1">
        <f t="array" aca="1" ref="BN26"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26" s="60" t="str" cm="1">
        <f t="array" aca="1" ref="BO26"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26" s="60" t="str" cm="1">
        <f t="array" aca="1" ref="BP26"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26" s="60" t="str" cm="1">
        <f t="array" aca="1" ref="BQ26"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26" s="60" t="str" cm="1">
        <f t="array" aca="1" ref="BR26"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26" s="60" t="str" cm="1">
        <f t="array" aca="1" ref="BS26"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26" s="60" t="str" cm="1">
        <f t="array" aca="1" ref="BT26"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26" s="60" t="str" cm="1">
        <f t="array" aca="1" ref="BU26"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26" s="60" t="str" cm="1">
        <f t="array" aca="1" ref="BV26"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26" s="60" t="str" cm="1">
        <f t="array" aca="1" ref="BW26"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26" s="60" t="str" cm="1">
        <f t="array" aca="1" ref="BX26"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26" s="60" t="str" cm="1">
        <f t="array" aca="1" ref="BY26"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26" s="60" t="str" cm="1">
        <f t="array" aca="1" ref="BZ26"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26" s="60" t="str" cm="1">
        <f t="array" aca="1" ref="CA26"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26" s="60" t="str" cm="1">
        <f t="array" aca="1" ref="CB26"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26" s="60" t="str" cm="1">
        <f t="array" aca="1" ref="CC26"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26" s="60" t="str" cm="1">
        <f t="array" aca="1" ref="CD26"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26" s="60" t="str" cm="1">
        <f t="array" aca="1" ref="CE26"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26" s="60" t="str" cm="1">
        <f t="array" aca="1" ref="CF26"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26" s="60" t="str" cm="1">
        <f t="array" aca="1" ref="CG26"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26" s="60" t="str" cm="1">
        <f t="array" aca="1" ref="CH26"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26" s="60" t="str" cm="1">
        <f t="array" aca="1" ref="CI26"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26" s="62" t="str" cm="1">
        <f t="array" aca="1" ref="CJ26"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27" spans="1:88">
      <c r="A27" s="49" t="s">
        <v>308</v>
      </c>
      <c r="B27" s="44" t="s">
        <v>309</v>
      </c>
      <c r="C27" s="44"/>
      <c r="D27" s="44" t="s">
        <v>30</v>
      </c>
      <c r="E27" s="64" t="s">
        <v>345</v>
      </c>
      <c r="F27" s="45"/>
      <c r="G27" s="46"/>
      <c r="H27" s="47"/>
      <c r="I27" s="60" t="str" cm="1">
        <f t="array" aca="1" ref="I27"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27" s="60" t="str" cm="1">
        <f t="array" aca="1" ref="J27"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27" s="60" t="str" cm="1">
        <f t="array" aca="1" ref="K27"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27" s="60" t="str" cm="1">
        <f t="array" aca="1" ref="L27"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27" s="60" t="str" cm="1">
        <f t="array" aca="1" ref="M27"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27" s="60" t="str" cm="1">
        <f t="array" aca="1" ref="N27"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27" s="60" t="str" cm="1">
        <f t="array" aca="1" ref="O27"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27" s="60" t="str" cm="1">
        <f t="array" aca="1" ref="P27"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27" s="60" t="str" cm="1">
        <f t="array" aca="1" ref="Q27"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27" s="60" t="str" cm="1">
        <f t="array" aca="1" ref="R27"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27" s="60" t="str" cm="1">
        <f t="array" aca="1" ref="S27"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27" s="60" t="str" cm="1">
        <f t="array" aca="1" ref="T27"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27" s="60" t="str" cm="1">
        <f t="array" aca="1" ref="U27"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27" s="60" t="str" cm="1">
        <f t="array" aca="1" ref="V27"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27" s="60" t="str" cm="1">
        <f t="array" aca="1" ref="W27"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27" s="60" t="str" cm="1">
        <f t="array" aca="1" ref="X27"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27" s="60" t="str" cm="1">
        <f t="array" aca="1" ref="Y27"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27" s="60" t="str" cm="1">
        <f t="array" aca="1" ref="Z27"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27" s="60" t="str" cm="1">
        <f t="array" aca="1" ref="AA27"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27" s="60" t="str" cm="1">
        <f t="array" aca="1" ref="AB27"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27" s="60" t="str" cm="1">
        <f t="array" aca="1" ref="AC27"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27" s="60" t="str" cm="1">
        <f t="array" aca="1" ref="AD27"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27" s="60" t="str" cm="1">
        <f t="array" aca="1" ref="AE27"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27" s="60" t="str" cm="1">
        <f t="array" aca="1" ref="AF27"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27" s="60" t="str" cm="1">
        <f t="array" aca="1" ref="AG27"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27" s="60" t="str" cm="1">
        <f t="array" aca="1" ref="AH27"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27" s="60" t="str" cm="1">
        <f t="array" aca="1" ref="AI27"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27" s="60" t="str" cm="1">
        <f t="array" aca="1" ref="AJ27"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27" s="60" t="str" cm="1">
        <f t="array" aca="1" ref="AK27"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27" s="60" t="str" cm="1">
        <f t="array" aca="1" ref="AL27"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27" s="60" t="str" cm="1">
        <f t="array" aca="1" ref="AM27"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27" s="60" t="str" cm="1">
        <f t="array" aca="1" ref="AN27"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27" s="60" t="str" cm="1">
        <f t="array" aca="1" ref="AO27"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27" s="60" t="str" cm="1">
        <f t="array" aca="1" ref="AP27"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27" s="60" t="str" cm="1">
        <f t="array" aca="1" ref="AQ27"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27" s="60" t="str" cm="1">
        <f t="array" aca="1" ref="AR27"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27" s="60" t="str" cm="1">
        <f t="array" aca="1" ref="AS27"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27" s="60" t="str" cm="1">
        <f t="array" aca="1" ref="AT27"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27" s="60" t="str" cm="1">
        <f t="array" aca="1" ref="AU27"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27" s="60" t="str" cm="1">
        <f t="array" aca="1" ref="AV27"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27" s="60" t="str" cm="1">
        <f t="array" aca="1" ref="AW27"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27" s="60" t="str" cm="1">
        <f t="array" aca="1" ref="AX27"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27" s="60" t="str" cm="1">
        <f t="array" aca="1" ref="AY27"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27" s="60" t="str" cm="1">
        <f t="array" aca="1" ref="AZ27"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27" s="60" t="str" cm="1">
        <f t="array" aca="1" ref="BA27"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27" s="60" t="str" cm="1">
        <f t="array" aca="1" ref="BB27"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27" s="60" t="str" cm="1">
        <f t="array" aca="1" ref="BC27"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27" s="60" t="str" cm="1">
        <f t="array" aca="1" ref="BD27"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27" s="60" t="str" cm="1">
        <f t="array" aca="1" ref="BE27"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27" s="60" t="str" cm="1">
        <f t="array" aca="1" ref="BF27"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27" s="60" t="str" cm="1">
        <f t="array" aca="1" ref="BG27"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27" s="60" t="str" cm="1">
        <f t="array" aca="1" ref="BH27"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27" s="60" t="str" cm="1">
        <f t="array" aca="1" ref="BI27"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27" s="60" t="str" cm="1">
        <f t="array" aca="1" ref="BJ27"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27" s="60" t="str" cm="1">
        <f t="array" aca="1" ref="BK27"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27" s="60" t="str" cm="1">
        <f t="array" aca="1" ref="BL27"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27" s="60" t="str" cm="1">
        <f t="array" aca="1" ref="BM27"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27" s="60" t="str" cm="1">
        <f t="array" aca="1" ref="BN27"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27" s="60" t="str" cm="1">
        <f t="array" aca="1" ref="BO27"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27" s="60" t="str" cm="1">
        <f t="array" aca="1" ref="BP27"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27" s="60" t="str" cm="1">
        <f t="array" aca="1" ref="BQ27"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27" s="60" t="str" cm="1">
        <f t="array" aca="1" ref="BR27"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27" s="60" t="str" cm="1">
        <f t="array" aca="1" ref="BS27"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27" s="60" t="str" cm="1">
        <f t="array" aca="1" ref="BT27"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27" s="60" t="str" cm="1">
        <f t="array" aca="1" ref="BU27"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27" s="60" t="str" cm="1">
        <f t="array" aca="1" ref="BV27"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27" s="60" t="str" cm="1">
        <f t="array" aca="1" ref="BW27"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27" s="60" t="str" cm="1">
        <f t="array" aca="1" ref="BX27"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27" s="60" t="str" cm="1">
        <f t="array" aca="1" ref="BY27"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27" s="60" t="str" cm="1">
        <f t="array" aca="1" ref="BZ27"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27" s="60" t="str" cm="1">
        <f t="array" aca="1" ref="CA27"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27" s="60" t="str" cm="1">
        <f t="array" aca="1" ref="CB27"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27" s="60" t="str" cm="1">
        <f t="array" aca="1" ref="CC27"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27" s="60" t="str" cm="1">
        <f t="array" aca="1" ref="CD27"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27" s="60" t="str" cm="1">
        <f t="array" aca="1" ref="CE27"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27" s="60" t="str" cm="1">
        <f t="array" aca="1" ref="CF27"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27" s="60" t="str" cm="1">
        <f t="array" aca="1" ref="CG27"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27" s="60" t="str" cm="1">
        <f t="array" aca="1" ref="CH27"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27" s="60" t="str" cm="1">
        <f t="array" aca="1" ref="CI27"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27" s="62" t="str" cm="1">
        <f t="array" aca="1" ref="CJ27"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28" spans="1:88">
      <c r="A28" s="49" t="s">
        <v>311</v>
      </c>
      <c r="B28" s="44" t="s">
        <v>312</v>
      </c>
      <c r="C28" s="44"/>
      <c r="D28" s="44" t="s">
        <v>30</v>
      </c>
      <c r="E28" s="64" t="s">
        <v>345</v>
      </c>
      <c r="F28" s="45"/>
      <c r="G28" s="46"/>
      <c r="H28" s="47"/>
      <c r="I28" s="60" t="str" cm="1">
        <f t="array" aca="1" ref="I28"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28" s="60" t="str" cm="1">
        <f t="array" aca="1" ref="J28"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28" s="60" t="str" cm="1">
        <f t="array" aca="1" ref="K28"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28" s="60" t="str" cm="1">
        <f t="array" aca="1" ref="L28"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28" s="60" t="str" cm="1">
        <f t="array" aca="1" ref="M28"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28" s="60" t="str" cm="1">
        <f t="array" aca="1" ref="N28"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28" s="60" t="str" cm="1">
        <f t="array" aca="1" ref="O28"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28" s="60" t="str" cm="1">
        <f t="array" aca="1" ref="P28"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28" s="60" t="str" cm="1">
        <f t="array" aca="1" ref="Q28"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28" s="60" t="str" cm="1">
        <f t="array" aca="1" ref="R28"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28" s="60" t="str" cm="1">
        <f t="array" aca="1" ref="S28"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28" s="60" t="str" cm="1">
        <f t="array" aca="1" ref="T28"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28" s="60" t="str" cm="1">
        <f t="array" aca="1" ref="U28"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28" s="60" t="str" cm="1">
        <f t="array" aca="1" ref="V28"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28" s="60" t="str" cm="1">
        <f t="array" aca="1" ref="W28"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28" s="60" t="str" cm="1">
        <f t="array" aca="1" ref="X28"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28" s="60" t="str" cm="1">
        <f t="array" aca="1" ref="Y28"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28" s="60" t="str" cm="1">
        <f t="array" aca="1" ref="Z28"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28" s="60" t="str" cm="1">
        <f t="array" aca="1" ref="AA28"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28" s="60" t="str" cm="1">
        <f t="array" aca="1" ref="AB28"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28" s="60" t="str" cm="1">
        <f t="array" aca="1" ref="AC28"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28" s="60" t="str" cm="1">
        <f t="array" aca="1" ref="AD28"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28" s="60" t="str" cm="1">
        <f t="array" aca="1" ref="AE28"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28" s="60" t="str" cm="1">
        <f t="array" aca="1" ref="AF28"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28" s="60" t="str" cm="1">
        <f t="array" aca="1" ref="AG28"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28" s="60" t="str" cm="1">
        <f t="array" aca="1" ref="AH28"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28" s="60" t="str" cm="1">
        <f t="array" aca="1" ref="AI28"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28" s="60" t="str" cm="1">
        <f t="array" aca="1" ref="AJ28"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28" s="60" t="str" cm="1">
        <f t="array" aca="1" ref="AK28"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28" s="60" t="str" cm="1">
        <f t="array" aca="1" ref="AL28"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28" s="60" t="str" cm="1">
        <f t="array" aca="1" ref="AM28"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28" s="60" t="str" cm="1">
        <f t="array" aca="1" ref="AN28"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28" s="60" t="str" cm="1">
        <f t="array" aca="1" ref="AO28"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28" s="60" t="str" cm="1">
        <f t="array" aca="1" ref="AP28"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28" s="60" t="str" cm="1">
        <f t="array" aca="1" ref="AQ28"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28" s="60" t="str" cm="1">
        <f t="array" aca="1" ref="AR28"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28" s="60" t="str" cm="1">
        <f t="array" aca="1" ref="AS28"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28" s="60" t="str" cm="1">
        <f t="array" aca="1" ref="AT28"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28" s="60" t="str" cm="1">
        <f t="array" aca="1" ref="AU28"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28" s="60" t="str" cm="1">
        <f t="array" aca="1" ref="AV28"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28" s="60" t="str" cm="1">
        <f t="array" aca="1" ref="AW28"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28" s="60" t="str" cm="1">
        <f t="array" aca="1" ref="AX28"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28" s="60" t="str" cm="1">
        <f t="array" aca="1" ref="AY28"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28" s="60" t="str" cm="1">
        <f t="array" aca="1" ref="AZ28"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28" s="60" t="str" cm="1">
        <f t="array" aca="1" ref="BA28"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28" s="60" t="str" cm="1">
        <f t="array" aca="1" ref="BB28"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28" s="60" t="str" cm="1">
        <f t="array" aca="1" ref="BC28"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28" s="60" t="str" cm="1">
        <f t="array" aca="1" ref="BD28"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28" s="60" t="str" cm="1">
        <f t="array" aca="1" ref="BE28"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28" s="60" t="str" cm="1">
        <f t="array" aca="1" ref="BF28"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28" s="60" t="str" cm="1">
        <f t="array" aca="1" ref="BG28"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28" s="60" t="str" cm="1">
        <f t="array" aca="1" ref="BH28"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28" s="60" t="str" cm="1">
        <f t="array" aca="1" ref="BI28"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28" s="60" t="str" cm="1">
        <f t="array" aca="1" ref="BJ28"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28" s="60" t="str" cm="1">
        <f t="array" aca="1" ref="BK28"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28" s="60" t="str" cm="1">
        <f t="array" aca="1" ref="BL28"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28" s="60" t="str" cm="1">
        <f t="array" aca="1" ref="BM28"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28" s="60" t="str" cm="1">
        <f t="array" aca="1" ref="BN28"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28" s="60" t="str" cm="1">
        <f t="array" aca="1" ref="BO28"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28" s="60" t="str" cm="1">
        <f t="array" aca="1" ref="BP28"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28" s="60" t="str" cm="1">
        <f t="array" aca="1" ref="BQ28"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28" s="60" t="str" cm="1">
        <f t="array" aca="1" ref="BR28"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28" s="60" t="str" cm="1">
        <f t="array" aca="1" ref="BS28"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28" s="60" t="str" cm="1">
        <f t="array" aca="1" ref="BT28"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28" s="60" t="str" cm="1">
        <f t="array" aca="1" ref="BU28"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28" s="60" t="str" cm="1">
        <f t="array" aca="1" ref="BV28"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28" s="60" t="str" cm="1">
        <f t="array" aca="1" ref="BW28"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28" s="60" t="str" cm="1">
        <f t="array" aca="1" ref="BX28"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28" s="60" t="str" cm="1">
        <f t="array" aca="1" ref="BY28"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28" s="60" t="str" cm="1">
        <f t="array" aca="1" ref="BZ28"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28" s="60" t="str" cm="1">
        <f t="array" aca="1" ref="CA28"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28" s="60" t="str" cm="1">
        <f t="array" aca="1" ref="CB28"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28" s="60" t="str" cm="1">
        <f t="array" aca="1" ref="CC28"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28" s="60" t="str" cm="1">
        <f t="array" aca="1" ref="CD28"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28" s="60" t="str" cm="1">
        <f t="array" aca="1" ref="CE28"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28" s="60" t="str" cm="1">
        <f t="array" aca="1" ref="CF28"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28" s="60" t="str" cm="1">
        <f t="array" aca="1" ref="CG28"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28" s="60" t="str" cm="1">
        <f t="array" aca="1" ref="CH28"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28" s="60" t="str" cm="1">
        <f t="array" aca="1" ref="CI28"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28" s="62" t="str" cm="1">
        <f t="array" aca="1" ref="CJ28"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29" spans="1:88">
      <c r="A29" s="49" t="s">
        <v>326</v>
      </c>
      <c r="B29" s="44" t="s">
        <v>327</v>
      </c>
      <c r="C29" s="44"/>
      <c r="D29" s="44" t="s">
        <v>28</v>
      </c>
      <c r="E29" s="64" t="s">
        <v>345</v>
      </c>
      <c r="F29" s="45"/>
      <c r="G29" s="46"/>
      <c r="H29" s="47"/>
      <c r="I29" s="60" t="str" cm="1">
        <f t="array" aca="1" ref="I29"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29" s="60" t="str" cm="1">
        <f t="array" aca="1" ref="J29"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29" s="60" t="str" cm="1">
        <f t="array" aca="1" ref="K29"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29" s="60" t="str" cm="1">
        <f t="array" aca="1" ref="L29"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29" s="60" t="str" cm="1">
        <f t="array" aca="1" ref="M29"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29" s="60" t="str" cm="1">
        <f t="array" aca="1" ref="N29"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29" s="60" t="str" cm="1">
        <f t="array" aca="1" ref="O29"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29" s="60" t="str" cm="1">
        <f t="array" aca="1" ref="P29"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29" s="60" t="str" cm="1">
        <f t="array" aca="1" ref="Q29"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29" s="60" t="str" cm="1">
        <f t="array" aca="1" ref="R29"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29" s="60" t="str" cm="1">
        <f t="array" aca="1" ref="S29"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29" s="60" t="str" cm="1">
        <f t="array" aca="1" ref="T29"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29" s="60" t="str" cm="1">
        <f t="array" aca="1" ref="U29"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29" s="60" t="str" cm="1">
        <f t="array" aca="1" ref="V29"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29" s="60" t="str" cm="1">
        <f t="array" aca="1" ref="W29"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29" s="60" t="str" cm="1">
        <f t="array" aca="1" ref="X29"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29" s="60" t="str" cm="1">
        <f t="array" aca="1" ref="Y29"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29" s="60" t="str" cm="1">
        <f t="array" aca="1" ref="Z29"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29" s="60" t="str" cm="1">
        <f t="array" aca="1" ref="AA29"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29" s="60" t="str" cm="1">
        <f t="array" aca="1" ref="AB29"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29" s="60" t="str" cm="1">
        <f t="array" aca="1" ref="AC29"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29" s="60" t="str" cm="1">
        <f t="array" aca="1" ref="AD29"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29" s="60" t="str" cm="1">
        <f t="array" aca="1" ref="AE29"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29" s="60" t="str" cm="1">
        <f t="array" aca="1" ref="AF29"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29" s="60" t="str" cm="1">
        <f t="array" aca="1" ref="AG29"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29" s="60" t="str" cm="1">
        <f t="array" aca="1" ref="AH29"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29" s="60" t="str" cm="1">
        <f t="array" aca="1" ref="AI29"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29" s="60" t="str" cm="1">
        <f t="array" aca="1" ref="AJ29"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29" s="60" t="str" cm="1">
        <f t="array" aca="1" ref="AK29"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29" s="60" t="str" cm="1">
        <f t="array" aca="1" ref="AL29"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29" s="60" t="str" cm="1">
        <f t="array" aca="1" ref="AM29"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29" s="60" t="str" cm="1">
        <f t="array" aca="1" ref="AN29"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29" s="60" t="str" cm="1">
        <f t="array" aca="1" ref="AO29"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29" s="60" t="str" cm="1">
        <f t="array" aca="1" ref="AP29"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29" s="60" t="str" cm="1">
        <f t="array" aca="1" ref="AQ29"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29" s="60" t="str" cm="1">
        <f t="array" aca="1" ref="AR29"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29" s="60" t="str" cm="1">
        <f t="array" aca="1" ref="AS29"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29" s="60" t="str" cm="1">
        <f t="array" aca="1" ref="AT29"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29" s="60" t="str" cm="1">
        <f t="array" aca="1" ref="AU29"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29" s="60" t="str" cm="1">
        <f t="array" aca="1" ref="AV29"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29" s="60" t="str" cm="1">
        <f t="array" aca="1" ref="AW29"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29" s="60" t="str" cm="1">
        <f t="array" aca="1" ref="AX29"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29" s="60" t="str" cm="1">
        <f t="array" aca="1" ref="AY29"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29" s="60" t="str" cm="1">
        <f t="array" aca="1" ref="AZ29"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29" s="60" t="str" cm="1">
        <f t="array" aca="1" ref="BA29"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29" s="60" t="str" cm="1">
        <f t="array" aca="1" ref="BB29"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29" s="60" t="str" cm="1">
        <f t="array" aca="1" ref="BC29"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29" s="60" t="str" cm="1">
        <f t="array" aca="1" ref="BD29"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29" s="60" t="str" cm="1">
        <f t="array" aca="1" ref="BE29"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29" s="60" t="str" cm="1">
        <f t="array" aca="1" ref="BF29"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29" s="60" t="str" cm="1">
        <f t="array" aca="1" ref="BG29"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29" s="60" t="str" cm="1">
        <f t="array" aca="1" ref="BH29"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29" s="60" t="str" cm="1">
        <f t="array" aca="1" ref="BI29"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29" s="60" t="str" cm="1">
        <f t="array" aca="1" ref="BJ29"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29" s="60" t="str" cm="1">
        <f t="array" aca="1" ref="BK29"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29" s="60" t="str" cm="1">
        <f t="array" aca="1" ref="BL29"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29" s="60" t="str" cm="1">
        <f t="array" aca="1" ref="BM29"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29" s="60" t="str" cm="1">
        <f t="array" aca="1" ref="BN29"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29" s="60" t="str" cm="1">
        <f t="array" aca="1" ref="BO29"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29" s="60" t="str" cm="1">
        <f t="array" aca="1" ref="BP29"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29" s="60" t="str" cm="1">
        <f t="array" aca="1" ref="BQ29"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29" s="60" t="str" cm="1">
        <f t="array" aca="1" ref="BR29"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29" s="60" t="str" cm="1">
        <f t="array" aca="1" ref="BS29"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29" s="60" t="str" cm="1">
        <f t="array" aca="1" ref="BT29"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29" s="60" t="str" cm="1">
        <f t="array" aca="1" ref="BU29"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29" s="60" t="str" cm="1">
        <f t="array" aca="1" ref="BV29"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29" s="60" t="str" cm="1">
        <f t="array" aca="1" ref="BW29"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29" s="60" t="str" cm="1">
        <f t="array" aca="1" ref="BX29"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29" s="60" t="str" cm="1">
        <f t="array" aca="1" ref="BY29"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29" s="60" t="str" cm="1">
        <f t="array" aca="1" ref="BZ29"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29" s="60" t="str" cm="1">
        <f t="array" aca="1" ref="CA29"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29" s="60" t="str" cm="1">
        <f t="array" aca="1" ref="CB29"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29" s="60" t="str" cm="1">
        <f t="array" aca="1" ref="CC29"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29" s="60" t="str" cm="1">
        <f t="array" aca="1" ref="CD29"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29" s="60" t="str" cm="1">
        <f t="array" aca="1" ref="CE29"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29" s="60" t="str" cm="1">
        <f t="array" aca="1" ref="CF29"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29" s="60" t="str" cm="1">
        <f t="array" aca="1" ref="CG29"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29" s="60" t="str" cm="1">
        <f t="array" aca="1" ref="CH29"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29" s="60" t="str" cm="1">
        <f t="array" aca="1" ref="CI29"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29" s="62" t="str" cm="1">
        <f t="array" aca="1" ref="CJ29"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30" spans="1:88">
      <c r="A30" s="49" t="s">
        <v>329</v>
      </c>
      <c r="B30" s="44" t="s">
        <v>330</v>
      </c>
      <c r="C30" s="44"/>
      <c r="D30" s="44" t="s">
        <v>28</v>
      </c>
      <c r="E30" s="64" t="s">
        <v>345</v>
      </c>
      <c r="F30" s="45"/>
      <c r="G30" s="46"/>
      <c r="H30" s="47"/>
      <c r="I30" s="60" t="str" cm="1">
        <f t="array" aca="1" ref="I30"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30" s="60" t="str" cm="1">
        <f t="array" aca="1" ref="J30"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30" s="60" t="str" cm="1">
        <f t="array" aca="1" ref="K30"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30" s="60" t="str" cm="1">
        <f t="array" aca="1" ref="L30"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30" s="60" t="str" cm="1">
        <f t="array" aca="1" ref="M30"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30" s="60" t="str" cm="1">
        <f t="array" aca="1" ref="N30"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30" s="60" t="str" cm="1">
        <f t="array" aca="1" ref="O30"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30" s="60" t="str" cm="1">
        <f t="array" aca="1" ref="P30"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30" s="60" t="str" cm="1">
        <f t="array" aca="1" ref="Q30"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30" s="60" t="str" cm="1">
        <f t="array" aca="1" ref="R30"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30" s="60" t="str" cm="1">
        <f t="array" aca="1" ref="S30"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30" s="60" t="str" cm="1">
        <f t="array" aca="1" ref="T30"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30" s="60" t="str" cm="1">
        <f t="array" aca="1" ref="U30"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30" s="60" t="str" cm="1">
        <f t="array" aca="1" ref="V30"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30" s="60" t="str" cm="1">
        <f t="array" aca="1" ref="W30"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30" s="60" t="str" cm="1">
        <f t="array" aca="1" ref="X30"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30" s="60" t="str" cm="1">
        <f t="array" aca="1" ref="Y30"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30" s="60" t="str" cm="1">
        <f t="array" aca="1" ref="Z30"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30" s="60" t="str" cm="1">
        <f t="array" aca="1" ref="AA30"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30" s="60" t="str" cm="1">
        <f t="array" aca="1" ref="AB30"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30" s="60" t="str" cm="1">
        <f t="array" aca="1" ref="AC30"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30" s="60" t="str" cm="1">
        <f t="array" aca="1" ref="AD30"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30" s="60" t="str" cm="1">
        <f t="array" aca="1" ref="AE30"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30" s="60" t="str" cm="1">
        <f t="array" aca="1" ref="AF30"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30" s="60" t="str" cm="1">
        <f t="array" aca="1" ref="AG30"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30" s="60" t="str" cm="1">
        <f t="array" aca="1" ref="AH30"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30" s="60" t="str" cm="1">
        <f t="array" aca="1" ref="AI30"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30" s="60" t="str" cm="1">
        <f t="array" aca="1" ref="AJ30"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30" s="60" t="str" cm="1">
        <f t="array" aca="1" ref="AK30"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30" s="60" t="str" cm="1">
        <f t="array" aca="1" ref="AL30"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30" s="60" t="str" cm="1">
        <f t="array" aca="1" ref="AM30"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30" s="60" t="str" cm="1">
        <f t="array" aca="1" ref="AN30"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30" s="60" t="str" cm="1">
        <f t="array" aca="1" ref="AO30"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30" s="60" t="str" cm="1">
        <f t="array" aca="1" ref="AP30"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30" s="60" t="str" cm="1">
        <f t="array" aca="1" ref="AQ30"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30" s="60" t="str" cm="1">
        <f t="array" aca="1" ref="AR30"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30" s="60" t="str" cm="1">
        <f t="array" aca="1" ref="AS30"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30" s="60" t="str" cm="1">
        <f t="array" aca="1" ref="AT30"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30" s="60" t="str" cm="1">
        <f t="array" aca="1" ref="AU30"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30" s="60" t="str" cm="1">
        <f t="array" aca="1" ref="AV30"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30" s="60" t="str" cm="1">
        <f t="array" aca="1" ref="AW30"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30" s="60" t="str" cm="1">
        <f t="array" aca="1" ref="AX30"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30" s="60" t="str" cm="1">
        <f t="array" aca="1" ref="AY30"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30" s="60" t="str" cm="1">
        <f t="array" aca="1" ref="AZ30"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30" s="60" t="str" cm="1">
        <f t="array" aca="1" ref="BA30"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30" s="60" t="str" cm="1">
        <f t="array" aca="1" ref="BB30"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30" s="60" t="str" cm="1">
        <f t="array" aca="1" ref="BC30"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30" s="60" t="str" cm="1">
        <f t="array" aca="1" ref="BD30"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30" s="60" t="str" cm="1">
        <f t="array" aca="1" ref="BE30"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30" s="60" t="str" cm="1">
        <f t="array" aca="1" ref="BF30"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30" s="60" t="str" cm="1">
        <f t="array" aca="1" ref="BG30"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30" s="60" t="str" cm="1">
        <f t="array" aca="1" ref="BH30"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30" s="60" t="str" cm="1">
        <f t="array" aca="1" ref="BI30"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30" s="60" t="str" cm="1">
        <f t="array" aca="1" ref="BJ30"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30" s="60" t="str" cm="1">
        <f t="array" aca="1" ref="BK30"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30" s="60" t="str" cm="1">
        <f t="array" aca="1" ref="BL30"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30" s="60" t="str" cm="1">
        <f t="array" aca="1" ref="BM30"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30" s="60" t="str" cm="1">
        <f t="array" aca="1" ref="BN30"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30" s="60" t="str" cm="1">
        <f t="array" aca="1" ref="BO30"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30" s="60" t="str" cm="1">
        <f t="array" aca="1" ref="BP30"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30" s="60" t="str" cm="1">
        <f t="array" aca="1" ref="BQ30"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30" s="60" t="str" cm="1">
        <f t="array" aca="1" ref="BR30"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30" s="60" t="str" cm="1">
        <f t="array" aca="1" ref="BS30"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30" s="60" t="str" cm="1">
        <f t="array" aca="1" ref="BT30"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30" s="60" t="str" cm="1">
        <f t="array" aca="1" ref="BU30"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30" s="60" t="str" cm="1">
        <f t="array" aca="1" ref="BV30"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30" s="60" t="str" cm="1">
        <f t="array" aca="1" ref="BW30"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30" s="60" t="str" cm="1">
        <f t="array" aca="1" ref="BX30"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30" s="60" t="str" cm="1">
        <f t="array" aca="1" ref="BY30"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30" s="60" t="str" cm="1">
        <f t="array" aca="1" ref="BZ30"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30" s="60" t="str" cm="1">
        <f t="array" aca="1" ref="CA30"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30" s="60" t="str" cm="1">
        <f t="array" aca="1" ref="CB30"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30" s="60" t="str" cm="1">
        <f t="array" aca="1" ref="CC30"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30" s="60" t="str" cm="1">
        <f t="array" aca="1" ref="CD30"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30" s="60" t="str" cm="1">
        <f t="array" aca="1" ref="CE30"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30" s="60" t="str" cm="1">
        <f t="array" aca="1" ref="CF30"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30" s="60" t="str" cm="1">
        <f t="array" aca="1" ref="CG30"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30" s="60" t="str" cm="1">
        <f t="array" aca="1" ref="CH30"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30" s="60" t="str" cm="1">
        <f t="array" aca="1" ref="CI30"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30" s="62" t="str" cm="1">
        <f t="array" aca="1" ref="CJ30"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31" spans="1:88">
      <c r="A31" s="49" t="s">
        <v>295</v>
      </c>
      <c r="B31" s="44" t="s">
        <v>296</v>
      </c>
      <c r="C31" s="44"/>
      <c r="D31" s="44" t="s">
        <v>26</v>
      </c>
      <c r="E31" s="64" t="s">
        <v>345</v>
      </c>
      <c r="F31" s="45"/>
      <c r="G31" s="46"/>
      <c r="H31" s="47"/>
      <c r="I31" s="60" t="str" cm="1">
        <f t="array" aca="1" ref="I31"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31" s="60" t="str" cm="1">
        <f t="array" aca="1" ref="J31"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31" s="60" t="str" cm="1">
        <f t="array" aca="1" ref="K31"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31" s="60" t="str" cm="1">
        <f t="array" aca="1" ref="L31"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31" s="60" t="str" cm="1">
        <f t="array" aca="1" ref="M31"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31" s="60" t="str" cm="1">
        <f t="array" aca="1" ref="N31"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31" s="60" t="str" cm="1">
        <f t="array" aca="1" ref="O31"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31" s="60" t="str" cm="1">
        <f t="array" aca="1" ref="P31"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31" s="60" t="str" cm="1">
        <f t="array" aca="1" ref="Q31"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31" s="60" t="str" cm="1">
        <f t="array" aca="1" ref="R31"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31" s="60" t="str" cm="1">
        <f t="array" aca="1" ref="S31"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31" s="60" t="str" cm="1">
        <f t="array" aca="1" ref="T31"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31" s="60" t="str" cm="1">
        <f t="array" aca="1" ref="U31"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31" s="60" t="str" cm="1">
        <f t="array" aca="1" ref="V31"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31" s="60" t="str" cm="1">
        <f t="array" aca="1" ref="W31"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31" s="60" t="str" cm="1">
        <f t="array" aca="1" ref="X31"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31" s="60" t="str" cm="1">
        <f t="array" aca="1" ref="Y31"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31" s="60" t="str" cm="1">
        <f t="array" aca="1" ref="Z31"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31" s="60" t="str" cm="1">
        <f t="array" aca="1" ref="AA31"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31" s="60" t="str" cm="1">
        <f t="array" aca="1" ref="AB31"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31" s="60" t="str" cm="1">
        <f t="array" aca="1" ref="AC31"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31" s="60" t="str" cm="1">
        <f t="array" aca="1" ref="AD31"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31" s="60" t="str" cm="1">
        <f t="array" aca="1" ref="AE31"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31" s="60" t="str" cm="1">
        <f t="array" aca="1" ref="AF31"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31" s="60" t="str" cm="1">
        <f t="array" aca="1" ref="AG31"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31" s="60" t="str" cm="1">
        <f t="array" aca="1" ref="AH31"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31" s="60" t="str" cm="1">
        <f t="array" aca="1" ref="AI31"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31" s="60" t="str" cm="1">
        <f t="array" aca="1" ref="AJ31"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31" s="60" t="str" cm="1">
        <f t="array" aca="1" ref="AK31"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31" s="60" t="str" cm="1">
        <f t="array" aca="1" ref="AL31"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31" s="60" t="str" cm="1">
        <f t="array" aca="1" ref="AM31"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31" s="60" t="str" cm="1">
        <f t="array" aca="1" ref="AN31"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31" s="60" t="str" cm="1">
        <f t="array" aca="1" ref="AO31"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31" s="60" t="str" cm="1">
        <f t="array" aca="1" ref="AP31"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31" s="60" t="str" cm="1">
        <f t="array" aca="1" ref="AQ31"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31" s="60" t="str" cm="1">
        <f t="array" aca="1" ref="AR31"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31" s="60" t="str" cm="1">
        <f t="array" aca="1" ref="AS31"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31" s="60" t="str" cm="1">
        <f t="array" aca="1" ref="AT31"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31" s="60" t="str" cm="1">
        <f t="array" aca="1" ref="AU31"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31" s="60" t="str" cm="1">
        <f t="array" aca="1" ref="AV31"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31" s="60" t="str" cm="1">
        <f t="array" aca="1" ref="AW31"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31" s="60" t="str" cm="1">
        <f t="array" aca="1" ref="AX31"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31" s="60" t="str" cm="1">
        <f t="array" aca="1" ref="AY31"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31" s="60" t="str" cm="1">
        <f t="array" aca="1" ref="AZ31"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31" s="60" t="str" cm="1">
        <f t="array" aca="1" ref="BA31"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31" s="60" t="str" cm="1">
        <f t="array" aca="1" ref="BB31"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31" s="60" t="str" cm="1">
        <f t="array" aca="1" ref="BC31"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31" s="60" t="str" cm="1">
        <f t="array" aca="1" ref="BD31"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31" s="60" t="str" cm="1">
        <f t="array" aca="1" ref="BE31"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31" s="60" t="str" cm="1">
        <f t="array" aca="1" ref="BF31"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31" s="60" t="str" cm="1">
        <f t="array" aca="1" ref="BG31"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31" s="60" t="str" cm="1">
        <f t="array" aca="1" ref="BH31"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31" s="60" t="str" cm="1">
        <f t="array" aca="1" ref="BI31"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31" s="60" t="str" cm="1">
        <f t="array" aca="1" ref="BJ31"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31" s="60" t="str" cm="1">
        <f t="array" aca="1" ref="BK31"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31" s="60" t="str" cm="1">
        <f t="array" aca="1" ref="BL31"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31" s="60" t="str" cm="1">
        <f t="array" aca="1" ref="BM31"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31" s="60" t="str" cm="1">
        <f t="array" aca="1" ref="BN31"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31" s="60" t="str" cm="1">
        <f t="array" aca="1" ref="BO31"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31" s="60" t="str" cm="1">
        <f t="array" aca="1" ref="BP31"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31" s="60" t="str" cm="1">
        <f t="array" aca="1" ref="BQ31"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31" s="60" t="str" cm="1">
        <f t="array" aca="1" ref="BR31"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31" s="60" t="str" cm="1">
        <f t="array" aca="1" ref="BS31"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31" s="60" t="str" cm="1">
        <f t="array" aca="1" ref="BT31"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31" s="60" t="str" cm="1">
        <f t="array" aca="1" ref="BU31"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31" s="60" t="str" cm="1">
        <f t="array" aca="1" ref="BV31"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31" s="60" t="str" cm="1">
        <f t="array" aca="1" ref="BW31"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31" s="60" t="str" cm="1">
        <f t="array" aca="1" ref="BX31"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31" s="60" t="str" cm="1">
        <f t="array" aca="1" ref="BY31"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31" s="60" t="str" cm="1">
        <f t="array" aca="1" ref="BZ31"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31" s="60" t="str" cm="1">
        <f t="array" aca="1" ref="CA31"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31" s="60" t="str" cm="1">
        <f t="array" aca="1" ref="CB31"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31" s="60" t="str" cm="1">
        <f t="array" aca="1" ref="CC31"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31" s="60" t="str" cm="1">
        <f t="array" aca="1" ref="CD31"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31" s="60" t="str" cm="1">
        <f t="array" aca="1" ref="CE31"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31" s="60" t="str" cm="1">
        <f t="array" aca="1" ref="CF31"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31" s="60" t="str" cm="1">
        <f t="array" aca="1" ref="CG31"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31" s="60" t="str" cm="1">
        <f t="array" aca="1" ref="CH31"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31" s="60" t="str" cm="1">
        <f t="array" aca="1" ref="CI31"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31" s="62" t="str" cm="1">
        <f t="array" aca="1" ref="CJ31"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32" spans="1:88">
      <c r="A32" s="49" t="s">
        <v>323</v>
      </c>
      <c r="B32" s="44" t="s">
        <v>324</v>
      </c>
      <c r="C32" s="44"/>
      <c r="D32" s="44" t="s">
        <v>31</v>
      </c>
      <c r="E32" s="64" t="s">
        <v>345</v>
      </c>
      <c r="F32" s="45"/>
      <c r="G32" s="46"/>
      <c r="H32" s="47"/>
      <c r="I32" s="60" t="str" cm="1">
        <f t="array" aca="1" ref="I32"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32" s="60" t="str" cm="1">
        <f t="array" aca="1" ref="J32"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32" s="60" t="str" cm="1">
        <f t="array" aca="1" ref="K32"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32" s="60" t="str" cm="1">
        <f t="array" aca="1" ref="L32"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32" s="60" t="str" cm="1">
        <f t="array" aca="1" ref="M32"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32" s="60" t="str" cm="1">
        <f t="array" aca="1" ref="N32"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32" s="60" t="str" cm="1">
        <f t="array" aca="1" ref="O32"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32" s="60" t="str" cm="1">
        <f t="array" aca="1" ref="P32"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32" s="60" t="str" cm="1">
        <f t="array" aca="1" ref="Q32"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32" s="60" t="str" cm="1">
        <f t="array" aca="1" ref="R32"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32" s="60" t="str" cm="1">
        <f t="array" aca="1" ref="S32"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32" s="60" t="str" cm="1">
        <f t="array" aca="1" ref="T32"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32" s="60" t="str" cm="1">
        <f t="array" aca="1" ref="U32"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32" s="60" t="str" cm="1">
        <f t="array" aca="1" ref="V32"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32" s="60" t="str" cm="1">
        <f t="array" aca="1" ref="W32"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32" s="60" t="str" cm="1">
        <f t="array" aca="1" ref="X32"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32" s="60" t="str" cm="1">
        <f t="array" aca="1" ref="Y32"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32" s="60" t="str" cm="1">
        <f t="array" aca="1" ref="Z32"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32" s="60" t="str" cm="1">
        <f t="array" aca="1" ref="AA32"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32" s="60" t="str" cm="1">
        <f t="array" aca="1" ref="AB32"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32" s="60" t="str" cm="1">
        <f t="array" aca="1" ref="AC32"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32" s="60" t="str" cm="1">
        <f t="array" aca="1" ref="AD32"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32" s="60" t="str" cm="1">
        <f t="array" aca="1" ref="AE32"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32" s="60" t="str" cm="1">
        <f t="array" aca="1" ref="AF32"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32" s="60" t="str" cm="1">
        <f t="array" aca="1" ref="AG32"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32" s="60" t="str" cm="1">
        <f t="array" aca="1" ref="AH32"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32" s="60" t="str" cm="1">
        <f t="array" aca="1" ref="AI32"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32" s="60" t="str" cm="1">
        <f t="array" aca="1" ref="AJ32"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32" s="60" t="str" cm="1">
        <f t="array" aca="1" ref="AK32"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32" s="60" t="str" cm="1">
        <f t="array" aca="1" ref="AL32"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32" s="60" t="str" cm="1">
        <f t="array" aca="1" ref="AM32"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32" s="60" t="str" cm="1">
        <f t="array" aca="1" ref="AN32"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32" s="60" t="str" cm="1">
        <f t="array" aca="1" ref="AO32"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32" s="60" t="str" cm="1">
        <f t="array" aca="1" ref="AP32"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32" s="60" t="str" cm="1">
        <f t="array" aca="1" ref="AQ32"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32" s="60" t="str" cm="1">
        <f t="array" aca="1" ref="AR32"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32" s="60" t="str" cm="1">
        <f t="array" aca="1" ref="AS32"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32" s="60" t="str" cm="1">
        <f t="array" aca="1" ref="AT32"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32" s="60" t="str" cm="1">
        <f t="array" aca="1" ref="AU32"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32" s="60" t="str" cm="1">
        <f t="array" aca="1" ref="AV32"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32" s="60" t="str" cm="1">
        <f t="array" aca="1" ref="AW32"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32" s="60" t="str" cm="1">
        <f t="array" aca="1" ref="AX32"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32" s="60" t="str" cm="1">
        <f t="array" aca="1" ref="AY32"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32" s="60" t="str" cm="1">
        <f t="array" aca="1" ref="AZ32"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32" s="60" t="str" cm="1">
        <f t="array" aca="1" ref="BA32"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32" s="60" t="str" cm="1">
        <f t="array" aca="1" ref="BB32"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32" s="60" t="str" cm="1">
        <f t="array" aca="1" ref="BC32"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32" s="60" t="str" cm="1">
        <f t="array" aca="1" ref="BD32"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32" s="60" t="str" cm="1">
        <f t="array" aca="1" ref="BE32"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32" s="60" t="str" cm="1">
        <f t="array" aca="1" ref="BF32"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32" s="60" t="str" cm="1">
        <f t="array" aca="1" ref="BG32"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32" s="60" t="str" cm="1">
        <f t="array" aca="1" ref="BH32"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32" s="60" t="str" cm="1">
        <f t="array" aca="1" ref="BI32"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32" s="60" t="str" cm="1">
        <f t="array" aca="1" ref="BJ32"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32" s="60" t="str" cm="1">
        <f t="array" aca="1" ref="BK32"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32" s="60" t="str" cm="1">
        <f t="array" aca="1" ref="BL32"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32" s="60" t="str" cm="1">
        <f t="array" aca="1" ref="BM32"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32" s="60" t="str" cm="1">
        <f t="array" aca="1" ref="BN32"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32" s="60" t="str" cm="1">
        <f t="array" aca="1" ref="BO32"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32" s="60" t="str" cm="1">
        <f t="array" aca="1" ref="BP32"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32" s="60" t="str" cm="1">
        <f t="array" aca="1" ref="BQ32"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32" s="60" t="str" cm="1">
        <f t="array" aca="1" ref="BR32"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32" s="60" t="str" cm="1">
        <f t="array" aca="1" ref="BS32"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32" s="60" t="str" cm="1">
        <f t="array" aca="1" ref="BT32"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32" s="60" t="str" cm="1">
        <f t="array" aca="1" ref="BU32"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32" s="60" t="str" cm="1">
        <f t="array" aca="1" ref="BV32"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32" s="60" t="str" cm="1">
        <f t="array" aca="1" ref="BW32"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32" s="60" t="str" cm="1">
        <f t="array" aca="1" ref="BX32"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32" s="60" t="str" cm="1">
        <f t="array" aca="1" ref="BY32"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32" s="60" t="str" cm="1">
        <f t="array" aca="1" ref="BZ32"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32" s="60" t="str" cm="1">
        <f t="array" aca="1" ref="CA32"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32" s="60" t="str" cm="1">
        <f t="array" aca="1" ref="CB32"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32" s="60" t="str" cm="1">
        <f t="array" aca="1" ref="CC32"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32" s="60" t="str" cm="1">
        <f t="array" aca="1" ref="CD32"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32" s="60" t="str" cm="1">
        <f t="array" aca="1" ref="CE32"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32" s="60" t="str" cm="1">
        <f t="array" aca="1" ref="CF32"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32" s="60" t="str" cm="1">
        <f t="array" aca="1" ref="CG32"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32" s="60" t="str" cm="1">
        <f t="array" aca="1" ref="CH32"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32" s="60" t="str" cm="1">
        <f t="array" aca="1" ref="CI32"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32" s="62" t="str" cm="1">
        <f t="array" aca="1" ref="CJ32"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row r="33" spans="1:88">
      <c r="A33" s="49" t="s">
        <v>286</v>
      </c>
      <c r="B33" s="44" t="s">
        <v>287</v>
      </c>
      <c r="C33" s="44"/>
      <c r="D33" s="44" t="s">
        <v>31</v>
      </c>
      <c r="E33" s="64" t="s">
        <v>345</v>
      </c>
      <c r="F33" s="45"/>
      <c r="G33" s="46"/>
      <c r="H33" s="47"/>
      <c r="I33" s="60" t="str" cm="1">
        <f t="array" aca="1" ref="I33" ca="1">_xlfn.IFNA(
IF(
_xlfn.LET(_xlpm.note,VLOOKUP(_xlfn.CHOOSECOLS(Weighted[#This Row],1),Real[],COLUMN(Weighted[[#Headers],[A1]]),FALSE),
OR(ISBLANK(_xlpm.note), _xlpm.note="")), "",
    _xlfn.LET(
        _xlpm.rawScore, ROUND(VLOOKUP(_xlfn.CHOOSECOLS(Weighted[#This Row],1),Real[],COLUMN(Weighted[[#Headers],[A1]]),FALSE), 6),
        _xlpm.cLevel, _xlfn.CHOOSECOLS(Weighted[#This Row],4),
        _xlpm.compRef, TRIM(CLEAN(Real[[#Headers],[Data Prep: Collect]])),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J33" s="60" t="str" cm="1">
        <f t="array" aca="1" ref="J33"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K33" s="60" t="str" cm="1">
        <f t="array" aca="1" ref="K33" ca="1">_xlfn.IFNA(
IF(
_xlfn.LET(_xlpm.note,VLOOKUP(_xlfn.CHOOSECOLS(Weighted[#This Row],1),Real[],COLUMN(Weighted[[#Headers],[A2]]),FALSE),
OR(ISBLANK(_xlpm.note), _xlpm.note="")), "",
    _xlfn.LET(
        _xlpm.rawScore, ROUND(VLOOKUP(_xlfn.CHOOSECOLS(Weighted[#This Row],1),Real[],COLUMN(Weighted[[#Headers],[A2]]),FALSE), 6),
        _xlpm.cLevel, _xlfn.CHOOSECOLS(Weighted[#This Row],4),
        _xlpm.compRef, TRIM(CLEAN(Real[[#Headers],[Data Prep: Transform/Relevancy]])),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L33" s="60" t="str" cm="1">
        <f t="array" aca="1" ref="L33"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M33" s="60" t="str" cm="1">
        <f t="array" aca="1" ref="M33" ca="1">_xlfn.IFNA(
IF(
_xlfn.LET(_xlpm.note,VLOOKUP(_xlfn.CHOOSECOLS(Weighted[#This Row],1),Real[],COLUMN(Weighted[[#Headers],[A3]]),FALSE),
OR(ISBLANK(_xlpm.note), _xlpm.note="")), "",
    _xlfn.LET(
        _xlpm.rawScore, ROUND(VLOOKUP(_xlfn.CHOOSECOLS(Weighted[#This Row],1),Real[],COLUMN(Weighted[[#Headers],[A3]]),FALSE), 6),
        _xlpm.cLevel, _xlfn.CHOOSECOLS(Weighted[#This Row],4),
        _xlpm.compRef, TRIM(CLEAN(Real[[#Headers],[DQ Dev: SQL View]])),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N33" s="60" t="str" cm="1">
        <f t="array" aca="1" ref="N33"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O33" s="60" t="str" cm="1">
        <f t="array" aca="1" ref="O33" ca="1">_xlfn.IFNA(
IF(
_xlfn.LET(_xlpm.note,VLOOKUP(_xlfn.CHOOSECOLS(Weighted[#This Row],1),Real[],COLUMN(Weighted[[#Headers],[A4]]),FALSE),
OR(ISBLANK(_xlpm.note), _xlpm.note="")), "",
    _xlfn.LET(
        _xlpm.rawScore, ROUND(VLOOKUP(_xlfn.CHOOSECOLS(Weighted[#This Row],1),Real[],COLUMN(Weighted[[#Headers],[A4]]),FALSE), 6),
        _xlpm.cLevel, _xlfn.CHOOSECOLS(Weighted[#This Row],4),
        _xlpm.compRef, TRIM(CLEAN(Real[[#Headers],[DQ Dev: DQ Components]])),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P33" s="60" t="str" cm="1">
        <f t="array" aca="1" ref="P33"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Q33" s="60" t="str" cm="1">
        <f t="array" aca="1" ref="Q33" ca="1">_xlfn.IFNA(
IF(
_xlfn.LET(_xlpm.note,VLOOKUP(_xlfn.CHOOSECOLS(Weighted[#This Row],1),Real[],COLUMN(Weighted[[#Headers],[A5]]),FALSE),
OR(ISBLANK(_xlpm.note), _xlpm.note="")), "",
    _xlfn.LET(
        _xlpm.rawScore, ROUND(VLOOKUP(_xlfn.CHOOSECOLS(Weighted[#This Row],1),Real[],COLUMN(Weighted[[#Headers],[A5]]),FALSE), 6),
        _xlpm.cLevel, _xlfn.CHOOSECOLS(Weighted[#This Row],4),
        _xlpm.compRef, TRIM(CLEAN(Real[[#Headers],[DQ Dashboard: Scorecards]])),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R33" s="60" t="str" cm="1">
        <f t="array" aca="1" ref="R33"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S33" s="60" t="str" cm="1">
        <f t="array" aca="1" ref="S33" ca="1">_xlfn.IFNA(
IF(
_xlfn.LET(_xlpm.note,VLOOKUP(_xlfn.CHOOSECOLS(Weighted[#This Row],1),Real[],COLUMN(Weighted[[#Headers],[A6]]),FALSE),
OR(ISBLANK(_xlpm.note), _xlpm.note="")), "",
    _xlfn.LET(
        _xlpm.rawScore, ROUND(VLOOKUP(_xlfn.CHOOSECOLS(Weighted[#This Row],1),Real[],COLUMN(Weighted[[#Headers],[A6]]),FALSE), 6),
        _xlpm.cLevel, _xlfn.CHOOSECOLS(Weighted[#This Row],4),
        _xlpm.compRef, TRIM(CLEAN(Real[[#Headers],[DQ Admin: ADM]])),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T33" s="60" t="str" cm="1">
        <f t="array" aca="1" ref="T33"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U33" s="60" t="str" cm="1">
        <f t="array" aca="1" ref="U33" ca="1">_xlfn.IFNA(
IF(
_xlfn.LET(_xlpm.note,VLOOKUP(_xlfn.CHOOSECOLS(Weighted[#This Row],1),Real[],COLUMN(Weighted[[#Headers],[A7]]),FALSE),
OR(ISBLANK(_xlpm.note), _xlpm.note="")), "",
    _xlfn.LET(
        _xlpm.rawScore, ROUND(VLOOKUP(_xlfn.CHOOSECOLS(Weighted[#This Row],1),Real[],COLUMN(Weighted[[#Headers],[A7]]),FALSE), 6),
        _xlpm.cLevel, _xlfn.CHOOSECOLS(Weighted[#This Row],4),
        _xlpm.compRef, TRIM(CLEAN(Real[[#Headers],[ADM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V33" s="60" t="str" cm="1">
        <f t="array" aca="1" ref="V33"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W33" s="60" t="str" cm="1">
        <f t="array" aca="1" ref="W33" ca="1">_xlfn.IFNA(
IF(
_xlfn.LET(_xlpm.note,VLOOKUP(_xlfn.CHOOSECOLS(Weighted[#This Row],1),Real[],COLUMN(Weighted[[#Headers],[A8]]),FALSE),
OR(ISBLANK(_xlpm.note), _xlpm.note="")), "",
    _xlfn.LET(
        _xlpm.rawScore, ROUND(VLOOKUP(_xlfn.CHOOSECOLS(Weighted[#This Row],1),Real[],COLUMN(Weighted[[#Headers],[A8]]),FALSE), 6),
        _xlpm.cLevel, _xlfn.CHOOSECOLS(Weighted[#This Row],4),
        _xlpm.compRef, TRIM(CLEAN(Real[[#Headers],[DQ Match: Syniti Match (Cortex)]])),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X33" s="60" t="str" cm="1">
        <f t="array" aca="1" ref="X33"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Y33" s="60" t="str" cm="1">
        <f t="array" aca="1" ref="Y33" ca="1">_xlfn.IFNA(
IF(
_xlfn.LET(_xlpm.note,VLOOKUP(_xlfn.CHOOSECOLS(Weighted[#This Row],1),Real[],COLUMN(Weighted[[#Headers],[A9]]),FALSE),
OR(ISBLANK(_xlpm.note), _xlpm.note="")), "",
    _xlfn.LET(
        _xlpm.rawScore, ROUND(VLOOKUP(_xlfn.CHOOSECOLS(Weighted[#This Row],1),Real[],COLUMN(Weighted[[#Headers],[A9]]),FALSE), 6),
        _xlpm.cLevel, _xlfn.CHOOSECOLS(Weighted[#This Row],4),
        _xlpm.compRef, TRIM(CLEAN(Real[[#Headers],[DQ Operate: Automate/Serv. page]])),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Z33" s="60" t="str" cm="1">
        <f t="array" aca="1" ref="Z33"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A33" s="60" t="str" cm="1">
        <f t="array" aca="1" ref="AA33" ca="1">_xlfn.IFNA(
IF(
_xlfn.LET(_xlpm.note,VLOOKUP(_xlfn.CHOOSECOLS(Weighted[#This Row],1),Real[],COLUMN(Weighted[[#Headers],[A10]]),FALSE),
OR(ISBLANK(_xlpm.note), _xlpm.note="")), "",
    _xlfn.LET(
        _xlpm.rawScore, ROUND(VLOOKUP(_xlfn.CHOOSECOLS(Weighted[#This Row],1),Real[],COLUMN(Weighted[[#Headers],[A10]]),FALSE), 6),
        _xlpm.cLevel, _xlfn.CHOOSECOLS(Weighted[#This Row],4),
        _xlpm.compRef, TRIM(CLEAN(Real[[#Headers],[Construct - webApps]])),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B33" s="60" t="str" cm="1">
        <f t="array" aca="1" ref="AB33"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C33" s="60" t="str" cm="1">
        <f t="array" aca="1" ref="AC33" ca="1">_xlfn.IFNA(
IF(
_xlfn.LET(_xlpm.note,VLOOKUP(_xlfn.CHOOSECOLS(Weighted[#This Row],1),Real[],COLUMN(Weighted[[#Headers],[B1]]),FALSE),
OR(ISBLANK(_xlpm.note), _xlpm.note="")), "",
    _xlfn.LET(
        _xlpm.rawScore, ROUND(VLOOKUP(_xlfn.CHOOSECOLS(Weighted[#This Row],1),Real[],COLUMN(Weighted[[#Headers],[B1]]),FALSE), 6),
        _xlpm.cLevel, _xlfn.CHOOSECOLS(Weighted[#This Row],4),
        _xlpm.compRef, TRIM(CLEAN(Real[[#Headers],[Data Prep: Replicate/Snapshot]])),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D33" s="60" t="str" cm="1">
        <f t="array" aca="1" ref="AD33"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E33" s="60" t="str" cm="1">
        <f t="array" aca="1" ref="AE33" ca="1">_xlfn.IFNA(
IF(
_xlfn.LET(_xlpm.note,VLOOKUP(_xlfn.CHOOSECOLS(Weighted[#This Row],1),Real[],COLUMN(Weighted[[#Headers],[B2]]),FALSE),
OR(ISBLANK(_xlpm.note), _xlpm.note="")), "",
    _xlfn.LET(
        _xlpm.rawScore, ROUND(VLOOKUP(_xlfn.CHOOSECOLS(Weighted[#This Row],1),Real[],COLUMN(Weighted[[#Headers],[B2]]),FALSE), 6),
        _xlpm.cLevel, _xlfn.CHOOSECOLS(Weighted[#This Row],4),
        _xlpm.compRef, TRIM(CLEAN(Real[[#Headers],[Data Prep: Migrate/Relevancy]])),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F33" s="60" t="str" cm="1">
        <f t="array" aca="1" ref="AF33"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G33" s="60" t="str" cm="1">
        <f t="array" aca="1" ref="AG33" ca="1">_xlfn.IFNA(
IF(
_xlfn.LET(_xlpm.note,VLOOKUP(_xlfn.CHOOSECOLS(Weighted[#This Row],1),Real[],COLUMN(Weighted[[#Headers],[B3]]),FALSE),
OR(ISBLANK(_xlpm.note), _xlpm.note="")), "",
    _xlfn.LET(
        _xlpm.rawScore, ROUND(VLOOKUP(_xlfn.CHOOSECOLS(Weighted[#This Row],1),Real[],COLUMN(Weighted[[#Headers],[B3]]),FALSE), 6),
        _xlpm.cLevel, _xlfn.CHOOSECOLS(Weighted[#This Row],4),
        _xlpm.compRef, TRIM(CLEAN(Real[[#Headers],[DQ Dev: SQL View2]])),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H33" s="60" t="str" cm="1">
        <f t="array" aca="1" ref="AH33"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I33" s="60" t="str" cm="1">
        <f t="array" aca="1" ref="AI33" ca="1">_xlfn.IFNA(
IF(
_xlfn.LET(_xlpm.note,VLOOKUP(_xlfn.CHOOSECOLS(Weighted[#This Row],1),Real[],COLUMN(Weighted[[#Headers],[B4]]),FALSE),
OR(ISBLANK(_xlpm.note), _xlpm.note="")), "",
    _xlfn.LET(
        _xlpm.rawScore, ROUND(VLOOKUP(_xlfn.CHOOSECOLS(Weighted[#This Row],1),Real[],COLUMN(Weighted[[#Headers],[B4]]),FALSE), 6),
        _xlpm.cLevel, _xlfn.CHOOSECOLS(Weighted[#This Row],4),
        _xlpm.compRef, TRIM(CLEAN(Real[[#Headers],[DQ Dev: DQ Components3]])),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J33" s="60" t="str" cm="1">
        <f t="array" aca="1" ref="AJ33"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K33" s="60" t="str" cm="1">
        <f t="array" aca="1" ref="AK33" ca="1">_xlfn.IFNA(
IF(
_xlfn.LET(_xlpm.note,VLOOKUP(_xlfn.CHOOSECOLS(Weighted[#This Row],1),Real[],COLUMN(Weighted[[#Headers],[B5]]),FALSE),
OR(ISBLANK(_xlpm.note), _xlpm.note="")), "",
    _xlfn.LET(
        _xlpm.rawScore, ROUND(VLOOKUP(_xlfn.CHOOSECOLS(Weighted[#This Row],1),Real[],COLUMN(Weighted[[#Headers],[B5]]),FALSE), 6),
        _xlpm.cLevel, _xlfn.CHOOSECOLS(Weighted[#This Row],4),
        _xlpm.compRef, TRIM(CLEAN(Real[[#Headers],[DQ Dashboard: Standard (Dataset)]])),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L33" s="60" t="str" cm="1">
        <f t="array" aca="1" ref="AL33"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M33" s="60" t="str" cm="1">
        <f t="array" aca="1" ref="AM33" ca="1">_xlfn.IFNA(
IF(
_xlfn.LET(_xlpm.note,VLOOKUP(_xlfn.CHOOSECOLS(Weighted[#This Row],1),Real[],COLUMN(Weighted[[#Headers],[B6]]),FALSE),
OR(ISBLANK(_xlpm.note), _xlpm.note="")), "",
    _xlfn.LET(
        _xlpm.rawScore, ROUND(VLOOKUP(_xlfn.CHOOSECOLS(Weighted[#This Row],1),Real[],COLUMN(Weighted[[#Headers],[B6]]),FALSE), 6),
        _xlpm.cLevel, _xlfn.CHOOSECOLS(Weighted[#This Row],4),
        _xlpm.compRef, TRIM(CLEAN(Real[[#Headers],[DQ Admin: ADM-M]])),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N33" s="60" t="str" cm="1">
        <f t="array" aca="1" ref="AN33"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O33" s="60" t="str" cm="1">
        <f t="array" aca="1" ref="AO33" ca="1">_xlfn.IFNA(
IF(
_xlfn.LET(_xlpm.note,VLOOKUP(_xlfn.CHOOSECOLS(Weighted[#This Row],1),Real[],COLUMN(Weighted[[#Headers],[B7]]),FALSE),
OR(ISBLANK(_xlpm.note), _xlpm.note="")), "",
    _xlfn.LET(
        _xlpm.rawScore, ROUND(VLOOKUP(_xlfn.CHOOSECOLS(Weighted[#This Row],1),Real[],COLUMN(Weighted[[#Headers],[B7]]),FALSE), 6),
        _xlpm.cLevel, _xlfn.CHOOSECOLS(Weighted[#This Row],4),
        _xlpm.compRef, TRIM(CLEAN(Real[[#Headers],[ADM-M Architecture]])),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P33" s="60" t="str" cm="1">
        <f t="array" aca="1" ref="AP33"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Q33" s="60" t="str" cm="1">
        <f t="array" aca="1" ref="AQ33" ca="1">_xlfn.IFNA(
IF(
_xlfn.LET(_xlpm.note,VLOOKUP(_xlfn.CHOOSECOLS(Weighted[#This Row],1),Real[],COLUMN(Weighted[[#Headers],[B8]]),FALSE),
OR(ISBLANK(_xlpm.note), _xlpm.note="")), "",
    _xlfn.LET(
        _xlpm.rawScore, ROUND(VLOOKUP(_xlfn.CHOOSECOLS(Weighted[#This Row],1),Real[],COLUMN(Weighted[[#Headers],[B8]]),FALSE), 6),
        _xlpm.cLevel, _xlfn.CHOOSECOLS(Weighted[#This Row],4),
        _xlpm.compRef, TRIM(CLEAN(Real[[#Headers],[DQ Match: Cloud Match]])),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R33" s="60" t="str" cm="1">
        <f t="array" aca="1" ref="AR33"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S33" s="60" t="str" cm="1">
        <f t="array" aca="1" ref="AS33" ca="1">_xlfn.IFNA(
IF(
_xlfn.LET(_xlpm.note,VLOOKUP(_xlfn.CHOOSECOLS(Weighted[#This Row],1),Real[],COLUMN(Weighted[[#Headers],[B9]]),FALSE),
OR(ISBLANK(_xlpm.note), _xlpm.note="")), "",
    _xlfn.LET(
        _xlpm.rawScore, ROUND(VLOOKUP(_xlfn.CHOOSECOLS(Weighted[#This Row],1),Real[],COLUMN(Weighted[[#Headers],[B9]]),FALSE), 6),
        _xlpm.cLevel, _xlfn.CHOOSECOLS(Weighted[#This Row],4),
        _xlpm.compRef, TRIM(CLEAN(Real[[#Headers],[DQ Operate: Orchestrate]])),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T33" s="60" t="str" cm="1">
        <f t="array" aca="1" ref="AT33"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U33" s="60" t="str" cm="1">
        <f t="array" aca="1" ref="AU33" ca="1">_xlfn.IFNA(
IF(
_xlfn.LET(_xlpm.note,VLOOKUP(_xlfn.CHOOSECOLS(Weighted[#This Row],1),Real[],COLUMN(Weighted[[#Headers],[B10]]),FALSE),
OR(ISBLANK(_xlpm.note), _xlpm.note="")), "",
    _xlfn.LET(
        _xlpm.rawScore, ROUND(VLOOKUP(_xlfn.CHOOSECOLS(Weighted[#This Row],1),Real[],COLUMN(Weighted[[#Headers],[B10]]),FALSE), 6),
        _xlpm.cLevel, _xlfn.CHOOSECOLS(Weighted[#This Row],4),
        _xlpm.compRef, TRIM(CLEAN(Real[[#Headers],[Construct - webApps4]])),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V33" s="60" t="str" cm="1">
        <f t="array" aca="1" ref="AV33"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W33" s="60" t="str" cm="1">
        <f t="array" aca="1" ref="AW33" ca="1">_xlfn.IFNA(
IF(
_xlfn.LET(_xlpm.note,VLOOKUP(_xlfn.CHOOSECOLS(Weighted[#This Row],1),Real[],COLUMN(Weighted[[#Headers],[C1]]),FALSE),
OR(ISBLANK(_xlpm.note), _xlpm.note="")), "",
    _xlfn.LET(
        _xlpm.rawScore, ROUND(VLOOKUP(_xlfn.CHOOSECOLS(Weighted[#This Row],1),Real[],COLUMN(Weighted[[#Headers],[C1]]),FALSE), 6),
        _xlpm.cLevel, _xlfn.CHOOSECOLS(Weighted[#This Row],4),
        _xlpm.compRef, TRIM(CLEAN(Real[[#Headers],[Data Profiling &amp; Analysis]])),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X33" s="60" t="str" cm="1">
        <f t="array" aca="1" ref="AX33"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Y33" s="60" t="str" cm="1">
        <f t="array" aca="1" ref="AY33" ca="1">_xlfn.IFNA(
IF(
_xlfn.LET(_xlpm.note,VLOOKUP(_xlfn.CHOOSECOLS(Weighted[#This Row],1),Real[],COLUMN(Weighted[[#Headers],[C2]]),FALSE),
OR(ISBLANK(_xlpm.note), _xlpm.note="")), "",
    _xlfn.LET(
        _xlpm.rawScore, ROUND(VLOOKUP(_xlfn.CHOOSECOLS(Weighted[#This Row],1),Real[],COLUMN(Weighted[[#Headers],[C2]]),FALSE), 6),
        _xlpm.cLevel, _xlfn.CHOOSECOLS(Weighted[#This Row],4),
        _xlpm.compRef, TRIM(CLEAN(Real[[#Headers],[Exception Handling Mechanisms]])),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AZ33" s="60" t="str" cm="1">
        <f t="array" aca="1" ref="AZ33"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A33" s="60" t="str" cm="1">
        <f t="array" aca="1" ref="BA33" ca="1">_xlfn.IFNA(
IF(
_xlfn.LET(_xlpm.note,VLOOKUP(_xlfn.CHOOSECOLS(Weighted[#This Row],1),Real[],COLUMN(Weighted[[#Headers],[C3]]),FALSE),
OR(ISBLANK(_xlpm.note), _xlpm.note="")), "",
    _xlfn.LET(
        _xlpm.rawScore, ROUND(VLOOKUP(_xlfn.CHOOSECOLS(Weighted[#This Row],1),Real[],COLUMN(Weighted[[#Headers],[C3]]),FALSE), 6),
        _xlpm.cLevel, _xlfn.CHOOSECOLS(Weighted[#This Row],4),
        _xlpm.compRef, TRIM(CLEAN(Real[[#Headers],[Duplicate Detection Techniques]])),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B33" s="60" t="str" cm="1">
        <f t="array" aca="1" ref="BB33"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C33" s="60" t="str" cm="1">
        <f t="array" aca="1" ref="BC33" ca="1">_xlfn.IFNA(
IF(
_xlfn.LET(_xlpm.note,VLOOKUP(_xlfn.CHOOSECOLS(Weighted[#This Row],1),Real[],COLUMN(Weighted[[#Headers],[C4]]),FALSE),
OR(ISBLANK(_xlpm.note), _xlpm.note="")), "",
    _xlfn.LET(
        _xlpm.rawScore, ROUND(VLOOKUP(_xlfn.CHOOSECOLS(Weighted[#This Row],1),Real[],COLUMN(Weighted[[#Headers],[C4]]),FALSE), 6),
        _xlpm.cLevel, _xlfn.CHOOSECOLS(Weighted[#This Row],4),
        _xlpm.compRef, TRIM(CLEAN(Real[[#Headers],[Root Cause Analysis of DQ Issues]])),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D33" s="60" t="str" cm="1">
        <f t="array" aca="1" ref="BD33"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E33" s="60" t="str" cm="1">
        <f t="array" aca="1" ref="BE33" ca="1">_xlfn.IFNA(
IF(
_xlfn.LET(_xlpm.note,VLOOKUP(_xlfn.CHOOSECOLS(Weighted[#This Row],1),Real[],COLUMN(Weighted[[#Headers],[C5]]),FALSE),
OR(ISBLANK(_xlpm.note), _xlpm.note="")), "",
    _xlfn.LET(
        _xlpm.rawScore, ROUND(VLOOKUP(_xlfn.CHOOSECOLS(Weighted[#This Row],1),Real[],COLUMN(Weighted[[#Headers],[C5]]),FALSE), 6),
        _xlpm.cLevel, _xlfn.CHOOSECOLS(Weighted[#This Row],4),
        _xlpm.compRef, TRIM(CLEAN(Real[[#Headers],[Data Models and Entity Relation]])),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F33" s="60" t="str" cm="1">
        <f t="array" aca="1" ref="BF33"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G33" s="60" t="str" cm="1">
        <f t="array" aca="1" ref="BG33" ca="1">_xlfn.IFNA(
IF(
_xlfn.LET(_xlpm.note,VLOOKUP(_xlfn.CHOOSECOLS(Weighted[#This Row],1),Real[],COLUMN(Weighted[[#Headers],[D1]]),FALSE),
OR(ISBLANK(_xlpm.note), _xlpm.note="")), "",
    _xlfn.LET(
        _xlpm.rawScore, ROUND(VLOOKUP(_xlfn.CHOOSECOLS(Weighted[#This Row],1),Real[],COLUMN(Weighted[[#Headers],[D1]]),FALSE), 6),
        _xlpm.cLevel, _xlfn.CHOOSECOLS(Weighted[#This Row],4),
        _xlpm.compRef, TRIM(CLEAN(Real[[#Headers],[Business Rules Gathering]])),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H33" s="60" t="str" cm="1">
        <f t="array" aca="1" ref="BH33"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I33" s="60" t="str" cm="1">
        <f t="array" aca="1" ref="BI33" ca="1">_xlfn.IFNA(
IF(
_xlfn.LET(_xlpm.note,VLOOKUP(_xlfn.CHOOSECOLS(Weighted[#This Row],1),Real[],COLUMN(Weighted[[#Headers],[D2]]),FALSE),
OR(ISBLANK(_xlpm.note), _xlpm.note="")), "",
    _xlfn.LET(
        _xlpm.rawScore, ROUND(VLOOKUP(_xlfn.CHOOSECOLS(Weighted[#This Row],1),Real[],COLUMN(Weighted[[#Headers],[D2]]),FALSE), 6),
        _xlpm.cLevel, _xlfn.CHOOSECOLS(Weighted[#This Row],4),
        _xlpm.compRef, TRIM(CLEAN(Real[[#Headers],[Data Standards Governance]])),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J33" s="60" t="str" cm="1">
        <f t="array" aca="1" ref="BJ33"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K33" s="60" t="str" cm="1">
        <f t="array" aca="1" ref="BK33" ca="1">_xlfn.IFNA(
IF(
_xlfn.LET(_xlpm.note,VLOOKUP(_xlfn.CHOOSECOLS(Weighted[#This Row],1),Real[],COLUMN(Weighted[[#Headers],[D3]]),FALSE),
OR(ISBLANK(_xlpm.note), _xlpm.note="")), "",
    _xlfn.LET(
        _xlpm.rawScore, ROUND(VLOOKUP(_xlfn.CHOOSECOLS(Weighted[#This Row],1),Real[],COLUMN(Weighted[[#Headers],[D3]]),FALSE), 6),
        _xlpm.cLevel, _xlfn.CHOOSECOLS(Weighted[#This Row],4),
        _xlpm.compRef, TRIM(CLEAN(Real[[#Headers],[KPI Definition with Business]])),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L33" s="60" t="str" cm="1">
        <f t="array" aca="1" ref="BL33"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M33" s="60" t="str" cm="1">
        <f t="array" aca="1" ref="BM33" ca="1">_xlfn.IFNA(
IF(
_xlfn.LET(_xlpm.note,VLOOKUP(_xlfn.CHOOSECOLS(Weighted[#This Row],1),Real[],COLUMN(Weighted[[#Headers],[D4]]),FALSE),
OR(ISBLANK(_xlpm.note), _xlpm.note="")), "",
    _xlfn.LET(
        _xlpm.rawScore, ROUND(VLOOKUP(_xlfn.CHOOSECOLS(Weighted[#This Row],1),Real[],COLUMN(Weighted[[#Headers],[D4]]),FALSE), 6),
        _xlpm.cLevel, _xlfn.CHOOSECOLS(Weighted[#This Row],4),
        _xlpm.compRef, TRIM(CLEAN(Real[[#Headers],[DQ Policy Interpretation]])),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N33" s="60" t="str" cm="1">
        <f t="array" aca="1" ref="BN33"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O33" s="60" t="str" cm="1">
        <f t="array" aca="1" ref="BO33" ca="1">_xlfn.IFNA(
IF(
_xlfn.LET(_xlpm.note,VLOOKUP(_xlfn.CHOOSECOLS(Weighted[#This Row],1),Real[],COLUMN(Weighted[[#Headers],[D5]]),FALSE),
OR(ISBLANK(_xlpm.note), _xlpm.note="")), "",
    _xlfn.LET(
        _xlpm.rawScore, ROUND(VLOOKUP(_xlfn.CHOOSECOLS(Weighted[#This Row],1),Real[],COLUMN(Weighted[[#Headers],[D5]]),FALSE), 6),
        _xlpm.cLevel, _xlfn.CHOOSECOLS(Weighted[#This Row],4),
        _xlpm.compRef, TRIM(CLEAN(Real[[#Headers],[Common Data Tools (Excel)]])),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P33" s="60" t="str" cm="1">
        <f t="array" aca="1" ref="BP33"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Q33" s="60" t="str" cm="1">
        <f t="array" aca="1" ref="BQ33" ca="1">_xlfn.IFNA(
IF(
_xlfn.LET(_xlpm.note,VLOOKUP(_xlfn.CHOOSECOLS(Weighted[#This Row],1),Real[],COLUMN(Weighted[[#Headers],[E1]]),FALSE),
OR(ISBLANK(_xlpm.note), _xlpm.note="")), "",
    _xlfn.LET(
        _xlpm.rawScore, ROUND(VLOOKUP(_xlfn.CHOOSECOLS(Weighted[#This Row],1),Real[],COLUMN(Weighted[[#Headers],[E1]]),FALSE), 6),
        _xlpm.cLevel, _xlfn.CHOOSECOLS(Weighted[#This Row],4),
        _xlpm.compRef, TRIM(CLEAN(Real[[#Headers],[Major SAP MD: Cus, Ven, Mat, Fin]])),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R33" s="60" t="str" cm="1">
        <f t="array" aca="1" ref="BR33"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S33" s="60" t="str" cm="1">
        <f t="array" aca="1" ref="BS33" ca="1">_xlfn.IFNA(
IF(
_xlfn.LET(_xlpm.note,VLOOKUP(_xlfn.CHOOSECOLS(Weighted[#This Row],1),Real[],COLUMN(Weighted[[#Headers],[E2]]),FALSE),
OR(ISBLANK(_xlpm.note), _xlpm.note="")), "",
    _xlfn.LET(
        _xlpm.rawScore, ROUND(VLOOKUP(_xlfn.CHOOSECOLS(Weighted[#This Row],1),Real[],COLUMN(Weighted[[#Headers],[E2]]),FALSE), 6),
        _xlpm.cLevel, _xlfn.CHOOSECOLS(Weighted[#This Row],4),
        _xlpm.compRef, TRIM(CLEAN(Real[[#Headers],[Major SAP BP:  OTC, P2P, MM, R2R]])),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T33" s="60" t="str" cm="1">
        <f t="array" aca="1" ref="BT33"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U33" s="60" t="str" cm="1">
        <f t="array" aca="1" ref="BU33" ca="1">_xlfn.IFNA(
IF(
_xlfn.LET(_xlpm.note,VLOOKUP(_xlfn.CHOOSECOLS(Weighted[#This Row],1),Real[],COLUMN(Weighted[[#Headers],[E3]]),FALSE),
OR(ISBLANK(_xlpm.note), _xlpm.note="")), "",
    _xlfn.LET(
        _xlpm.rawScore, ROUND(VLOOKUP(_xlfn.CHOOSECOLS(Weighted[#This Row],1),Real[],COLUMN(Weighted[[#Headers],[E3]]),FALSE), 6),
        _xlpm.cLevel, _xlfn.CHOOSECOLS(Weighted[#This Row],4),
        _xlpm.compRef, TRIM(CLEAN(Real[[#Headers],[SAP Data Structures]])),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V33" s="60" t="str" cm="1">
        <f t="array" aca="1" ref="BV33"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W33" s="60" t="str" cm="1">
        <f t="array" aca="1" ref="BW33" ca="1">_xlfn.IFNA(
IF(
_xlfn.LET(_xlpm.note,VLOOKUP(_xlfn.CHOOSECOLS(Weighted[#This Row],1),Real[],COLUMN(Weighted[[#Headers],[E4]]),FALSE),
OR(ISBLANK(_xlpm.note), _xlpm.note="")), "",
    _xlfn.LET(
        _xlpm.rawScore, ROUND(VLOOKUP(_xlfn.CHOOSECOLS(Weighted[#This Row],1),Real[],COLUMN(Weighted[[#Headers],[E4]]),FALSE), 6),
        _xlpm.cLevel, _xlfn.CHOOSECOLS(Weighted[#This Row],4),
        _xlpm.compRef, TRIM(CLEAN(Real[[#Headers],[Source-to-Target Mapping for SAP]])),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X33" s="60" t="str" cm="1">
        <f t="array" aca="1" ref="BX33"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Y33" s="60" t="str" cm="1">
        <f t="array" aca="1" ref="BY33" ca="1">_xlfn.IFNA(
IF(
_xlfn.LET(_xlpm.note,VLOOKUP(_xlfn.CHOOSECOLS(Weighted[#This Row],1),Real[],COLUMN(Weighted[[#Headers],[E5]]),FALSE),
OR(ISBLANK(_xlpm.note), _xlpm.note="")), "",
    _xlfn.LET(
        _xlpm.rawScore, ROUND(VLOOKUP(_xlfn.CHOOSECOLS(Weighted[#This Row],1),Real[],COLUMN(Weighted[[#Headers],[E5]]),FALSE), 6),
        _xlpm.cLevel, _xlfn.CHOOSECOLS(Weighted[#This Row],4),
        _xlpm.compRef, TRIM(CLEAN(Real[[#Headers],[SAP Business Process Awareness]])),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BZ33" s="60" t="str" cm="1">
        <f t="array" aca="1" ref="BZ33"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A33" s="60" t="str" cm="1">
        <f t="array" aca="1" ref="CA33" ca="1">_xlfn.IFNA(
IF(
_xlfn.LET(_xlpm.note,VLOOKUP(_xlfn.CHOOSECOLS(Weighted[#This Row],1),Real[],COLUMN(Weighted[[#Headers],[F1]]),FALSE),
OR(ISBLANK(_xlpm.note), _xlpm.note="")), "",
    _xlfn.LET(
        _xlpm.rawScore, ROUND(VLOOKUP(_xlfn.CHOOSECOLS(Weighted[#This Row],1),Real[],COLUMN(Weighted[[#Headers],[F1]]),FALSE), 6),
        _xlpm.cLevel, _xlfn.CHOOSECOLS(Weighted[#This Row],4),
        _xlpm.compRef, TRIM(CLEAN(Real[[#Headers],[Stakeholder/Expectation Mgmt.]])),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B33" s="60" t="str" cm="1">
        <f t="array" aca="1" ref="CB33"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C33" s="60" t="str" cm="1">
        <f t="array" aca="1" ref="CC33" ca="1">_xlfn.IFNA(
IF(
_xlfn.LET(_xlpm.note,VLOOKUP(_xlfn.CHOOSECOLS(Weighted[#This Row],1),Real[],COLUMN(Weighted[[#Headers],[F2]]),FALSE),
OR(ISBLANK(_xlpm.note), _xlpm.note="")), "",
    _xlfn.LET(
        _xlpm.rawScore, ROUND(VLOOKUP(_xlfn.CHOOSECOLS(Weighted[#This Row],1),Real[],COLUMN(Weighted[[#Headers],[F2]]),FALSE), 6),
        _xlpm.cLevel, _xlfn.CHOOSECOLS(Weighted[#This Row],4),
        _xlpm.compRef, TRIM(CLEAN(Real[[#Headers],[Requirements Gathering/Clarif.]])),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D33" s="60" t="str" cm="1">
        <f t="array" aca="1" ref="CD33"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E33" s="60" t="str" cm="1">
        <f t="array" aca="1" ref="CE33" ca="1">_xlfn.IFNA(
IF(
_xlfn.LET(_xlpm.note,VLOOKUP(_xlfn.CHOOSECOLS(Weighted[#This Row],1),Real[],COLUMN(Weighted[[#Headers],[F3]]),FALSE),
OR(ISBLANK(_xlpm.note), _xlpm.note="")), "",
    _xlfn.LET(
        _xlpm.rawScore, ROUND(VLOOKUP(_xlfn.CHOOSECOLS(Weighted[#This Row],1),Real[],COLUMN(Weighted[[#Headers],[F3]]),FALSE), 6),
        _xlpm.cLevel, _xlfn.CHOOSECOLS(Weighted[#This Row],4),
        _xlpm.compRef, TRIM(CLEAN(Real[[#Headers],[Facilitating Workshops/Meetings]])),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F33" s="60" t="str" cm="1">
        <f t="array" aca="1" ref="CF33"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G33" s="60" t="str" cm="1">
        <f t="array" aca="1" ref="CG33" ca="1">_xlfn.IFNA(
IF(
_xlfn.LET(_xlpm.note,VLOOKUP(_xlfn.CHOOSECOLS(Weighted[#This Row],1),Real[],COLUMN(Weighted[[#Headers],[F4]]),FALSE),
OR(ISBLANK(_xlpm.note), _xlpm.note="")), "",
    _xlfn.LET(
        _xlpm.rawScore, ROUND(VLOOKUP(_xlfn.CHOOSECOLS(Weighted[#This Row],1),Real[],COLUMN(Weighted[[#Headers],[F4]]),FALSE), 6),
        _xlpm.cLevel, _xlfn.CHOOSECOLS(Weighted[#This Row],4),
        _xlpm.compRef, TRIM(CLEAN(Real[[#Headers],[Collaborative Work Management]])),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H33" s="60" t="str" cm="1">
        <f t="array" aca="1" ref="CH33"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I33" s="60" t="str" cm="1">
        <f t="array" aca="1" ref="CI33" ca="1">_xlfn.IFNA(
IF(
_xlfn.LET(_xlpm.note,VLOOKUP(_xlfn.CHOOSECOLS(Weighted[#This Row],1),Real[],COLUMN(Weighted[[#Headers],[F5]]),FALSE),
OR(ISBLANK(_xlpm.note), _xlpm.note="")), "",
    _xlfn.LET(
        _xlpm.rawScore, ROUND(VLOOKUP(_xlfn.CHOOSECOLS(Weighted[#This Row],1),Real[],COLUMN(Weighted[[#Headers],[F5]]),FALSE), 6),
        _xlpm.cLevel, _xlfn.CHOOSECOLS(Weighted[#This Row],4),
        _xlpm.compRef, TRIM(CLEAN(Real[[#Headers],[Conflict Resolution]])),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c r="CJ33" s="62" t="str" cm="1">
        <f t="array" aca="1" ref="CJ33" ca="1">_xlfn.IFNA(
IF(
_xlfn.LET(_xlpm.note,VLOOKUP(_xlfn.CHOOSECOLS(Weighted[#This Row],1),Real[],COLUMN(Weighted[[#Headers],[F6]]),FALSE),
OR(ISBLANK(_xlpm.note), _xlpm.note="")), "",
    _xlfn.LET(
        _xlpm.rawScore, ROUND(VLOOKUP(_xlfn.CHOOSECOLS(Weighted[#This Row],1),Real[],COLUMN(Weighted[[#Headers],[F6]]),FALSE), 6),
        _xlpm.cLevel, _xlfn.CHOOSECOLS(Weighted[#This Row],4),
        _xlpm.compRef, TRIM(CLEAN(Real[[#Headers],[Solution Design Thinking]])),
        _xlpm.headersRange, Expectations[[#Headers],[C1]:[C6-M]],
        _xlpm.valuesRange, Expectations[[C1]:[C6-M]],
        _xlpm.rowRefRange,INDIRECT("Expectations[REF]"),
        _xlpm.colIndex, MATCH(_xlpm.cLevel, _xlpm.headersRange, 0),
        _xlpm.rowIndex, MATCH(_xlpm.compRef, _xlpm.rowRefRange, 0),
        _xlpm.expectedScore, ROUND(INDEX(_xlpm.valuesRange, _xlpm.rowIndex, _xlpm.colIndex), 6),
        _xlpm.isValid, AND(ISNUMBER(_xlpm.rawScore), ISNUMBER(_xlpm.expectedScore)),
        IF(_xlpm.isValid,
            _xlfn.LET(
                _xlpm.diff, _xlpm.rawScore - _xlpm.expectedScore,
                _xlpm.beta, 0.5,
                _xlpm.alpha, 1,
                _xlpm.multiplier, IF(_xlpm.diff=0, 1, 1 + _xlpm.alpha * TANH(_xlpm.beta * _xlpm.diff)),
                _xlpm.weightedScore, MIN(5, ROUND(_xlpm.expectedScore * _xlpm.multiplier, 2)),
                _xlpm.weightedScore
            ),
            ""
        )
    )
), "")</f>
        <v/>
      </c>
    </row>
  </sheetData>
  <phoneticPr fontId="1" type="noConversion"/>
  <conditionalFormatting sqref="I3:CJ33">
    <cfRule type="colorScale" priority="2">
      <colorScale>
        <cfvo type="num" val="1"/>
        <cfvo type="num" val="3"/>
        <cfvo type="num" val="5"/>
        <color rgb="FFFFC000"/>
        <color rgb="FF00B050"/>
        <color theme="6" tint="-0.499984740745262"/>
      </colorScale>
    </cfRule>
  </conditionalFormatting>
  <conditionalFormatting sqref="I2:BA2">
    <cfRule type="duplicateValues" dxfId="93" priority="1"/>
  </conditionalFormatting>
  <dataValidations count="1">
    <dataValidation allowBlank="1" showInputMessage="1" showErrorMessage="1" sqref="A2:CJ33" xr:uid="{C83BAA10-B386-4370-8B0B-EFD35CF3144E}"/>
  </dataValidations>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A7E96-AF85-4671-A0E3-2FD8816EB49B}">
  <sheetPr codeName="Sheet11"/>
  <dimension ref="A1:L1361"/>
  <sheetViews>
    <sheetView workbookViewId="0">
      <selection activeCell="B4" sqref="B4"/>
    </sheetView>
  </sheetViews>
  <sheetFormatPr defaultColWidth="8.69921875" defaultRowHeight="15.95"/>
  <cols>
    <col min="1" max="1" width="6.3984375" bestFit="1" customWidth="1"/>
    <col min="2" max="2" width="9.69921875" bestFit="1" customWidth="1"/>
    <col min="3" max="3" width="13.69921875" bestFit="1" customWidth="1"/>
    <col min="4" max="4" width="9.59765625" bestFit="1" customWidth="1"/>
    <col min="5" max="5" width="11" bestFit="1" customWidth="1"/>
    <col min="6" max="6" width="7.69921875" bestFit="1" customWidth="1"/>
    <col min="7" max="7" width="10.8984375" bestFit="1" customWidth="1"/>
    <col min="8" max="8" width="10.69921875" bestFit="1" customWidth="1"/>
    <col min="9" max="9" width="11.8984375" bestFit="1" customWidth="1"/>
    <col min="10" max="10" width="13.69921875" bestFit="1" customWidth="1"/>
    <col min="11" max="11" width="13.59765625" bestFit="1" customWidth="1"/>
    <col min="12" max="12" width="30.8984375" bestFit="1" customWidth="1"/>
  </cols>
  <sheetData>
    <row r="1" spans="1:12">
      <c r="A1" t="s">
        <v>75</v>
      </c>
      <c r="B1" t="s">
        <v>158</v>
      </c>
      <c r="C1" t="s">
        <v>504</v>
      </c>
      <c r="D1" t="s">
        <v>246</v>
      </c>
      <c r="E1" t="s">
        <v>345</v>
      </c>
      <c r="F1" t="s">
        <v>505</v>
      </c>
      <c r="G1" t="s">
        <v>506</v>
      </c>
      <c r="H1" t="s">
        <v>507</v>
      </c>
      <c r="I1" t="s">
        <v>508</v>
      </c>
      <c r="J1" t="s">
        <v>509</v>
      </c>
      <c r="K1" t="s">
        <v>510</v>
      </c>
      <c r="L1" t="s">
        <v>391</v>
      </c>
    </row>
    <row r="2" spans="1:12">
      <c r="A2" t="s">
        <v>243</v>
      </c>
      <c r="B2" t="s">
        <v>29</v>
      </c>
      <c r="C2" t="s">
        <v>76</v>
      </c>
      <c r="D2">
        <v>3</v>
      </c>
      <c r="E2">
        <v>2.15</v>
      </c>
      <c r="F2">
        <v>-0.85000000000000009</v>
      </c>
      <c r="G2">
        <v>0.85000000000000009</v>
      </c>
      <c r="H2">
        <v>0</v>
      </c>
      <c r="I2">
        <v>1</v>
      </c>
      <c r="J2">
        <v>0</v>
      </c>
      <c r="K2" t="s">
        <v>34</v>
      </c>
      <c r="L2" t="s">
        <v>49</v>
      </c>
    </row>
    <row r="3" spans="1:12">
      <c r="A3" t="s">
        <v>243</v>
      </c>
      <c r="B3" t="s">
        <v>29</v>
      </c>
      <c r="C3" t="s">
        <v>77</v>
      </c>
      <c r="D3">
        <v>3</v>
      </c>
      <c r="E3">
        <v>2.15</v>
      </c>
      <c r="F3">
        <v>-0.85000000000000009</v>
      </c>
      <c r="G3">
        <v>0.85000000000000009</v>
      </c>
      <c r="H3">
        <v>0</v>
      </c>
      <c r="I3">
        <v>1</v>
      </c>
      <c r="J3">
        <v>0</v>
      </c>
      <c r="K3" t="s">
        <v>34</v>
      </c>
      <c r="L3" t="s">
        <v>49</v>
      </c>
    </row>
    <row r="4" spans="1:12">
      <c r="A4" t="s">
        <v>243</v>
      </c>
      <c r="B4" t="s">
        <v>29</v>
      </c>
      <c r="C4" t="s">
        <v>78</v>
      </c>
      <c r="D4">
        <v>2</v>
      </c>
      <c r="E4">
        <v>2.15</v>
      </c>
      <c r="F4">
        <v>0.14999999999999991</v>
      </c>
      <c r="G4">
        <v>0.14999999999999991</v>
      </c>
      <c r="H4">
        <v>0</v>
      </c>
      <c r="I4">
        <v>1</v>
      </c>
      <c r="J4">
        <v>0</v>
      </c>
      <c r="K4" t="s">
        <v>34</v>
      </c>
      <c r="L4" t="s">
        <v>49</v>
      </c>
    </row>
    <row r="5" spans="1:12">
      <c r="A5" t="s">
        <v>243</v>
      </c>
      <c r="B5" t="s">
        <v>29</v>
      </c>
      <c r="C5" t="s">
        <v>79</v>
      </c>
      <c r="D5">
        <v>3</v>
      </c>
      <c r="E5">
        <v>0.95</v>
      </c>
      <c r="F5">
        <v>-2.0499999999999998</v>
      </c>
      <c r="G5">
        <v>2.0499999999999998</v>
      </c>
      <c r="H5">
        <v>1</v>
      </c>
      <c r="I5">
        <v>0</v>
      </c>
      <c r="J5">
        <v>1</v>
      </c>
      <c r="K5" t="s">
        <v>36</v>
      </c>
      <c r="L5" t="s">
        <v>49</v>
      </c>
    </row>
    <row r="6" spans="1:12">
      <c r="A6" t="s">
        <v>243</v>
      </c>
      <c r="B6" t="s">
        <v>29</v>
      </c>
      <c r="C6" t="s">
        <v>80</v>
      </c>
      <c r="D6">
        <v>3</v>
      </c>
      <c r="E6">
        <v>0.95</v>
      </c>
      <c r="F6">
        <v>-2.0499999999999998</v>
      </c>
      <c r="G6">
        <v>2.0499999999999998</v>
      </c>
      <c r="H6">
        <v>1</v>
      </c>
      <c r="I6">
        <v>0</v>
      </c>
      <c r="J6">
        <v>1</v>
      </c>
      <c r="K6" t="s">
        <v>36</v>
      </c>
      <c r="L6" t="s">
        <v>49</v>
      </c>
    </row>
    <row r="7" spans="1:12">
      <c r="A7" t="s">
        <v>243</v>
      </c>
      <c r="B7" t="s">
        <v>29</v>
      </c>
      <c r="C7" t="s">
        <v>81</v>
      </c>
      <c r="D7">
        <v>3</v>
      </c>
      <c r="E7">
        <v>2.15</v>
      </c>
      <c r="F7">
        <v>-0.85000000000000009</v>
      </c>
      <c r="G7">
        <v>0.85000000000000009</v>
      </c>
      <c r="H7">
        <v>0</v>
      </c>
      <c r="I7">
        <v>1</v>
      </c>
      <c r="J7">
        <v>0</v>
      </c>
      <c r="K7" t="s">
        <v>34</v>
      </c>
      <c r="L7" t="s">
        <v>49</v>
      </c>
    </row>
    <row r="8" spans="1:12">
      <c r="A8" t="s">
        <v>243</v>
      </c>
      <c r="B8" t="s">
        <v>29</v>
      </c>
      <c r="C8" t="s">
        <v>82</v>
      </c>
      <c r="D8">
        <v>3</v>
      </c>
      <c r="E8">
        <v>2.15</v>
      </c>
      <c r="F8">
        <v>-0.85000000000000009</v>
      </c>
      <c r="G8">
        <v>0.85000000000000009</v>
      </c>
      <c r="H8">
        <v>0</v>
      </c>
      <c r="I8">
        <v>1</v>
      </c>
      <c r="J8">
        <v>0</v>
      </c>
      <c r="K8" t="s">
        <v>34</v>
      </c>
      <c r="L8" t="s">
        <v>49</v>
      </c>
    </row>
    <row r="9" spans="1:12">
      <c r="A9" t="s">
        <v>243</v>
      </c>
      <c r="B9" t="s">
        <v>29</v>
      </c>
      <c r="C9" t="s">
        <v>83</v>
      </c>
      <c r="D9">
        <v>3</v>
      </c>
      <c r="E9">
        <v>2.15</v>
      </c>
      <c r="F9">
        <v>-0.85000000000000009</v>
      </c>
      <c r="G9">
        <v>0.85000000000000009</v>
      </c>
      <c r="H9">
        <v>0</v>
      </c>
      <c r="I9">
        <v>1</v>
      </c>
      <c r="J9">
        <v>0</v>
      </c>
      <c r="K9" t="s">
        <v>34</v>
      </c>
      <c r="L9" t="s">
        <v>49</v>
      </c>
    </row>
    <row r="10" spans="1:12">
      <c r="A10" t="s">
        <v>243</v>
      </c>
      <c r="B10" t="s">
        <v>29</v>
      </c>
      <c r="C10" t="s">
        <v>84</v>
      </c>
      <c r="D10">
        <v>3</v>
      </c>
      <c r="E10">
        <v>2.15</v>
      </c>
      <c r="F10">
        <v>-0.85000000000000009</v>
      </c>
      <c r="G10">
        <v>0.85000000000000009</v>
      </c>
      <c r="H10">
        <v>0</v>
      </c>
      <c r="I10">
        <v>1</v>
      </c>
      <c r="J10">
        <v>0</v>
      </c>
      <c r="K10" t="s">
        <v>34</v>
      </c>
      <c r="L10" t="s">
        <v>49</v>
      </c>
    </row>
    <row r="11" spans="1:12">
      <c r="A11" t="s">
        <v>243</v>
      </c>
      <c r="B11" t="s">
        <v>29</v>
      </c>
      <c r="C11" t="s">
        <v>85</v>
      </c>
      <c r="D11">
        <v>3</v>
      </c>
      <c r="E11">
        <v>2.15</v>
      </c>
      <c r="F11">
        <v>-0.85000000000000009</v>
      </c>
      <c r="G11">
        <v>0.85000000000000009</v>
      </c>
      <c r="H11">
        <v>0</v>
      </c>
      <c r="I11">
        <v>1</v>
      </c>
      <c r="J11">
        <v>0</v>
      </c>
      <c r="K11" t="s">
        <v>34</v>
      </c>
      <c r="L11" t="s">
        <v>49</v>
      </c>
    </row>
    <row r="12" spans="1:12">
      <c r="A12" t="s">
        <v>243</v>
      </c>
      <c r="B12" t="s">
        <v>29</v>
      </c>
      <c r="C12" t="s">
        <v>86</v>
      </c>
      <c r="D12">
        <v>3</v>
      </c>
      <c r="E12">
        <v>2.15</v>
      </c>
      <c r="F12">
        <v>-0.85000000000000009</v>
      </c>
      <c r="G12">
        <v>0.85000000000000009</v>
      </c>
      <c r="H12">
        <v>0</v>
      </c>
      <c r="I12">
        <v>1</v>
      </c>
      <c r="J12">
        <v>0</v>
      </c>
      <c r="K12" t="s">
        <v>34</v>
      </c>
      <c r="L12" t="s">
        <v>50</v>
      </c>
    </row>
    <row r="13" spans="1:12">
      <c r="A13" t="s">
        <v>243</v>
      </c>
      <c r="B13" t="s">
        <v>29</v>
      </c>
      <c r="C13" t="s">
        <v>87</v>
      </c>
      <c r="D13">
        <v>3</v>
      </c>
      <c r="E13">
        <v>2.15</v>
      </c>
      <c r="F13">
        <v>-0.85000000000000009</v>
      </c>
      <c r="G13">
        <v>0.85000000000000009</v>
      </c>
      <c r="H13">
        <v>0</v>
      </c>
      <c r="I13">
        <v>1</v>
      </c>
      <c r="J13">
        <v>0</v>
      </c>
      <c r="K13" t="s">
        <v>34</v>
      </c>
      <c r="L13" t="s">
        <v>50</v>
      </c>
    </row>
    <row r="14" spans="1:12">
      <c r="A14" t="s">
        <v>243</v>
      </c>
      <c r="B14" t="s">
        <v>29</v>
      </c>
      <c r="C14" t="s">
        <v>88</v>
      </c>
      <c r="D14">
        <v>3</v>
      </c>
      <c r="E14">
        <v>2.15</v>
      </c>
      <c r="F14">
        <v>-0.85000000000000009</v>
      </c>
      <c r="G14">
        <v>0.85000000000000009</v>
      </c>
      <c r="H14">
        <v>0</v>
      </c>
      <c r="I14">
        <v>1</v>
      </c>
      <c r="J14">
        <v>0</v>
      </c>
      <c r="K14" t="s">
        <v>34</v>
      </c>
      <c r="L14" t="s">
        <v>50</v>
      </c>
    </row>
    <row r="15" spans="1:12">
      <c r="A15" t="s">
        <v>243</v>
      </c>
      <c r="B15" t="s">
        <v>29</v>
      </c>
      <c r="C15" t="s">
        <v>89</v>
      </c>
      <c r="D15">
        <v>3</v>
      </c>
      <c r="E15">
        <v>2.15</v>
      </c>
      <c r="F15">
        <v>-0.85000000000000009</v>
      </c>
      <c r="G15">
        <v>0.85000000000000009</v>
      </c>
      <c r="H15">
        <v>0</v>
      </c>
      <c r="I15">
        <v>1</v>
      </c>
      <c r="J15">
        <v>0</v>
      </c>
      <c r="K15" t="s">
        <v>34</v>
      </c>
      <c r="L15" t="s">
        <v>50</v>
      </c>
    </row>
    <row r="16" spans="1:12">
      <c r="A16" t="s">
        <v>243</v>
      </c>
      <c r="B16" t="s">
        <v>29</v>
      </c>
      <c r="C16" t="s">
        <v>90</v>
      </c>
      <c r="D16">
        <v>3</v>
      </c>
      <c r="E16">
        <v>2.15</v>
      </c>
      <c r="F16">
        <v>-0.85000000000000009</v>
      </c>
      <c r="G16">
        <v>0.85000000000000009</v>
      </c>
      <c r="H16">
        <v>0</v>
      </c>
      <c r="I16">
        <v>1</v>
      </c>
      <c r="J16">
        <v>0</v>
      </c>
      <c r="K16" t="s">
        <v>34</v>
      </c>
      <c r="L16" t="s">
        <v>50</v>
      </c>
    </row>
    <row r="17" spans="1:12">
      <c r="A17" t="s">
        <v>243</v>
      </c>
      <c r="B17" t="s">
        <v>29</v>
      </c>
      <c r="C17" t="s">
        <v>91</v>
      </c>
      <c r="D17">
        <v>3</v>
      </c>
      <c r="E17">
        <v>2.15</v>
      </c>
      <c r="F17">
        <v>-0.85000000000000009</v>
      </c>
      <c r="G17">
        <v>0.85000000000000009</v>
      </c>
      <c r="H17">
        <v>0</v>
      </c>
      <c r="I17">
        <v>1</v>
      </c>
      <c r="J17">
        <v>0</v>
      </c>
      <c r="K17" t="s">
        <v>34</v>
      </c>
      <c r="L17" t="s">
        <v>50</v>
      </c>
    </row>
    <row r="18" spans="1:12">
      <c r="A18" t="s">
        <v>243</v>
      </c>
      <c r="B18" t="s">
        <v>29</v>
      </c>
      <c r="C18" t="s">
        <v>92</v>
      </c>
      <c r="D18">
        <v>3</v>
      </c>
      <c r="E18">
        <v>2.15</v>
      </c>
      <c r="F18">
        <v>-0.85000000000000009</v>
      </c>
      <c r="G18">
        <v>0.85000000000000009</v>
      </c>
      <c r="H18">
        <v>0</v>
      </c>
      <c r="I18">
        <v>1</v>
      </c>
      <c r="J18">
        <v>0</v>
      </c>
      <c r="K18" t="s">
        <v>34</v>
      </c>
      <c r="L18" t="s">
        <v>50</v>
      </c>
    </row>
    <row r="19" spans="1:12">
      <c r="A19" t="s">
        <v>243</v>
      </c>
      <c r="B19" t="s">
        <v>29</v>
      </c>
      <c r="C19" t="s">
        <v>93</v>
      </c>
      <c r="D19">
        <v>3</v>
      </c>
      <c r="E19">
        <v>2.15</v>
      </c>
      <c r="F19">
        <v>-0.85000000000000009</v>
      </c>
      <c r="G19">
        <v>0.85000000000000009</v>
      </c>
      <c r="H19">
        <v>0</v>
      </c>
      <c r="I19">
        <v>1</v>
      </c>
      <c r="J19">
        <v>0</v>
      </c>
      <c r="K19" t="s">
        <v>34</v>
      </c>
      <c r="L19" t="s">
        <v>50</v>
      </c>
    </row>
    <row r="20" spans="1:12">
      <c r="A20" t="s">
        <v>243</v>
      </c>
      <c r="B20" t="s">
        <v>29</v>
      </c>
      <c r="C20" t="s">
        <v>94</v>
      </c>
      <c r="D20">
        <v>3</v>
      </c>
      <c r="E20">
        <v>2.15</v>
      </c>
      <c r="F20">
        <v>-0.85000000000000009</v>
      </c>
      <c r="G20">
        <v>0.85000000000000009</v>
      </c>
      <c r="H20">
        <v>0</v>
      </c>
      <c r="I20">
        <v>1</v>
      </c>
      <c r="J20">
        <v>0</v>
      </c>
      <c r="K20" t="s">
        <v>34</v>
      </c>
      <c r="L20" t="s">
        <v>50</v>
      </c>
    </row>
    <row r="21" spans="1:12">
      <c r="A21" t="s">
        <v>243</v>
      </c>
      <c r="B21" t="s">
        <v>29</v>
      </c>
      <c r="C21" t="s">
        <v>95</v>
      </c>
      <c r="D21">
        <v>3</v>
      </c>
      <c r="E21">
        <v>2.15</v>
      </c>
      <c r="F21">
        <v>-0.85000000000000009</v>
      </c>
      <c r="G21">
        <v>0.85000000000000009</v>
      </c>
      <c r="H21">
        <v>0</v>
      </c>
      <c r="I21">
        <v>1</v>
      </c>
      <c r="J21">
        <v>0</v>
      </c>
      <c r="K21" t="s">
        <v>34</v>
      </c>
      <c r="L21" t="s">
        <v>50</v>
      </c>
    </row>
    <row r="22" spans="1:12">
      <c r="A22" t="s">
        <v>243</v>
      </c>
      <c r="B22" t="s">
        <v>29</v>
      </c>
      <c r="C22" t="s">
        <v>96</v>
      </c>
      <c r="D22">
        <v>3</v>
      </c>
      <c r="E22">
        <v>2.15</v>
      </c>
      <c r="F22">
        <v>-0.85000000000000009</v>
      </c>
      <c r="G22">
        <v>0.85000000000000009</v>
      </c>
      <c r="H22">
        <v>0</v>
      </c>
      <c r="I22">
        <v>1</v>
      </c>
      <c r="J22">
        <v>0</v>
      </c>
      <c r="K22" t="s">
        <v>34</v>
      </c>
      <c r="L22" t="s">
        <v>40</v>
      </c>
    </row>
    <row r="23" spans="1:12">
      <c r="A23" t="s">
        <v>243</v>
      </c>
      <c r="B23" t="s">
        <v>29</v>
      </c>
      <c r="C23" t="s">
        <v>31</v>
      </c>
      <c r="D23">
        <v>3</v>
      </c>
      <c r="E23">
        <v>2.15</v>
      </c>
      <c r="F23">
        <v>-0.85000000000000009</v>
      </c>
      <c r="G23">
        <v>0.85000000000000009</v>
      </c>
      <c r="H23">
        <v>0</v>
      </c>
      <c r="I23">
        <v>1</v>
      </c>
      <c r="J23">
        <v>0</v>
      </c>
      <c r="K23" t="s">
        <v>34</v>
      </c>
      <c r="L23" t="s">
        <v>40</v>
      </c>
    </row>
    <row r="24" spans="1:12">
      <c r="A24" t="s">
        <v>243</v>
      </c>
      <c r="B24" t="s">
        <v>29</v>
      </c>
      <c r="C24" t="s">
        <v>30</v>
      </c>
      <c r="D24">
        <v>3</v>
      </c>
      <c r="E24">
        <v>2.15</v>
      </c>
      <c r="F24">
        <v>-0.85000000000000009</v>
      </c>
      <c r="G24">
        <v>0.85000000000000009</v>
      </c>
      <c r="H24">
        <v>0</v>
      </c>
      <c r="I24">
        <v>1</v>
      </c>
      <c r="J24">
        <v>0</v>
      </c>
      <c r="K24" t="s">
        <v>34</v>
      </c>
      <c r="L24" t="s">
        <v>40</v>
      </c>
    </row>
    <row r="25" spans="1:12">
      <c r="A25" t="s">
        <v>243</v>
      </c>
      <c r="B25" t="s">
        <v>29</v>
      </c>
      <c r="C25" t="s">
        <v>97</v>
      </c>
      <c r="D25">
        <v>3</v>
      </c>
      <c r="E25">
        <v>2.15</v>
      </c>
      <c r="F25">
        <v>-0.85000000000000009</v>
      </c>
      <c r="G25">
        <v>0.85000000000000009</v>
      </c>
      <c r="H25">
        <v>0</v>
      </c>
      <c r="I25">
        <v>1</v>
      </c>
      <c r="J25">
        <v>0</v>
      </c>
      <c r="K25" t="s">
        <v>34</v>
      </c>
      <c r="L25" t="s">
        <v>40</v>
      </c>
    </row>
    <row r="26" spans="1:12">
      <c r="A26" t="s">
        <v>243</v>
      </c>
      <c r="B26" t="s">
        <v>29</v>
      </c>
      <c r="C26" t="s">
        <v>98</v>
      </c>
      <c r="D26">
        <v>3</v>
      </c>
      <c r="E26">
        <v>2.15</v>
      </c>
      <c r="F26">
        <v>-0.85000000000000009</v>
      </c>
      <c r="G26">
        <v>0.85000000000000009</v>
      </c>
      <c r="H26">
        <v>0</v>
      </c>
      <c r="I26">
        <v>1</v>
      </c>
      <c r="J26">
        <v>0</v>
      </c>
      <c r="K26" t="s">
        <v>34</v>
      </c>
      <c r="L26" t="s">
        <v>40</v>
      </c>
    </row>
    <row r="27" spans="1:12">
      <c r="A27" t="s">
        <v>243</v>
      </c>
      <c r="B27" t="s">
        <v>29</v>
      </c>
      <c r="C27" t="s">
        <v>99</v>
      </c>
      <c r="D27">
        <v>3</v>
      </c>
      <c r="E27">
        <v>2.15</v>
      </c>
      <c r="F27">
        <v>-0.85000000000000009</v>
      </c>
      <c r="G27">
        <v>0.85000000000000009</v>
      </c>
      <c r="H27">
        <v>0</v>
      </c>
      <c r="I27">
        <v>1</v>
      </c>
      <c r="J27">
        <v>0</v>
      </c>
      <c r="K27" t="s">
        <v>34</v>
      </c>
      <c r="L27" t="s">
        <v>39</v>
      </c>
    </row>
    <row r="28" spans="1:12">
      <c r="A28" t="s">
        <v>243</v>
      </c>
      <c r="B28" t="s">
        <v>29</v>
      </c>
      <c r="C28" t="s">
        <v>100</v>
      </c>
      <c r="D28">
        <v>3</v>
      </c>
      <c r="E28">
        <v>2.15</v>
      </c>
      <c r="F28">
        <v>-0.85000000000000009</v>
      </c>
      <c r="G28">
        <v>0.85000000000000009</v>
      </c>
      <c r="H28">
        <v>0</v>
      </c>
      <c r="I28">
        <v>1</v>
      </c>
      <c r="J28">
        <v>0</v>
      </c>
      <c r="K28" t="s">
        <v>34</v>
      </c>
      <c r="L28" t="s">
        <v>39</v>
      </c>
    </row>
    <row r="29" spans="1:12">
      <c r="A29" t="s">
        <v>243</v>
      </c>
      <c r="B29" t="s">
        <v>29</v>
      </c>
      <c r="C29" t="s">
        <v>101</v>
      </c>
      <c r="D29">
        <v>3</v>
      </c>
      <c r="E29">
        <v>2.15</v>
      </c>
      <c r="F29">
        <v>-0.85000000000000009</v>
      </c>
      <c r="G29">
        <v>0.85000000000000009</v>
      </c>
      <c r="H29">
        <v>0</v>
      </c>
      <c r="I29">
        <v>1</v>
      </c>
      <c r="J29">
        <v>0</v>
      </c>
      <c r="K29" t="s">
        <v>34</v>
      </c>
      <c r="L29" t="s">
        <v>39</v>
      </c>
    </row>
    <row r="30" spans="1:12">
      <c r="A30" t="s">
        <v>243</v>
      </c>
      <c r="B30" t="s">
        <v>29</v>
      </c>
      <c r="C30" t="s">
        <v>102</v>
      </c>
      <c r="D30">
        <v>3</v>
      </c>
      <c r="E30">
        <v>2.15</v>
      </c>
      <c r="F30">
        <v>-0.85000000000000009</v>
      </c>
      <c r="G30">
        <v>0.85000000000000009</v>
      </c>
      <c r="H30">
        <v>0</v>
      </c>
      <c r="I30">
        <v>1</v>
      </c>
      <c r="J30">
        <v>0</v>
      </c>
      <c r="K30" t="s">
        <v>34</v>
      </c>
      <c r="L30" t="s">
        <v>39</v>
      </c>
    </row>
    <row r="31" spans="1:12">
      <c r="A31" t="s">
        <v>243</v>
      </c>
      <c r="B31" t="s">
        <v>29</v>
      </c>
      <c r="C31" t="s">
        <v>103</v>
      </c>
      <c r="D31">
        <v>3</v>
      </c>
      <c r="E31">
        <v>2.15</v>
      </c>
      <c r="F31">
        <v>-0.85000000000000009</v>
      </c>
      <c r="G31">
        <v>0.85000000000000009</v>
      </c>
      <c r="H31">
        <v>0</v>
      </c>
      <c r="I31">
        <v>1</v>
      </c>
      <c r="J31">
        <v>0</v>
      </c>
      <c r="K31" t="s">
        <v>34</v>
      </c>
      <c r="L31" t="s">
        <v>39</v>
      </c>
    </row>
    <row r="32" spans="1:12">
      <c r="A32" t="s">
        <v>243</v>
      </c>
      <c r="B32" t="s">
        <v>29</v>
      </c>
      <c r="C32" t="s">
        <v>104</v>
      </c>
      <c r="D32">
        <v>3</v>
      </c>
      <c r="E32">
        <v>2.15</v>
      </c>
      <c r="F32">
        <v>-0.85000000000000009</v>
      </c>
      <c r="G32">
        <v>0.85000000000000009</v>
      </c>
      <c r="H32">
        <v>0</v>
      </c>
      <c r="I32">
        <v>1</v>
      </c>
      <c r="J32">
        <v>0</v>
      </c>
      <c r="K32" t="s">
        <v>34</v>
      </c>
      <c r="L32" t="s">
        <v>41</v>
      </c>
    </row>
    <row r="33" spans="1:12">
      <c r="A33" t="s">
        <v>243</v>
      </c>
      <c r="B33" t="s">
        <v>29</v>
      </c>
      <c r="C33" t="s">
        <v>105</v>
      </c>
      <c r="D33">
        <v>3</v>
      </c>
      <c r="E33">
        <v>2.15</v>
      </c>
      <c r="F33">
        <v>-0.85000000000000009</v>
      </c>
      <c r="G33">
        <v>0.85000000000000009</v>
      </c>
      <c r="H33">
        <v>0</v>
      </c>
      <c r="I33">
        <v>1</v>
      </c>
      <c r="J33">
        <v>0</v>
      </c>
      <c r="K33" t="s">
        <v>34</v>
      </c>
      <c r="L33" t="s">
        <v>41</v>
      </c>
    </row>
    <row r="34" spans="1:12">
      <c r="A34" t="s">
        <v>243</v>
      </c>
      <c r="B34" t="s">
        <v>29</v>
      </c>
      <c r="C34" t="s">
        <v>106</v>
      </c>
      <c r="D34">
        <v>3</v>
      </c>
      <c r="E34">
        <v>2.15</v>
      </c>
      <c r="F34">
        <v>-0.85000000000000009</v>
      </c>
      <c r="G34">
        <v>0.85000000000000009</v>
      </c>
      <c r="H34">
        <v>0</v>
      </c>
      <c r="I34">
        <v>1</v>
      </c>
      <c r="J34">
        <v>0</v>
      </c>
      <c r="K34" t="s">
        <v>34</v>
      </c>
      <c r="L34" t="s">
        <v>41</v>
      </c>
    </row>
    <row r="35" spans="1:12">
      <c r="A35" t="s">
        <v>243</v>
      </c>
      <c r="B35" t="s">
        <v>29</v>
      </c>
      <c r="C35" t="s">
        <v>107</v>
      </c>
      <c r="D35">
        <v>3</v>
      </c>
      <c r="E35">
        <v>2.15</v>
      </c>
      <c r="F35">
        <v>-0.85000000000000009</v>
      </c>
      <c r="G35">
        <v>0.85000000000000009</v>
      </c>
      <c r="H35">
        <v>0</v>
      </c>
      <c r="I35">
        <v>1</v>
      </c>
      <c r="J35">
        <v>0</v>
      </c>
      <c r="K35" t="s">
        <v>34</v>
      </c>
      <c r="L35" t="s">
        <v>41</v>
      </c>
    </row>
    <row r="36" spans="1:12">
      <c r="A36" t="s">
        <v>243</v>
      </c>
      <c r="B36" t="s">
        <v>29</v>
      </c>
      <c r="C36" t="s">
        <v>108</v>
      </c>
      <c r="D36">
        <v>3</v>
      </c>
      <c r="E36">
        <v>2.15</v>
      </c>
      <c r="F36">
        <v>-0.85000000000000009</v>
      </c>
      <c r="G36">
        <v>0.85000000000000009</v>
      </c>
      <c r="H36">
        <v>0</v>
      </c>
      <c r="I36">
        <v>1</v>
      </c>
      <c r="J36">
        <v>0</v>
      </c>
      <c r="K36" t="s">
        <v>34</v>
      </c>
      <c r="L36" t="s">
        <v>41</v>
      </c>
    </row>
    <row r="37" spans="1:12">
      <c r="A37" t="s">
        <v>243</v>
      </c>
      <c r="B37" t="s">
        <v>29</v>
      </c>
      <c r="C37" t="s">
        <v>109</v>
      </c>
      <c r="D37">
        <v>3</v>
      </c>
      <c r="E37">
        <v>2.15</v>
      </c>
      <c r="F37">
        <v>-0.85000000000000009</v>
      </c>
      <c r="G37">
        <v>0.85000000000000009</v>
      </c>
      <c r="H37">
        <v>0</v>
      </c>
      <c r="I37">
        <v>1</v>
      </c>
      <c r="J37">
        <v>0</v>
      </c>
      <c r="K37" t="s">
        <v>34</v>
      </c>
      <c r="L37" t="s">
        <v>38</v>
      </c>
    </row>
    <row r="38" spans="1:12">
      <c r="A38" t="s">
        <v>243</v>
      </c>
      <c r="B38" t="s">
        <v>29</v>
      </c>
      <c r="C38" t="s">
        <v>110</v>
      </c>
      <c r="D38">
        <v>3</v>
      </c>
      <c r="E38">
        <v>2.15</v>
      </c>
      <c r="F38">
        <v>-0.85000000000000009</v>
      </c>
      <c r="G38">
        <v>0.85000000000000009</v>
      </c>
      <c r="H38">
        <v>0</v>
      </c>
      <c r="I38">
        <v>1</v>
      </c>
      <c r="J38">
        <v>0</v>
      </c>
      <c r="K38" t="s">
        <v>34</v>
      </c>
      <c r="L38" t="s">
        <v>38</v>
      </c>
    </row>
    <row r="39" spans="1:12">
      <c r="A39" t="s">
        <v>243</v>
      </c>
      <c r="B39" t="s">
        <v>29</v>
      </c>
      <c r="C39" t="s">
        <v>111</v>
      </c>
      <c r="D39">
        <v>3</v>
      </c>
      <c r="E39">
        <v>2.15</v>
      </c>
      <c r="F39">
        <v>-0.85000000000000009</v>
      </c>
      <c r="G39">
        <v>0.85000000000000009</v>
      </c>
      <c r="H39">
        <v>0</v>
      </c>
      <c r="I39">
        <v>1</v>
      </c>
      <c r="J39">
        <v>0</v>
      </c>
      <c r="K39" t="s">
        <v>34</v>
      </c>
      <c r="L39" t="s">
        <v>38</v>
      </c>
    </row>
    <row r="40" spans="1:12">
      <c r="A40" t="s">
        <v>243</v>
      </c>
      <c r="B40" t="s">
        <v>29</v>
      </c>
      <c r="C40" t="s">
        <v>112</v>
      </c>
      <c r="D40">
        <v>3</v>
      </c>
      <c r="E40">
        <v>2.15</v>
      </c>
      <c r="F40">
        <v>-0.85000000000000009</v>
      </c>
      <c r="G40">
        <v>0.85000000000000009</v>
      </c>
      <c r="H40">
        <v>0</v>
      </c>
      <c r="I40">
        <v>1</v>
      </c>
      <c r="J40">
        <v>0</v>
      </c>
      <c r="K40" t="s">
        <v>34</v>
      </c>
      <c r="L40" t="s">
        <v>38</v>
      </c>
    </row>
    <row r="41" spans="1:12">
      <c r="A41" t="s">
        <v>243</v>
      </c>
      <c r="B41" t="s">
        <v>29</v>
      </c>
      <c r="C41" t="s">
        <v>113</v>
      </c>
      <c r="D41">
        <v>3</v>
      </c>
      <c r="E41">
        <v>2.15</v>
      </c>
      <c r="F41">
        <v>-0.85000000000000009</v>
      </c>
      <c r="G41">
        <v>0.85000000000000009</v>
      </c>
      <c r="H41">
        <v>0</v>
      </c>
      <c r="I41">
        <v>1</v>
      </c>
      <c r="J41">
        <v>0</v>
      </c>
      <c r="K41" t="s">
        <v>34</v>
      </c>
      <c r="L41" t="s">
        <v>38</v>
      </c>
    </row>
    <row r="42" spans="1:12">
      <c r="A42" t="s">
        <v>243</v>
      </c>
      <c r="B42" t="s">
        <v>29</v>
      </c>
      <c r="C42" t="s">
        <v>114</v>
      </c>
      <c r="D42">
        <v>3</v>
      </c>
      <c r="E42">
        <v>2.15</v>
      </c>
      <c r="F42">
        <v>-0.85000000000000009</v>
      </c>
      <c r="G42">
        <v>0.85000000000000009</v>
      </c>
      <c r="H42">
        <v>0</v>
      </c>
      <c r="I42">
        <v>1</v>
      </c>
      <c r="J42">
        <v>0</v>
      </c>
      <c r="K42" t="s">
        <v>34</v>
      </c>
      <c r="L42" t="s">
        <v>38</v>
      </c>
    </row>
    <row r="43" spans="1:12">
      <c r="A43" t="s">
        <v>243</v>
      </c>
      <c r="B43" t="s">
        <v>29</v>
      </c>
      <c r="C43" t="s">
        <v>115</v>
      </c>
      <c r="D43">
        <v>3</v>
      </c>
      <c r="E43">
        <v>2.15</v>
      </c>
      <c r="F43">
        <v>-0.85000000000000009</v>
      </c>
      <c r="G43">
        <v>0.85000000000000009</v>
      </c>
      <c r="H43">
        <v>0</v>
      </c>
      <c r="I43">
        <v>1</v>
      </c>
      <c r="J43">
        <v>0</v>
      </c>
      <c r="K43" t="s">
        <v>34</v>
      </c>
      <c r="L43" t="s">
        <v>38</v>
      </c>
    </row>
    <row r="44" spans="1:12">
      <c r="A44" t="s">
        <v>243</v>
      </c>
      <c r="B44" t="s">
        <v>29</v>
      </c>
      <c r="C44" t="s">
        <v>116</v>
      </c>
      <c r="D44">
        <v>3</v>
      </c>
      <c r="E44">
        <v>2.15</v>
      </c>
      <c r="F44">
        <v>-0.85000000000000009</v>
      </c>
      <c r="G44">
        <v>0.85000000000000009</v>
      </c>
      <c r="H44">
        <v>0</v>
      </c>
      <c r="I44">
        <v>1</v>
      </c>
      <c r="J44">
        <v>0</v>
      </c>
      <c r="K44" t="s">
        <v>34</v>
      </c>
      <c r="L44" t="s">
        <v>38</v>
      </c>
    </row>
    <row r="45" spans="1:12">
      <c r="A45" t="s">
        <v>243</v>
      </c>
      <c r="B45" t="s">
        <v>29</v>
      </c>
      <c r="C45" t="s">
        <v>117</v>
      </c>
      <c r="D45">
        <v>3</v>
      </c>
      <c r="E45">
        <v>2.15</v>
      </c>
      <c r="F45">
        <v>-0.85000000000000009</v>
      </c>
      <c r="G45">
        <v>0.85000000000000009</v>
      </c>
      <c r="H45">
        <v>0</v>
      </c>
      <c r="I45">
        <v>1</v>
      </c>
      <c r="J45">
        <v>0</v>
      </c>
      <c r="K45" t="s">
        <v>34</v>
      </c>
      <c r="L45" t="s">
        <v>38</v>
      </c>
    </row>
    <row r="46" spans="1:12">
      <c r="A46" t="s">
        <v>243</v>
      </c>
      <c r="B46" t="s">
        <v>29</v>
      </c>
      <c r="C46" t="s">
        <v>118</v>
      </c>
      <c r="D46">
        <v>3</v>
      </c>
      <c r="E46">
        <v>2.15</v>
      </c>
      <c r="F46">
        <v>-0.85000000000000009</v>
      </c>
      <c r="G46">
        <v>0.85000000000000009</v>
      </c>
      <c r="H46">
        <v>0</v>
      </c>
      <c r="I46">
        <v>1</v>
      </c>
      <c r="J46">
        <v>0</v>
      </c>
      <c r="K46" t="s">
        <v>34</v>
      </c>
      <c r="L46" t="s">
        <v>38</v>
      </c>
    </row>
    <row r="47" spans="1:12">
      <c r="A47" t="s">
        <v>243</v>
      </c>
      <c r="B47" t="s">
        <v>29</v>
      </c>
      <c r="C47" t="s">
        <v>119</v>
      </c>
      <c r="D47">
        <v>3</v>
      </c>
      <c r="E47">
        <v>2.15</v>
      </c>
      <c r="F47">
        <v>-0.85000000000000009</v>
      </c>
      <c r="G47">
        <v>0.85000000000000009</v>
      </c>
      <c r="H47">
        <v>0</v>
      </c>
      <c r="I47">
        <v>1</v>
      </c>
      <c r="J47">
        <v>0</v>
      </c>
      <c r="K47" t="s">
        <v>34</v>
      </c>
      <c r="L47" t="s">
        <v>44</v>
      </c>
    </row>
    <row r="48" spans="1:12">
      <c r="A48" t="s">
        <v>243</v>
      </c>
      <c r="B48" t="s">
        <v>29</v>
      </c>
      <c r="C48" t="s">
        <v>120</v>
      </c>
      <c r="D48">
        <v>3</v>
      </c>
      <c r="E48">
        <v>2.15</v>
      </c>
      <c r="F48">
        <v>-0.85000000000000009</v>
      </c>
      <c r="G48">
        <v>0.85000000000000009</v>
      </c>
      <c r="H48">
        <v>0</v>
      </c>
      <c r="I48">
        <v>1</v>
      </c>
      <c r="J48">
        <v>0</v>
      </c>
      <c r="K48" t="s">
        <v>34</v>
      </c>
      <c r="L48" t="s">
        <v>44</v>
      </c>
    </row>
    <row r="49" spans="1:12">
      <c r="A49" t="s">
        <v>243</v>
      </c>
      <c r="B49" t="s">
        <v>29</v>
      </c>
      <c r="C49" t="s">
        <v>121</v>
      </c>
      <c r="D49">
        <v>3</v>
      </c>
      <c r="E49">
        <v>2.15</v>
      </c>
      <c r="F49">
        <v>-0.85000000000000009</v>
      </c>
      <c r="G49">
        <v>0.85000000000000009</v>
      </c>
      <c r="H49">
        <v>0</v>
      </c>
      <c r="I49">
        <v>1</v>
      </c>
      <c r="J49">
        <v>0</v>
      </c>
      <c r="K49" t="s">
        <v>34</v>
      </c>
      <c r="L49" t="s">
        <v>44</v>
      </c>
    </row>
    <row r="50" spans="1:12">
      <c r="A50" t="s">
        <v>243</v>
      </c>
      <c r="B50" t="s">
        <v>29</v>
      </c>
      <c r="C50" t="s">
        <v>122</v>
      </c>
      <c r="D50">
        <v>3</v>
      </c>
      <c r="E50">
        <v>2.15</v>
      </c>
      <c r="F50">
        <v>-0.85000000000000009</v>
      </c>
      <c r="G50">
        <v>0.85000000000000009</v>
      </c>
      <c r="H50">
        <v>0</v>
      </c>
      <c r="I50">
        <v>1</v>
      </c>
      <c r="J50">
        <v>0</v>
      </c>
      <c r="K50" t="s">
        <v>34</v>
      </c>
      <c r="L50" t="s">
        <v>44</v>
      </c>
    </row>
    <row r="51" spans="1:12">
      <c r="A51" t="s">
        <v>243</v>
      </c>
      <c r="B51" t="s">
        <v>29</v>
      </c>
      <c r="C51" t="s">
        <v>123</v>
      </c>
      <c r="D51">
        <v>3</v>
      </c>
      <c r="E51">
        <v>3</v>
      </c>
      <c r="F51">
        <v>0</v>
      </c>
      <c r="G51">
        <v>0</v>
      </c>
      <c r="H51">
        <v>0</v>
      </c>
      <c r="I51">
        <v>1</v>
      </c>
      <c r="J51">
        <v>0</v>
      </c>
      <c r="K51" t="s">
        <v>34</v>
      </c>
      <c r="L51" t="s">
        <v>44</v>
      </c>
    </row>
    <row r="52" spans="1:12">
      <c r="A52" t="s">
        <v>243</v>
      </c>
      <c r="B52" t="s">
        <v>29</v>
      </c>
      <c r="C52" t="s">
        <v>124</v>
      </c>
      <c r="D52">
        <v>3</v>
      </c>
      <c r="E52">
        <v>3</v>
      </c>
      <c r="F52">
        <v>0</v>
      </c>
      <c r="G52">
        <v>0</v>
      </c>
      <c r="H52">
        <v>0</v>
      </c>
      <c r="I52">
        <v>1</v>
      </c>
      <c r="J52">
        <v>0</v>
      </c>
      <c r="K52" t="s">
        <v>34</v>
      </c>
      <c r="L52" t="s">
        <v>45</v>
      </c>
    </row>
    <row r="53" spans="1:12">
      <c r="A53" t="s">
        <v>243</v>
      </c>
      <c r="B53" t="s">
        <v>29</v>
      </c>
      <c r="C53" t="s">
        <v>125</v>
      </c>
      <c r="D53">
        <v>3</v>
      </c>
      <c r="E53">
        <v>3</v>
      </c>
      <c r="F53">
        <v>0</v>
      </c>
      <c r="G53">
        <v>0</v>
      </c>
      <c r="H53">
        <v>0</v>
      </c>
      <c r="I53">
        <v>1</v>
      </c>
      <c r="J53">
        <v>0</v>
      </c>
      <c r="K53" t="s">
        <v>34</v>
      </c>
      <c r="L53" t="s">
        <v>45</v>
      </c>
    </row>
    <row r="54" spans="1:12">
      <c r="A54" t="s">
        <v>243</v>
      </c>
      <c r="B54" t="s">
        <v>29</v>
      </c>
      <c r="C54" t="s">
        <v>126</v>
      </c>
      <c r="D54">
        <v>3</v>
      </c>
      <c r="E54">
        <v>3</v>
      </c>
      <c r="F54">
        <v>0</v>
      </c>
      <c r="G54">
        <v>0</v>
      </c>
      <c r="H54">
        <v>0</v>
      </c>
      <c r="I54">
        <v>1</v>
      </c>
      <c r="J54">
        <v>0</v>
      </c>
      <c r="K54" t="s">
        <v>34</v>
      </c>
      <c r="L54" t="s">
        <v>45</v>
      </c>
    </row>
    <row r="55" spans="1:12">
      <c r="A55" t="s">
        <v>243</v>
      </c>
      <c r="B55" t="s">
        <v>29</v>
      </c>
      <c r="C55" t="s">
        <v>127</v>
      </c>
      <c r="D55">
        <v>3</v>
      </c>
      <c r="E55">
        <v>3</v>
      </c>
      <c r="F55">
        <v>0</v>
      </c>
      <c r="G55">
        <v>0</v>
      </c>
      <c r="H55">
        <v>0</v>
      </c>
      <c r="I55">
        <v>1</v>
      </c>
      <c r="J55">
        <v>0</v>
      </c>
      <c r="K55" t="s">
        <v>34</v>
      </c>
      <c r="L55" t="s">
        <v>45</v>
      </c>
    </row>
    <row r="56" spans="1:12">
      <c r="A56" t="s">
        <v>243</v>
      </c>
      <c r="B56" t="s">
        <v>29</v>
      </c>
      <c r="C56" t="s">
        <v>128</v>
      </c>
      <c r="D56">
        <v>3</v>
      </c>
      <c r="E56">
        <v>3</v>
      </c>
      <c r="F56">
        <v>0</v>
      </c>
      <c r="G56">
        <v>0</v>
      </c>
      <c r="H56">
        <v>0</v>
      </c>
      <c r="I56">
        <v>1</v>
      </c>
      <c r="J56">
        <v>0</v>
      </c>
      <c r="K56" t="s">
        <v>34</v>
      </c>
      <c r="L56" t="s">
        <v>45</v>
      </c>
    </row>
    <row r="57" spans="1:12">
      <c r="A57" t="s">
        <v>243</v>
      </c>
      <c r="B57" t="s">
        <v>29</v>
      </c>
      <c r="C57" t="s">
        <v>129</v>
      </c>
      <c r="D57">
        <v>3</v>
      </c>
      <c r="E57">
        <v>3</v>
      </c>
      <c r="F57">
        <v>0</v>
      </c>
      <c r="G57">
        <v>0</v>
      </c>
      <c r="H57">
        <v>0</v>
      </c>
      <c r="I57">
        <v>1</v>
      </c>
      <c r="J57">
        <v>0</v>
      </c>
      <c r="K57" t="s">
        <v>34</v>
      </c>
      <c r="L57" t="s">
        <v>46</v>
      </c>
    </row>
    <row r="58" spans="1:12">
      <c r="A58" t="s">
        <v>243</v>
      </c>
      <c r="B58" t="s">
        <v>29</v>
      </c>
      <c r="C58" t="s">
        <v>130</v>
      </c>
      <c r="D58">
        <v>3</v>
      </c>
      <c r="E58">
        <v>3</v>
      </c>
      <c r="F58">
        <v>0</v>
      </c>
      <c r="G58">
        <v>0</v>
      </c>
      <c r="H58">
        <v>0</v>
      </c>
      <c r="I58">
        <v>1</v>
      </c>
      <c r="J58">
        <v>0</v>
      </c>
      <c r="K58" t="s">
        <v>34</v>
      </c>
      <c r="L58" t="s">
        <v>46</v>
      </c>
    </row>
    <row r="59" spans="1:12">
      <c r="A59" t="s">
        <v>243</v>
      </c>
      <c r="B59" t="s">
        <v>29</v>
      </c>
      <c r="C59" t="s">
        <v>131</v>
      </c>
      <c r="D59">
        <v>3</v>
      </c>
      <c r="E59">
        <v>3</v>
      </c>
      <c r="F59">
        <v>0</v>
      </c>
      <c r="G59">
        <v>0</v>
      </c>
      <c r="H59">
        <v>0</v>
      </c>
      <c r="I59">
        <v>1</v>
      </c>
      <c r="J59">
        <v>0</v>
      </c>
      <c r="K59" t="s">
        <v>34</v>
      </c>
      <c r="L59" t="s">
        <v>46</v>
      </c>
    </row>
    <row r="60" spans="1:12">
      <c r="A60" t="s">
        <v>243</v>
      </c>
      <c r="B60" t="s">
        <v>29</v>
      </c>
      <c r="C60" t="s">
        <v>132</v>
      </c>
      <c r="D60">
        <v>3</v>
      </c>
      <c r="E60">
        <v>3</v>
      </c>
      <c r="F60">
        <v>0</v>
      </c>
      <c r="G60">
        <v>0</v>
      </c>
      <c r="H60">
        <v>0</v>
      </c>
      <c r="I60">
        <v>1</v>
      </c>
      <c r="J60">
        <v>0</v>
      </c>
      <c r="K60" t="s">
        <v>34</v>
      </c>
      <c r="L60" t="s">
        <v>46</v>
      </c>
    </row>
    <row r="61" spans="1:12">
      <c r="A61" t="s">
        <v>243</v>
      </c>
      <c r="B61" t="s">
        <v>29</v>
      </c>
      <c r="C61" t="s">
        <v>133</v>
      </c>
      <c r="D61">
        <v>3</v>
      </c>
      <c r="E61">
        <v>2.15</v>
      </c>
      <c r="F61">
        <v>-0.85000000000000009</v>
      </c>
      <c r="G61">
        <v>0.85000000000000009</v>
      </c>
      <c r="H61">
        <v>0</v>
      </c>
      <c r="I61">
        <v>1</v>
      </c>
      <c r="J61">
        <v>0</v>
      </c>
      <c r="K61" t="s">
        <v>34</v>
      </c>
      <c r="L61" t="s">
        <v>46</v>
      </c>
    </row>
    <row r="62" spans="1:12">
      <c r="A62" t="s">
        <v>243</v>
      </c>
      <c r="B62" t="s">
        <v>29</v>
      </c>
      <c r="C62" t="s">
        <v>134</v>
      </c>
      <c r="D62">
        <v>3</v>
      </c>
      <c r="E62">
        <v>2.15</v>
      </c>
      <c r="F62">
        <v>-0.85000000000000009</v>
      </c>
      <c r="G62">
        <v>0.85000000000000009</v>
      </c>
      <c r="H62">
        <v>0</v>
      </c>
      <c r="I62">
        <v>1</v>
      </c>
      <c r="J62">
        <v>0</v>
      </c>
      <c r="K62" t="s">
        <v>34</v>
      </c>
      <c r="L62" t="s">
        <v>47</v>
      </c>
    </row>
    <row r="63" spans="1:12">
      <c r="A63" t="s">
        <v>243</v>
      </c>
      <c r="B63" t="s">
        <v>29</v>
      </c>
      <c r="C63" t="s">
        <v>135</v>
      </c>
      <c r="D63">
        <v>3</v>
      </c>
      <c r="E63">
        <v>2.15</v>
      </c>
      <c r="F63">
        <v>-0.85000000000000009</v>
      </c>
      <c r="G63">
        <v>0.85000000000000009</v>
      </c>
      <c r="H63">
        <v>0</v>
      </c>
      <c r="I63">
        <v>1</v>
      </c>
      <c r="J63">
        <v>0</v>
      </c>
      <c r="K63" t="s">
        <v>34</v>
      </c>
      <c r="L63" t="s">
        <v>47</v>
      </c>
    </row>
    <row r="64" spans="1:12">
      <c r="A64" t="s">
        <v>243</v>
      </c>
      <c r="B64" t="s">
        <v>29</v>
      </c>
      <c r="C64" t="s">
        <v>136</v>
      </c>
      <c r="D64">
        <v>3</v>
      </c>
      <c r="E64">
        <v>2.15</v>
      </c>
      <c r="F64">
        <v>-0.85000000000000009</v>
      </c>
      <c r="G64">
        <v>0.85000000000000009</v>
      </c>
      <c r="H64">
        <v>0</v>
      </c>
      <c r="I64">
        <v>1</v>
      </c>
      <c r="J64">
        <v>0</v>
      </c>
      <c r="K64" t="s">
        <v>34</v>
      </c>
      <c r="L64" t="s">
        <v>47</v>
      </c>
    </row>
    <row r="65" spans="1:12">
      <c r="A65" t="s">
        <v>243</v>
      </c>
      <c r="B65" t="s">
        <v>29</v>
      </c>
      <c r="C65" t="s">
        <v>137</v>
      </c>
      <c r="D65">
        <v>3</v>
      </c>
      <c r="E65">
        <v>2.15</v>
      </c>
      <c r="F65">
        <v>-0.85000000000000009</v>
      </c>
      <c r="G65">
        <v>0.85000000000000009</v>
      </c>
      <c r="H65">
        <v>0</v>
      </c>
      <c r="I65">
        <v>1</v>
      </c>
      <c r="J65">
        <v>0</v>
      </c>
      <c r="K65" t="s">
        <v>34</v>
      </c>
      <c r="L65" t="s">
        <v>47</v>
      </c>
    </row>
    <row r="66" spans="1:12">
      <c r="A66" t="s">
        <v>243</v>
      </c>
      <c r="B66" t="s">
        <v>29</v>
      </c>
      <c r="C66" t="s">
        <v>138</v>
      </c>
      <c r="D66">
        <v>3</v>
      </c>
      <c r="E66">
        <v>2.15</v>
      </c>
      <c r="F66">
        <v>-0.85000000000000009</v>
      </c>
      <c r="G66">
        <v>0.85000000000000009</v>
      </c>
      <c r="H66">
        <v>0</v>
      </c>
      <c r="I66">
        <v>1</v>
      </c>
      <c r="J66">
        <v>0</v>
      </c>
      <c r="K66" t="s">
        <v>34</v>
      </c>
      <c r="L66" t="s">
        <v>47</v>
      </c>
    </row>
    <row r="67" spans="1:12">
      <c r="A67" t="s">
        <v>243</v>
      </c>
      <c r="B67" t="s">
        <v>29</v>
      </c>
      <c r="C67" t="s">
        <v>139</v>
      </c>
      <c r="D67">
        <v>3</v>
      </c>
      <c r="E67">
        <v>2.15</v>
      </c>
      <c r="F67">
        <v>-0.85000000000000009</v>
      </c>
      <c r="G67">
        <v>0.85000000000000009</v>
      </c>
      <c r="H67">
        <v>0</v>
      </c>
      <c r="I67">
        <v>1</v>
      </c>
      <c r="J67">
        <v>0</v>
      </c>
      <c r="K67" t="s">
        <v>34</v>
      </c>
      <c r="L67" t="s">
        <v>42</v>
      </c>
    </row>
    <row r="68" spans="1:12">
      <c r="A68" t="s">
        <v>243</v>
      </c>
      <c r="B68" t="s">
        <v>29</v>
      </c>
      <c r="C68" t="s">
        <v>140</v>
      </c>
      <c r="D68">
        <v>3</v>
      </c>
      <c r="E68">
        <v>2.15</v>
      </c>
      <c r="F68">
        <v>-0.85000000000000009</v>
      </c>
      <c r="G68">
        <v>0.85000000000000009</v>
      </c>
      <c r="H68">
        <v>0</v>
      </c>
      <c r="I68">
        <v>1</v>
      </c>
      <c r="J68">
        <v>0</v>
      </c>
      <c r="K68" t="s">
        <v>34</v>
      </c>
      <c r="L68" t="s">
        <v>42</v>
      </c>
    </row>
    <row r="69" spans="1:12">
      <c r="A69" t="s">
        <v>243</v>
      </c>
      <c r="B69" t="s">
        <v>29</v>
      </c>
      <c r="C69" t="s">
        <v>141</v>
      </c>
      <c r="D69">
        <v>3</v>
      </c>
      <c r="E69">
        <v>2.15</v>
      </c>
      <c r="F69">
        <v>-0.85000000000000009</v>
      </c>
      <c r="G69">
        <v>0.85000000000000009</v>
      </c>
      <c r="H69">
        <v>0</v>
      </c>
      <c r="I69">
        <v>1</v>
      </c>
      <c r="J69">
        <v>0</v>
      </c>
      <c r="K69" t="s">
        <v>34</v>
      </c>
      <c r="L69" t="s">
        <v>42</v>
      </c>
    </row>
    <row r="70" spans="1:12">
      <c r="A70" t="s">
        <v>243</v>
      </c>
      <c r="B70" t="s">
        <v>29</v>
      </c>
      <c r="C70" t="s">
        <v>142</v>
      </c>
      <c r="D70">
        <v>3</v>
      </c>
      <c r="E70">
        <v>2.15</v>
      </c>
      <c r="F70">
        <v>-0.85000000000000009</v>
      </c>
      <c r="G70">
        <v>0.85000000000000009</v>
      </c>
      <c r="H70">
        <v>0</v>
      </c>
      <c r="I70">
        <v>1</v>
      </c>
      <c r="J70">
        <v>0</v>
      </c>
      <c r="K70" t="s">
        <v>34</v>
      </c>
      <c r="L70" t="s">
        <v>42</v>
      </c>
    </row>
    <row r="71" spans="1:12">
      <c r="A71" t="s">
        <v>243</v>
      </c>
      <c r="B71" t="s">
        <v>29</v>
      </c>
      <c r="C71" t="s">
        <v>143</v>
      </c>
      <c r="D71">
        <v>3</v>
      </c>
      <c r="E71">
        <v>3</v>
      </c>
      <c r="F71">
        <v>0</v>
      </c>
      <c r="G71">
        <v>0</v>
      </c>
      <c r="H71">
        <v>0</v>
      </c>
      <c r="I71">
        <v>1</v>
      </c>
      <c r="J71">
        <v>0</v>
      </c>
      <c r="K71" t="s">
        <v>34</v>
      </c>
      <c r="L71" t="s">
        <v>42</v>
      </c>
    </row>
    <row r="72" spans="1:12">
      <c r="A72" t="s">
        <v>243</v>
      </c>
      <c r="B72" t="s">
        <v>29</v>
      </c>
      <c r="C72" t="s">
        <v>144</v>
      </c>
      <c r="D72">
        <v>3</v>
      </c>
      <c r="E72">
        <v>3</v>
      </c>
      <c r="F72">
        <v>0</v>
      </c>
      <c r="G72">
        <v>0</v>
      </c>
      <c r="H72">
        <v>0</v>
      </c>
      <c r="I72">
        <v>1</v>
      </c>
      <c r="J72">
        <v>0</v>
      </c>
      <c r="K72" t="s">
        <v>34</v>
      </c>
      <c r="L72" t="s">
        <v>43</v>
      </c>
    </row>
    <row r="73" spans="1:12">
      <c r="A73" t="s">
        <v>243</v>
      </c>
      <c r="B73" t="s">
        <v>29</v>
      </c>
      <c r="C73" t="s">
        <v>145</v>
      </c>
      <c r="D73">
        <v>3</v>
      </c>
      <c r="E73">
        <v>3</v>
      </c>
      <c r="F73">
        <v>0</v>
      </c>
      <c r="G73">
        <v>0</v>
      </c>
      <c r="H73">
        <v>0</v>
      </c>
      <c r="I73">
        <v>1</v>
      </c>
      <c r="J73">
        <v>0</v>
      </c>
      <c r="K73" t="s">
        <v>34</v>
      </c>
      <c r="L73" t="s">
        <v>43</v>
      </c>
    </row>
    <row r="74" spans="1:12">
      <c r="A74" t="s">
        <v>243</v>
      </c>
      <c r="B74" t="s">
        <v>29</v>
      </c>
      <c r="C74" t="s">
        <v>146</v>
      </c>
      <c r="D74">
        <v>3</v>
      </c>
      <c r="E74">
        <v>3</v>
      </c>
      <c r="F74">
        <v>0</v>
      </c>
      <c r="G74">
        <v>0</v>
      </c>
      <c r="H74">
        <v>0</v>
      </c>
      <c r="I74">
        <v>1</v>
      </c>
      <c r="J74">
        <v>0</v>
      </c>
      <c r="K74" t="s">
        <v>34</v>
      </c>
      <c r="L74" t="s">
        <v>43</v>
      </c>
    </row>
    <row r="75" spans="1:12">
      <c r="A75" t="s">
        <v>243</v>
      </c>
      <c r="B75" t="s">
        <v>29</v>
      </c>
      <c r="C75" t="s">
        <v>147</v>
      </c>
      <c r="D75">
        <v>3</v>
      </c>
      <c r="E75">
        <v>3</v>
      </c>
      <c r="F75">
        <v>0</v>
      </c>
      <c r="G75">
        <v>0</v>
      </c>
      <c r="H75">
        <v>0</v>
      </c>
      <c r="I75">
        <v>1</v>
      </c>
      <c r="J75">
        <v>0</v>
      </c>
      <c r="K75" t="s">
        <v>34</v>
      </c>
      <c r="L75" t="s">
        <v>43</v>
      </c>
    </row>
    <row r="76" spans="1:12">
      <c r="A76" t="s">
        <v>243</v>
      </c>
      <c r="B76" t="s">
        <v>29</v>
      </c>
      <c r="C76" t="s">
        <v>148</v>
      </c>
      <c r="D76">
        <v>3</v>
      </c>
      <c r="E76">
        <v>3</v>
      </c>
      <c r="F76">
        <v>0</v>
      </c>
      <c r="G76">
        <v>0</v>
      </c>
      <c r="H76">
        <v>0</v>
      </c>
      <c r="I76">
        <v>1</v>
      </c>
      <c r="J76">
        <v>0</v>
      </c>
      <c r="K76" t="s">
        <v>34</v>
      </c>
      <c r="L76" t="s">
        <v>43</v>
      </c>
    </row>
    <row r="77" spans="1:12">
      <c r="A77" t="s">
        <v>243</v>
      </c>
      <c r="B77" t="s">
        <v>29</v>
      </c>
      <c r="C77" t="s">
        <v>149</v>
      </c>
      <c r="D77">
        <v>3</v>
      </c>
      <c r="E77">
        <v>3</v>
      </c>
      <c r="F77">
        <v>0</v>
      </c>
      <c r="G77">
        <v>0</v>
      </c>
      <c r="H77">
        <v>0</v>
      </c>
      <c r="I77">
        <v>1</v>
      </c>
      <c r="J77">
        <v>0</v>
      </c>
      <c r="K77" t="s">
        <v>34</v>
      </c>
      <c r="L77" t="s">
        <v>48</v>
      </c>
    </row>
    <row r="78" spans="1:12">
      <c r="A78" t="s">
        <v>243</v>
      </c>
      <c r="B78" t="s">
        <v>29</v>
      </c>
      <c r="C78" t="s">
        <v>150</v>
      </c>
      <c r="D78">
        <v>3</v>
      </c>
      <c r="E78">
        <v>3</v>
      </c>
      <c r="F78">
        <v>0</v>
      </c>
      <c r="G78">
        <v>0</v>
      </c>
      <c r="H78">
        <v>0</v>
      </c>
      <c r="I78">
        <v>1</v>
      </c>
      <c r="J78">
        <v>0</v>
      </c>
      <c r="K78" t="s">
        <v>34</v>
      </c>
      <c r="L78" t="s">
        <v>48</v>
      </c>
    </row>
    <row r="79" spans="1:12">
      <c r="A79" t="s">
        <v>243</v>
      </c>
      <c r="B79" t="s">
        <v>29</v>
      </c>
      <c r="C79" t="s">
        <v>151</v>
      </c>
      <c r="D79">
        <v>3</v>
      </c>
      <c r="E79">
        <v>3</v>
      </c>
      <c r="F79">
        <v>0</v>
      </c>
      <c r="G79">
        <v>0</v>
      </c>
      <c r="H79">
        <v>0</v>
      </c>
      <c r="I79">
        <v>1</v>
      </c>
      <c r="J79">
        <v>0</v>
      </c>
      <c r="K79" t="s">
        <v>34</v>
      </c>
      <c r="L79" t="s">
        <v>48</v>
      </c>
    </row>
    <row r="80" spans="1:12">
      <c r="A80" t="s">
        <v>243</v>
      </c>
      <c r="B80" t="s">
        <v>29</v>
      </c>
      <c r="C80" t="s">
        <v>152</v>
      </c>
      <c r="D80">
        <v>3</v>
      </c>
      <c r="E80">
        <v>3</v>
      </c>
      <c r="F80">
        <v>0</v>
      </c>
      <c r="G80">
        <v>0</v>
      </c>
      <c r="H80">
        <v>0</v>
      </c>
      <c r="I80">
        <v>1</v>
      </c>
      <c r="J80">
        <v>0</v>
      </c>
      <c r="K80" t="s">
        <v>34</v>
      </c>
      <c r="L80" t="s">
        <v>48</v>
      </c>
    </row>
    <row r="81" spans="1:12">
      <c r="A81" t="s">
        <v>243</v>
      </c>
      <c r="B81" t="s">
        <v>29</v>
      </c>
      <c r="C81" t="s">
        <v>153</v>
      </c>
      <c r="D81">
        <v>3</v>
      </c>
      <c r="E81">
        <v>3</v>
      </c>
      <c r="F81">
        <v>0</v>
      </c>
      <c r="G81">
        <v>0</v>
      </c>
      <c r="H81">
        <v>0</v>
      </c>
      <c r="I81">
        <v>1</v>
      </c>
      <c r="J81">
        <v>0</v>
      </c>
      <c r="K81" t="s">
        <v>34</v>
      </c>
      <c r="L81" t="s">
        <v>48</v>
      </c>
    </row>
    <row r="82" spans="1:12">
      <c r="A82" t="s">
        <v>260</v>
      </c>
      <c r="B82" t="s">
        <v>30</v>
      </c>
      <c r="C82" t="s">
        <v>76</v>
      </c>
      <c r="D82">
        <v>2</v>
      </c>
      <c r="E82">
        <v>1.61</v>
      </c>
      <c r="F82">
        <v>-0.3899999999999999</v>
      </c>
      <c r="G82">
        <v>0.3899999999999999</v>
      </c>
      <c r="H82">
        <v>0</v>
      </c>
      <c r="I82">
        <v>1</v>
      </c>
      <c r="J82">
        <v>0</v>
      </c>
      <c r="K82" t="s">
        <v>34</v>
      </c>
      <c r="L82" t="s">
        <v>49</v>
      </c>
    </row>
    <row r="83" spans="1:12">
      <c r="A83" t="s">
        <v>260</v>
      </c>
      <c r="B83" t="s">
        <v>30</v>
      </c>
      <c r="C83" t="s">
        <v>77</v>
      </c>
      <c r="D83">
        <v>2</v>
      </c>
      <c r="E83">
        <v>1.61</v>
      </c>
      <c r="F83">
        <v>-0.3899999999999999</v>
      </c>
      <c r="G83">
        <v>0.3899999999999999</v>
      </c>
      <c r="H83">
        <v>0</v>
      </c>
      <c r="I83">
        <v>1</v>
      </c>
      <c r="J83">
        <v>0</v>
      </c>
      <c r="K83" t="s">
        <v>34</v>
      </c>
      <c r="L83" t="s">
        <v>49</v>
      </c>
    </row>
    <row r="84" spans="1:12">
      <c r="A84" t="s">
        <v>260</v>
      </c>
      <c r="B84" t="s">
        <v>30</v>
      </c>
      <c r="C84" t="s">
        <v>78</v>
      </c>
      <c r="D84">
        <v>2</v>
      </c>
      <c r="E84">
        <v>1.61</v>
      </c>
      <c r="F84">
        <v>-0.3899999999999999</v>
      </c>
      <c r="G84">
        <v>0.3899999999999999</v>
      </c>
      <c r="H84">
        <v>0</v>
      </c>
      <c r="I84">
        <v>1</v>
      </c>
      <c r="J84">
        <v>0</v>
      </c>
      <c r="K84" t="s">
        <v>34</v>
      </c>
      <c r="L84" t="s">
        <v>49</v>
      </c>
    </row>
    <row r="85" spans="1:12">
      <c r="A85" t="s">
        <v>260</v>
      </c>
      <c r="B85" t="s">
        <v>30</v>
      </c>
      <c r="C85" t="s">
        <v>79</v>
      </c>
      <c r="D85">
        <v>2</v>
      </c>
      <c r="E85">
        <v>1.61</v>
      </c>
      <c r="F85">
        <v>-0.3899999999999999</v>
      </c>
      <c r="G85">
        <v>0.3899999999999999</v>
      </c>
      <c r="H85">
        <v>0</v>
      </c>
      <c r="I85">
        <v>1</v>
      </c>
      <c r="J85">
        <v>0</v>
      </c>
      <c r="K85" t="s">
        <v>34</v>
      </c>
      <c r="L85" t="s">
        <v>49</v>
      </c>
    </row>
    <row r="86" spans="1:12">
      <c r="A86" t="s">
        <v>260</v>
      </c>
      <c r="B86" t="s">
        <v>30</v>
      </c>
      <c r="C86" t="s">
        <v>80</v>
      </c>
      <c r="D86">
        <v>2</v>
      </c>
      <c r="E86">
        <v>1.61</v>
      </c>
      <c r="F86">
        <v>-0.3899999999999999</v>
      </c>
      <c r="G86">
        <v>0.3899999999999999</v>
      </c>
      <c r="H86">
        <v>0</v>
      </c>
      <c r="I86">
        <v>1</v>
      </c>
      <c r="J86">
        <v>0</v>
      </c>
      <c r="K86" t="s">
        <v>34</v>
      </c>
      <c r="L86" t="s">
        <v>49</v>
      </c>
    </row>
    <row r="87" spans="1:12">
      <c r="A87" t="s">
        <v>260</v>
      </c>
      <c r="B87" t="s">
        <v>30</v>
      </c>
      <c r="C87" t="s">
        <v>81</v>
      </c>
      <c r="D87">
        <v>2</v>
      </c>
      <c r="E87">
        <v>1.61</v>
      </c>
      <c r="F87">
        <v>-0.3899999999999999</v>
      </c>
      <c r="G87">
        <v>0.3899999999999999</v>
      </c>
      <c r="H87">
        <v>0</v>
      </c>
      <c r="I87">
        <v>1</v>
      </c>
      <c r="J87">
        <v>0</v>
      </c>
      <c r="K87" t="s">
        <v>34</v>
      </c>
      <c r="L87" t="s">
        <v>49</v>
      </c>
    </row>
    <row r="88" spans="1:12">
      <c r="A88" t="s">
        <v>260</v>
      </c>
      <c r="B88" t="s">
        <v>30</v>
      </c>
      <c r="C88" t="s">
        <v>82</v>
      </c>
      <c r="D88">
        <v>2</v>
      </c>
      <c r="E88">
        <v>1.61</v>
      </c>
      <c r="F88">
        <v>-0.3899999999999999</v>
      </c>
      <c r="G88">
        <v>0.3899999999999999</v>
      </c>
      <c r="H88">
        <v>0</v>
      </c>
      <c r="I88">
        <v>1</v>
      </c>
      <c r="J88">
        <v>0</v>
      </c>
      <c r="K88" t="s">
        <v>34</v>
      </c>
      <c r="L88" t="s">
        <v>49</v>
      </c>
    </row>
    <row r="89" spans="1:12">
      <c r="A89" t="s">
        <v>260</v>
      </c>
      <c r="B89" t="s">
        <v>30</v>
      </c>
      <c r="C89" t="s">
        <v>83</v>
      </c>
      <c r="D89">
        <v>1</v>
      </c>
      <c r="E89">
        <v>1.61</v>
      </c>
      <c r="F89">
        <v>0.6100000000000001</v>
      </c>
      <c r="G89">
        <v>0.6100000000000001</v>
      </c>
      <c r="H89">
        <v>0</v>
      </c>
      <c r="I89">
        <v>1</v>
      </c>
      <c r="J89">
        <v>0</v>
      </c>
      <c r="K89" t="s">
        <v>34</v>
      </c>
      <c r="L89" t="s">
        <v>49</v>
      </c>
    </row>
    <row r="90" spans="1:12">
      <c r="A90" t="s">
        <v>260</v>
      </c>
      <c r="B90" t="s">
        <v>30</v>
      </c>
      <c r="C90" t="s">
        <v>84</v>
      </c>
      <c r="D90">
        <v>1</v>
      </c>
      <c r="E90">
        <v>1.61</v>
      </c>
      <c r="F90">
        <v>0.6100000000000001</v>
      </c>
      <c r="G90">
        <v>0.6100000000000001</v>
      </c>
      <c r="H90">
        <v>0</v>
      </c>
      <c r="I90">
        <v>1</v>
      </c>
      <c r="J90">
        <v>0</v>
      </c>
      <c r="K90" t="s">
        <v>34</v>
      </c>
      <c r="L90" t="s">
        <v>49</v>
      </c>
    </row>
    <row r="91" spans="1:12">
      <c r="A91" t="s">
        <v>260</v>
      </c>
      <c r="B91" t="s">
        <v>30</v>
      </c>
      <c r="C91" t="s">
        <v>85</v>
      </c>
      <c r="D91">
        <v>2</v>
      </c>
      <c r="E91">
        <v>1.61</v>
      </c>
      <c r="F91">
        <v>-0.3899999999999999</v>
      </c>
      <c r="G91">
        <v>0.3899999999999999</v>
      </c>
      <c r="H91">
        <v>0</v>
      </c>
      <c r="I91">
        <v>1</v>
      </c>
      <c r="J91">
        <v>0</v>
      </c>
      <c r="K91" t="s">
        <v>34</v>
      </c>
      <c r="L91" t="s">
        <v>49</v>
      </c>
    </row>
    <row r="92" spans="1:12">
      <c r="A92" t="s">
        <v>260</v>
      </c>
      <c r="B92" t="s">
        <v>30</v>
      </c>
      <c r="C92" t="s">
        <v>86</v>
      </c>
      <c r="D92">
        <v>2</v>
      </c>
      <c r="E92">
        <v>1.61</v>
      </c>
      <c r="F92">
        <v>-0.3899999999999999</v>
      </c>
      <c r="G92">
        <v>0.3899999999999999</v>
      </c>
      <c r="H92">
        <v>0</v>
      </c>
      <c r="I92">
        <v>1</v>
      </c>
      <c r="J92">
        <v>0</v>
      </c>
      <c r="K92" t="s">
        <v>34</v>
      </c>
      <c r="L92" t="s">
        <v>50</v>
      </c>
    </row>
    <row r="93" spans="1:12">
      <c r="A93" t="s">
        <v>260</v>
      </c>
      <c r="B93" t="s">
        <v>30</v>
      </c>
      <c r="C93" t="s">
        <v>87</v>
      </c>
      <c r="D93">
        <v>2</v>
      </c>
      <c r="E93">
        <v>1.61</v>
      </c>
      <c r="F93">
        <v>-0.3899999999999999</v>
      </c>
      <c r="G93">
        <v>0.3899999999999999</v>
      </c>
      <c r="H93">
        <v>0</v>
      </c>
      <c r="I93">
        <v>1</v>
      </c>
      <c r="J93">
        <v>0</v>
      </c>
      <c r="K93" t="s">
        <v>34</v>
      </c>
      <c r="L93" t="s">
        <v>50</v>
      </c>
    </row>
    <row r="94" spans="1:12">
      <c r="A94" t="s">
        <v>260</v>
      </c>
      <c r="B94" t="s">
        <v>30</v>
      </c>
      <c r="C94" t="s">
        <v>88</v>
      </c>
      <c r="D94">
        <v>2</v>
      </c>
      <c r="E94">
        <v>1.61</v>
      </c>
      <c r="F94">
        <v>-0.3899999999999999</v>
      </c>
      <c r="G94">
        <v>0.3899999999999999</v>
      </c>
      <c r="H94">
        <v>0</v>
      </c>
      <c r="I94">
        <v>1</v>
      </c>
      <c r="J94">
        <v>0</v>
      </c>
      <c r="K94" t="s">
        <v>34</v>
      </c>
      <c r="L94" t="s">
        <v>50</v>
      </c>
    </row>
    <row r="95" spans="1:12">
      <c r="A95" t="s">
        <v>260</v>
      </c>
      <c r="B95" t="s">
        <v>30</v>
      </c>
      <c r="C95" t="s">
        <v>89</v>
      </c>
      <c r="D95">
        <v>2</v>
      </c>
      <c r="E95">
        <v>0.72</v>
      </c>
      <c r="F95">
        <v>-1.28</v>
      </c>
      <c r="G95">
        <v>1.28</v>
      </c>
      <c r="H95">
        <v>1</v>
      </c>
      <c r="I95">
        <v>0</v>
      </c>
      <c r="J95">
        <v>1</v>
      </c>
      <c r="K95" t="s">
        <v>33</v>
      </c>
      <c r="L95" t="s">
        <v>50</v>
      </c>
    </row>
    <row r="96" spans="1:12">
      <c r="A96" t="s">
        <v>260</v>
      </c>
      <c r="B96" t="s">
        <v>30</v>
      </c>
      <c r="C96" t="s">
        <v>90</v>
      </c>
      <c r="D96">
        <v>2</v>
      </c>
      <c r="E96">
        <v>0.72</v>
      </c>
      <c r="F96">
        <v>-1.28</v>
      </c>
      <c r="G96">
        <v>1.28</v>
      </c>
      <c r="H96">
        <v>1</v>
      </c>
      <c r="I96">
        <v>0</v>
      </c>
      <c r="J96">
        <v>1</v>
      </c>
      <c r="K96" t="s">
        <v>33</v>
      </c>
      <c r="L96" t="s">
        <v>50</v>
      </c>
    </row>
    <row r="97" spans="1:12">
      <c r="A97" t="s">
        <v>260</v>
      </c>
      <c r="B97" t="s">
        <v>30</v>
      </c>
      <c r="C97" t="s">
        <v>91</v>
      </c>
      <c r="D97">
        <v>1</v>
      </c>
      <c r="E97">
        <v>0.72</v>
      </c>
      <c r="F97">
        <v>-0.28000000000000003</v>
      </c>
      <c r="G97">
        <v>0.28000000000000003</v>
      </c>
      <c r="H97">
        <v>0</v>
      </c>
      <c r="I97">
        <v>1</v>
      </c>
      <c r="J97">
        <v>0</v>
      </c>
      <c r="K97" t="s">
        <v>34</v>
      </c>
      <c r="L97" t="s">
        <v>50</v>
      </c>
    </row>
    <row r="98" spans="1:12">
      <c r="A98" t="s">
        <v>260</v>
      </c>
      <c r="B98" t="s">
        <v>30</v>
      </c>
      <c r="C98" t="s">
        <v>92</v>
      </c>
      <c r="D98">
        <v>2</v>
      </c>
      <c r="E98">
        <v>0.72</v>
      </c>
      <c r="F98">
        <v>-1.28</v>
      </c>
      <c r="G98">
        <v>1.28</v>
      </c>
      <c r="H98">
        <v>1</v>
      </c>
      <c r="I98">
        <v>0</v>
      </c>
      <c r="J98">
        <v>1</v>
      </c>
      <c r="K98" t="s">
        <v>33</v>
      </c>
      <c r="L98" t="s">
        <v>50</v>
      </c>
    </row>
    <row r="99" spans="1:12">
      <c r="A99" t="s">
        <v>260</v>
      </c>
      <c r="B99" t="s">
        <v>30</v>
      </c>
      <c r="C99" t="s">
        <v>93</v>
      </c>
      <c r="D99">
        <v>2</v>
      </c>
      <c r="E99">
        <v>1.61</v>
      </c>
      <c r="F99">
        <v>-0.3899999999999999</v>
      </c>
      <c r="G99">
        <v>0.3899999999999999</v>
      </c>
      <c r="H99">
        <v>0</v>
      </c>
      <c r="I99">
        <v>1</v>
      </c>
      <c r="J99">
        <v>0</v>
      </c>
      <c r="K99" t="s">
        <v>34</v>
      </c>
      <c r="L99" t="s">
        <v>50</v>
      </c>
    </row>
    <row r="100" spans="1:12">
      <c r="A100" t="s">
        <v>260</v>
      </c>
      <c r="B100" t="s">
        <v>30</v>
      </c>
      <c r="C100" t="s">
        <v>94</v>
      </c>
      <c r="D100">
        <v>2</v>
      </c>
      <c r="E100">
        <v>1.61</v>
      </c>
      <c r="F100">
        <v>-0.3899999999999999</v>
      </c>
      <c r="G100">
        <v>0.3899999999999999</v>
      </c>
      <c r="H100">
        <v>0</v>
      </c>
      <c r="I100">
        <v>1</v>
      </c>
      <c r="J100">
        <v>0</v>
      </c>
      <c r="K100" t="s">
        <v>34</v>
      </c>
      <c r="L100" t="s">
        <v>50</v>
      </c>
    </row>
    <row r="101" spans="1:12">
      <c r="A101" t="s">
        <v>260</v>
      </c>
      <c r="B101" t="s">
        <v>30</v>
      </c>
      <c r="C101" t="s">
        <v>95</v>
      </c>
      <c r="D101">
        <v>2</v>
      </c>
      <c r="E101">
        <v>1.61</v>
      </c>
      <c r="F101">
        <v>-0.3899999999999999</v>
      </c>
      <c r="G101">
        <v>0.3899999999999999</v>
      </c>
      <c r="H101">
        <v>0</v>
      </c>
      <c r="I101">
        <v>1</v>
      </c>
      <c r="J101">
        <v>0</v>
      </c>
      <c r="K101" t="s">
        <v>34</v>
      </c>
      <c r="L101" t="s">
        <v>50</v>
      </c>
    </row>
    <row r="102" spans="1:12">
      <c r="A102" t="s">
        <v>260</v>
      </c>
      <c r="B102" t="s">
        <v>30</v>
      </c>
      <c r="C102" t="s">
        <v>96</v>
      </c>
      <c r="D102">
        <v>2</v>
      </c>
      <c r="E102">
        <v>1.61</v>
      </c>
      <c r="F102">
        <v>-0.3899999999999999</v>
      </c>
      <c r="G102">
        <v>0.3899999999999999</v>
      </c>
      <c r="H102">
        <v>0</v>
      </c>
      <c r="I102">
        <v>1</v>
      </c>
      <c r="J102">
        <v>0</v>
      </c>
      <c r="K102" t="s">
        <v>34</v>
      </c>
      <c r="L102" t="s">
        <v>40</v>
      </c>
    </row>
    <row r="103" spans="1:12">
      <c r="A103" t="s">
        <v>260</v>
      </c>
      <c r="B103" t="s">
        <v>30</v>
      </c>
      <c r="C103" t="s">
        <v>31</v>
      </c>
      <c r="D103">
        <v>2</v>
      </c>
      <c r="E103">
        <v>1.61</v>
      </c>
      <c r="F103">
        <v>-0.3899999999999999</v>
      </c>
      <c r="G103">
        <v>0.3899999999999999</v>
      </c>
      <c r="H103">
        <v>0</v>
      </c>
      <c r="I103">
        <v>1</v>
      </c>
      <c r="J103">
        <v>0</v>
      </c>
      <c r="K103" t="s">
        <v>34</v>
      </c>
      <c r="L103" t="s">
        <v>40</v>
      </c>
    </row>
    <row r="104" spans="1:12">
      <c r="A104" t="s">
        <v>260</v>
      </c>
      <c r="B104" t="s">
        <v>30</v>
      </c>
      <c r="C104" t="s">
        <v>30</v>
      </c>
      <c r="D104">
        <v>2</v>
      </c>
      <c r="E104">
        <v>1.61</v>
      </c>
      <c r="F104">
        <v>-0.3899999999999999</v>
      </c>
      <c r="G104">
        <v>0.3899999999999999</v>
      </c>
      <c r="H104">
        <v>0</v>
      </c>
      <c r="I104">
        <v>1</v>
      </c>
      <c r="J104">
        <v>0</v>
      </c>
      <c r="K104" t="s">
        <v>34</v>
      </c>
      <c r="L104" t="s">
        <v>40</v>
      </c>
    </row>
    <row r="105" spans="1:12">
      <c r="A105" t="s">
        <v>260</v>
      </c>
      <c r="B105" t="s">
        <v>30</v>
      </c>
      <c r="C105" t="s">
        <v>97</v>
      </c>
      <c r="D105">
        <v>2</v>
      </c>
      <c r="E105">
        <v>1.61</v>
      </c>
      <c r="F105">
        <v>-0.3899999999999999</v>
      </c>
      <c r="G105">
        <v>0.3899999999999999</v>
      </c>
      <c r="H105">
        <v>0</v>
      </c>
      <c r="I105">
        <v>1</v>
      </c>
      <c r="J105">
        <v>0</v>
      </c>
      <c r="K105" t="s">
        <v>34</v>
      </c>
      <c r="L105" t="s">
        <v>40</v>
      </c>
    </row>
    <row r="106" spans="1:12">
      <c r="A106" t="s">
        <v>260</v>
      </c>
      <c r="B106" t="s">
        <v>30</v>
      </c>
      <c r="C106" t="s">
        <v>98</v>
      </c>
      <c r="D106">
        <v>1</v>
      </c>
      <c r="E106">
        <v>1.61</v>
      </c>
      <c r="F106">
        <v>0.6100000000000001</v>
      </c>
      <c r="G106">
        <v>0.6100000000000001</v>
      </c>
      <c r="H106">
        <v>0</v>
      </c>
      <c r="I106">
        <v>1</v>
      </c>
      <c r="J106">
        <v>0</v>
      </c>
      <c r="K106" t="s">
        <v>34</v>
      </c>
      <c r="L106" t="s">
        <v>40</v>
      </c>
    </row>
    <row r="107" spans="1:12">
      <c r="A107" t="s">
        <v>260</v>
      </c>
      <c r="B107" t="s">
        <v>30</v>
      </c>
      <c r="C107" t="s">
        <v>99</v>
      </c>
      <c r="D107">
        <v>1</v>
      </c>
      <c r="E107">
        <v>1.61</v>
      </c>
      <c r="F107">
        <v>0.6100000000000001</v>
      </c>
      <c r="G107">
        <v>0.6100000000000001</v>
      </c>
      <c r="H107">
        <v>0</v>
      </c>
      <c r="I107">
        <v>1</v>
      </c>
      <c r="J107">
        <v>0</v>
      </c>
      <c r="K107" t="s">
        <v>34</v>
      </c>
      <c r="L107" t="s">
        <v>39</v>
      </c>
    </row>
    <row r="108" spans="1:12">
      <c r="A108" t="s">
        <v>260</v>
      </c>
      <c r="B108" t="s">
        <v>30</v>
      </c>
      <c r="C108" t="s">
        <v>100</v>
      </c>
      <c r="D108">
        <v>2</v>
      </c>
      <c r="E108">
        <v>1.61</v>
      </c>
      <c r="F108">
        <v>-0.3899999999999999</v>
      </c>
      <c r="G108">
        <v>0.3899999999999999</v>
      </c>
      <c r="H108">
        <v>0</v>
      </c>
      <c r="I108">
        <v>1</v>
      </c>
      <c r="J108">
        <v>0</v>
      </c>
      <c r="K108" t="s">
        <v>34</v>
      </c>
      <c r="L108" t="s">
        <v>39</v>
      </c>
    </row>
    <row r="109" spans="1:12">
      <c r="A109" t="s">
        <v>260</v>
      </c>
      <c r="B109" t="s">
        <v>30</v>
      </c>
      <c r="C109" t="s">
        <v>101</v>
      </c>
      <c r="D109">
        <v>2</v>
      </c>
      <c r="E109">
        <v>1.61</v>
      </c>
      <c r="F109">
        <v>-0.3899999999999999</v>
      </c>
      <c r="G109">
        <v>0.3899999999999999</v>
      </c>
      <c r="H109">
        <v>0</v>
      </c>
      <c r="I109">
        <v>1</v>
      </c>
      <c r="J109">
        <v>0</v>
      </c>
      <c r="K109" t="s">
        <v>34</v>
      </c>
      <c r="L109" t="s">
        <v>39</v>
      </c>
    </row>
    <row r="110" spans="1:12">
      <c r="A110" t="s">
        <v>260</v>
      </c>
      <c r="B110" t="s">
        <v>30</v>
      </c>
      <c r="C110" t="s">
        <v>102</v>
      </c>
      <c r="D110">
        <v>2</v>
      </c>
      <c r="E110">
        <v>1.61</v>
      </c>
      <c r="F110">
        <v>-0.3899999999999999</v>
      </c>
      <c r="G110">
        <v>0.3899999999999999</v>
      </c>
      <c r="H110">
        <v>0</v>
      </c>
      <c r="I110">
        <v>1</v>
      </c>
      <c r="J110">
        <v>0</v>
      </c>
      <c r="K110" t="s">
        <v>34</v>
      </c>
      <c r="L110" t="s">
        <v>39</v>
      </c>
    </row>
    <row r="111" spans="1:12">
      <c r="A111" t="s">
        <v>260</v>
      </c>
      <c r="B111" t="s">
        <v>30</v>
      </c>
      <c r="C111" t="s">
        <v>103</v>
      </c>
      <c r="D111">
        <v>2</v>
      </c>
      <c r="E111">
        <v>0.72</v>
      </c>
      <c r="F111">
        <v>-1.28</v>
      </c>
      <c r="G111">
        <v>1.28</v>
      </c>
      <c r="H111">
        <v>1</v>
      </c>
      <c r="I111">
        <v>0</v>
      </c>
      <c r="J111">
        <v>1</v>
      </c>
      <c r="K111" t="s">
        <v>33</v>
      </c>
      <c r="L111" t="s">
        <v>39</v>
      </c>
    </row>
    <row r="112" spans="1:12">
      <c r="A112" t="s">
        <v>260</v>
      </c>
      <c r="B112" t="s">
        <v>30</v>
      </c>
      <c r="C112" t="s">
        <v>104</v>
      </c>
      <c r="D112">
        <v>2</v>
      </c>
      <c r="E112">
        <v>0.72</v>
      </c>
      <c r="F112">
        <v>-1.28</v>
      </c>
      <c r="G112">
        <v>1.28</v>
      </c>
      <c r="H112">
        <v>1</v>
      </c>
      <c r="I112">
        <v>0</v>
      </c>
      <c r="J112">
        <v>1</v>
      </c>
      <c r="K112" t="s">
        <v>33</v>
      </c>
      <c r="L112" t="s">
        <v>41</v>
      </c>
    </row>
    <row r="113" spans="1:12">
      <c r="A113" t="s">
        <v>260</v>
      </c>
      <c r="B113" t="s">
        <v>30</v>
      </c>
      <c r="C113" t="s">
        <v>105</v>
      </c>
      <c r="D113">
        <v>2</v>
      </c>
      <c r="E113">
        <v>1.61</v>
      </c>
      <c r="F113">
        <v>-0.3899999999999999</v>
      </c>
      <c r="G113">
        <v>0.3899999999999999</v>
      </c>
      <c r="H113">
        <v>0</v>
      </c>
      <c r="I113">
        <v>1</v>
      </c>
      <c r="J113">
        <v>0</v>
      </c>
      <c r="K113" t="s">
        <v>34</v>
      </c>
      <c r="L113" t="s">
        <v>41</v>
      </c>
    </row>
    <row r="114" spans="1:12">
      <c r="A114" t="s">
        <v>260</v>
      </c>
      <c r="B114" t="s">
        <v>30</v>
      </c>
      <c r="C114" t="s">
        <v>106</v>
      </c>
      <c r="D114">
        <v>1</v>
      </c>
      <c r="E114">
        <v>1.61</v>
      </c>
      <c r="F114">
        <v>0.6100000000000001</v>
      </c>
      <c r="G114">
        <v>0.6100000000000001</v>
      </c>
      <c r="H114">
        <v>0</v>
      </c>
      <c r="I114">
        <v>1</v>
      </c>
      <c r="J114">
        <v>0</v>
      </c>
      <c r="K114" t="s">
        <v>34</v>
      </c>
      <c r="L114" t="s">
        <v>41</v>
      </c>
    </row>
    <row r="115" spans="1:12">
      <c r="A115" t="s">
        <v>260</v>
      </c>
      <c r="B115" t="s">
        <v>30</v>
      </c>
      <c r="C115" t="s">
        <v>107</v>
      </c>
      <c r="D115">
        <v>2</v>
      </c>
      <c r="E115">
        <v>1.61</v>
      </c>
      <c r="F115">
        <v>-0.3899999999999999</v>
      </c>
      <c r="G115">
        <v>0.3899999999999999</v>
      </c>
      <c r="H115">
        <v>0</v>
      </c>
      <c r="I115">
        <v>1</v>
      </c>
      <c r="J115">
        <v>0</v>
      </c>
      <c r="K115" t="s">
        <v>34</v>
      </c>
      <c r="L115" t="s">
        <v>41</v>
      </c>
    </row>
    <row r="116" spans="1:12">
      <c r="A116" t="s">
        <v>260</v>
      </c>
      <c r="B116" t="s">
        <v>30</v>
      </c>
      <c r="C116" t="s">
        <v>108</v>
      </c>
      <c r="D116">
        <v>2</v>
      </c>
      <c r="E116">
        <v>1.61</v>
      </c>
      <c r="F116">
        <v>-0.3899999999999999</v>
      </c>
      <c r="G116">
        <v>0.3899999999999999</v>
      </c>
      <c r="H116">
        <v>0</v>
      </c>
      <c r="I116">
        <v>1</v>
      </c>
      <c r="J116">
        <v>0</v>
      </c>
      <c r="K116" t="s">
        <v>34</v>
      </c>
      <c r="L116" t="s">
        <v>41</v>
      </c>
    </row>
    <row r="117" spans="1:12">
      <c r="A117" t="s">
        <v>260</v>
      </c>
      <c r="B117" t="s">
        <v>30</v>
      </c>
      <c r="C117" t="s">
        <v>109</v>
      </c>
      <c r="D117">
        <v>2</v>
      </c>
      <c r="E117">
        <v>1.61</v>
      </c>
      <c r="F117">
        <v>-0.3899999999999999</v>
      </c>
      <c r="G117">
        <v>0.3899999999999999</v>
      </c>
      <c r="H117">
        <v>0</v>
      </c>
      <c r="I117">
        <v>1</v>
      </c>
      <c r="J117">
        <v>0</v>
      </c>
      <c r="K117" t="s">
        <v>34</v>
      </c>
      <c r="L117" t="s">
        <v>38</v>
      </c>
    </row>
    <row r="118" spans="1:12">
      <c r="A118" t="s">
        <v>260</v>
      </c>
      <c r="B118" t="s">
        <v>30</v>
      </c>
      <c r="C118" t="s">
        <v>110</v>
      </c>
      <c r="D118">
        <v>2</v>
      </c>
      <c r="E118">
        <v>1.61</v>
      </c>
      <c r="F118">
        <v>-0.3899999999999999</v>
      </c>
      <c r="G118">
        <v>0.3899999999999999</v>
      </c>
      <c r="H118">
        <v>0</v>
      </c>
      <c r="I118">
        <v>1</v>
      </c>
      <c r="J118">
        <v>0</v>
      </c>
      <c r="K118" t="s">
        <v>34</v>
      </c>
      <c r="L118" t="s">
        <v>38</v>
      </c>
    </row>
    <row r="119" spans="1:12">
      <c r="A119" t="s">
        <v>260</v>
      </c>
      <c r="B119" t="s">
        <v>30</v>
      </c>
      <c r="C119" t="s">
        <v>111</v>
      </c>
      <c r="D119">
        <v>2</v>
      </c>
      <c r="E119">
        <v>1.61</v>
      </c>
      <c r="F119">
        <v>-0.3899999999999999</v>
      </c>
      <c r="G119">
        <v>0.3899999999999999</v>
      </c>
      <c r="H119">
        <v>0</v>
      </c>
      <c r="I119">
        <v>1</v>
      </c>
      <c r="J119">
        <v>0</v>
      </c>
      <c r="K119" t="s">
        <v>34</v>
      </c>
      <c r="L119" t="s">
        <v>38</v>
      </c>
    </row>
    <row r="120" spans="1:12">
      <c r="A120" t="s">
        <v>260</v>
      </c>
      <c r="B120" t="s">
        <v>30</v>
      </c>
      <c r="C120" t="s">
        <v>112</v>
      </c>
      <c r="D120">
        <v>2</v>
      </c>
      <c r="E120">
        <v>1.61</v>
      </c>
      <c r="F120">
        <v>-0.3899999999999999</v>
      </c>
      <c r="G120">
        <v>0.3899999999999999</v>
      </c>
      <c r="H120">
        <v>0</v>
      </c>
      <c r="I120">
        <v>1</v>
      </c>
      <c r="J120">
        <v>0</v>
      </c>
      <c r="K120" t="s">
        <v>34</v>
      </c>
      <c r="L120" t="s">
        <v>38</v>
      </c>
    </row>
    <row r="121" spans="1:12">
      <c r="A121" t="s">
        <v>260</v>
      </c>
      <c r="B121" t="s">
        <v>30</v>
      </c>
      <c r="C121" t="s">
        <v>113</v>
      </c>
      <c r="D121">
        <v>2</v>
      </c>
      <c r="E121">
        <v>1.61</v>
      </c>
      <c r="F121">
        <v>-0.3899999999999999</v>
      </c>
      <c r="G121">
        <v>0.3899999999999999</v>
      </c>
      <c r="H121">
        <v>0</v>
      </c>
      <c r="I121">
        <v>1</v>
      </c>
      <c r="J121">
        <v>0</v>
      </c>
      <c r="K121" t="s">
        <v>34</v>
      </c>
      <c r="L121" t="s">
        <v>38</v>
      </c>
    </row>
    <row r="122" spans="1:12">
      <c r="A122" t="s">
        <v>260</v>
      </c>
      <c r="B122" t="s">
        <v>30</v>
      </c>
      <c r="C122" t="s">
        <v>114</v>
      </c>
      <c r="D122">
        <v>2</v>
      </c>
      <c r="E122">
        <v>1.61</v>
      </c>
      <c r="F122">
        <v>-0.3899999999999999</v>
      </c>
      <c r="G122">
        <v>0.3899999999999999</v>
      </c>
      <c r="H122">
        <v>0</v>
      </c>
      <c r="I122">
        <v>1</v>
      </c>
      <c r="J122">
        <v>0</v>
      </c>
      <c r="K122" t="s">
        <v>34</v>
      </c>
      <c r="L122" t="s">
        <v>38</v>
      </c>
    </row>
    <row r="123" spans="1:12">
      <c r="A123" t="s">
        <v>260</v>
      </c>
      <c r="B123" t="s">
        <v>30</v>
      </c>
      <c r="C123" t="s">
        <v>115</v>
      </c>
      <c r="D123">
        <v>1</v>
      </c>
      <c r="E123">
        <v>1.61</v>
      </c>
      <c r="F123">
        <v>0.6100000000000001</v>
      </c>
      <c r="G123">
        <v>0.6100000000000001</v>
      </c>
      <c r="H123">
        <v>0</v>
      </c>
      <c r="I123">
        <v>1</v>
      </c>
      <c r="J123">
        <v>0</v>
      </c>
      <c r="K123" t="s">
        <v>34</v>
      </c>
      <c r="L123" t="s">
        <v>38</v>
      </c>
    </row>
    <row r="124" spans="1:12">
      <c r="A124" t="s">
        <v>260</v>
      </c>
      <c r="B124" t="s">
        <v>30</v>
      </c>
      <c r="C124" t="s">
        <v>116</v>
      </c>
      <c r="D124">
        <v>1</v>
      </c>
      <c r="E124">
        <v>1.61</v>
      </c>
      <c r="F124">
        <v>0.6100000000000001</v>
      </c>
      <c r="G124">
        <v>0.6100000000000001</v>
      </c>
      <c r="H124">
        <v>0</v>
      </c>
      <c r="I124">
        <v>1</v>
      </c>
      <c r="J124">
        <v>0</v>
      </c>
      <c r="K124" t="s">
        <v>34</v>
      </c>
      <c r="L124" t="s">
        <v>38</v>
      </c>
    </row>
    <row r="125" spans="1:12">
      <c r="A125" t="s">
        <v>260</v>
      </c>
      <c r="B125" t="s">
        <v>30</v>
      </c>
      <c r="C125" t="s">
        <v>117</v>
      </c>
      <c r="D125">
        <v>2</v>
      </c>
      <c r="E125">
        <v>1.61</v>
      </c>
      <c r="F125">
        <v>-0.3899999999999999</v>
      </c>
      <c r="G125">
        <v>0.3899999999999999</v>
      </c>
      <c r="H125">
        <v>0</v>
      </c>
      <c r="I125">
        <v>1</v>
      </c>
      <c r="J125">
        <v>0</v>
      </c>
      <c r="K125" t="s">
        <v>34</v>
      </c>
      <c r="L125" t="s">
        <v>38</v>
      </c>
    </row>
    <row r="126" spans="1:12">
      <c r="A126" t="s">
        <v>260</v>
      </c>
      <c r="B126" t="s">
        <v>30</v>
      </c>
      <c r="C126" t="s">
        <v>118</v>
      </c>
      <c r="D126">
        <v>2</v>
      </c>
      <c r="E126">
        <v>1.61</v>
      </c>
      <c r="F126">
        <v>-0.3899999999999999</v>
      </c>
      <c r="G126">
        <v>0.3899999999999999</v>
      </c>
      <c r="H126">
        <v>0</v>
      </c>
      <c r="I126">
        <v>1</v>
      </c>
      <c r="J126">
        <v>0</v>
      </c>
      <c r="K126" t="s">
        <v>34</v>
      </c>
      <c r="L126" t="s">
        <v>38</v>
      </c>
    </row>
    <row r="127" spans="1:12">
      <c r="A127" t="s">
        <v>260</v>
      </c>
      <c r="B127" t="s">
        <v>30</v>
      </c>
      <c r="C127" t="s">
        <v>119</v>
      </c>
      <c r="D127">
        <v>2</v>
      </c>
      <c r="E127">
        <v>1.61</v>
      </c>
      <c r="F127">
        <v>-0.3899999999999999</v>
      </c>
      <c r="G127">
        <v>0.3899999999999999</v>
      </c>
      <c r="H127">
        <v>0</v>
      </c>
      <c r="I127">
        <v>1</v>
      </c>
      <c r="J127">
        <v>0</v>
      </c>
      <c r="K127" t="s">
        <v>34</v>
      </c>
      <c r="L127" t="s">
        <v>44</v>
      </c>
    </row>
    <row r="128" spans="1:12">
      <c r="A128" t="s">
        <v>260</v>
      </c>
      <c r="B128" t="s">
        <v>30</v>
      </c>
      <c r="C128" t="s">
        <v>120</v>
      </c>
      <c r="D128">
        <v>2</v>
      </c>
      <c r="E128">
        <v>1.61</v>
      </c>
      <c r="F128">
        <v>-0.3899999999999999</v>
      </c>
      <c r="G128">
        <v>0.3899999999999999</v>
      </c>
      <c r="H128">
        <v>0</v>
      </c>
      <c r="I128">
        <v>1</v>
      </c>
      <c r="J128">
        <v>0</v>
      </c>
      <c r="K128" t="s">
        <v>34</v>
      </c>
      <c r="L128" t="s">
        <v>44</v>
      </c>
    </row>
    <row r="129" spans="1:12">
      <c r="A129" t="s">
        <v>260</v>
      </c>
      <c r="B129" t="s">
        <v>30</v>
      </c>
      <c r="C129" t="s">
        <v>121</v>
      </c>
      <c r="D129">
        <v>2</v>
      </c>
      <c r="E129">
        <v>0.72</v>
      </c>
      <c r="F129">
        <v>-1.28</v>
      </c>
      <c r="G129">
        <v>1.28</v>
      </c>
      <c r="H129">
        <v>1</v>
      </c>
      <c r="I129">
        <v>0</v>
      </c>
      <c r="J129">
        <v>1</v>
      </c>
      <c r="K129" t="s">
        <v>33</v>
      </c>
      <c r="L129" t="s">
        <v>44</v>
      </c>
    </row>
    <row r="130" spans="1:12">
      <c r="A130" t="s">
        <v>260</v>
      </c>
      <c r="B130" t="s">
        <v>30</v>
      </c>
      <c r="C130" t="s">
        <v>122</v>
      </c>
      <c r="D130">
        <v>2</v>
      </c>
      <c r="E130">
        <v>0.72</v>
      </c>
      <c r="F130">
        <v>-1.28</v>
      </c>
      <c r="G130">
        <v>1.28</v>
      </c>
      <c r="H130">
        <v>1</v>
      </c>
      <c r="I130">
        <v>0</v>
      </c>
      <c r="J130">
        <v>1</v>
      </c>
      <c r="K130" t="s">
        <v>33</v>
      </c>
      <c r="L130" t="s">
        <v>44</v>
      </c>
    </row>
    <row r="131" spans="1:12">
      <c r="A131" t="s">
        <v>260</v>
      </c>
      <c r="B131" t="s">
        <v>30</v>
      </c>
      <c r="C131" t="s">
        <v>123</v>
      </c>
      <c r="D131">
        <v>1</v>
      </c>
      <c r="E131">
        <v>1.08</v>
      </c>
      <c r="F131">
        <v>8.0000000000000071E-2</v>
      </c>
      <c r="G131">
        <v>8.0000000000000071E-2</v>
      </c>
      <c r="H131">
        <v>0</v>
      </c>
      <c r="I131">
        <v>1</v>
      </c>
      <c r="J131">
        <v>0</v>
      </c>
      <c r="K131" t="s">
        <v>34</v>
      </c>
      <c r="L131" t="s">
        <v>44</v>
      </c>
    </row>
    <row r="132" spans="1:12">
      <c r="A132" t="s">
        <v>260</v>
      </c>
      <c r="B132" t="s">
        <v>30</v>
      </c>
      <c r="C132" t="s">
        <v>124</v>
      </c>
      <c r="D132">
        <v>2</v>
      </c>
      <c r="E132">
        <v>1.08</v>
      </c>
      <c r="F132">
        <v>-0.91999999999999993</v>
      </c>
      <c r="G132">
        <v>0.91999999999999993</v>
      </c>
      <c r="H132">
        <v>0</v>
      </c>
      <c r="I132">
        <v>1</v>
      </c>
      <c r="J132">
        <v>0</v>
      </c>
      <c r="K132" t="s">
        <v>34</v>
      </c>
      <c r="L132" t="s">
        <v>45</v>
      </c>
    </row>
    <row r="133" spans="1:12">
      <c r="A133" t="s">
        <v>260</v>
      </c>
      <c r="B133" t="s">
        <v>30</v>
      </c>
      <c r="C133" t="s">
        <v>125</v>
      </c>
      <c r="D133">
        <v>2</v>
      </c>
      <c r="E133">
        <v>2</v>
      </c>
      <c r="F133">
        <v>0</v>
      </c>
      <c r="G133">
        <v>0</v>
      </c>
      <c r="H133">
        <v>0</v>
      </c>
      <c r="I133">
        <v>1</v>
      </c>
      <c r="J133">
        <v>0</v>
      </c>
      <c r="K133" t="s">
        <v>34</v>
      </c>
      <c r="L133" t="s">
        <v>45</v>
      </c>
    </row>
    <row r="134" spans="1:12">
      <c r="A134" t="s">
        <v>260</v>
      </c>
      <c r="B134" t="s">
        <v>30</v>
      </c>
      <c r="C134" t="s">
        <v>126</v>
      </c>
      <c r="D134">
        <v>2</v>
      </c>
      <c r="E134">
        <v>2</v>
      </c>
      <c r="F134">
        <v>0</v>
      </c>
      <c r="G134">
        <v>0</v>
      </c>
      <c r="H134">
        <v>0</v>
      </c>
      <c r="I134">
        <v>1</v>
      </c>
      <c r="J134">
        <v>0</v>
      </c>
      <c r="K134" t="s">
        <v>34</v>
      </c>
      <c r="L134" t="s">
        <v>45</v>
      </c>
    </row>
    <row r="135" spans="1:12">
      <c r="A135" t="s">
        <v>260</v>
      </c>
      <c r="B135" t="s">
        <v>30</v>
      </c>
      <c r="C135" t="s">
        <v>127</v>
      </c>
      <c r="D135">
        <v>2</v>
      </c>
      <c r="E135">
        <v>2</v>
      </c>
      <c r="F135">
        <v>0</v>
      </c>
      <c r="G135">
        <v>0</v>
      </c>
      <c r="H135">
        <v>0</v>
      </c>
      <c r="I135">
        <v>1</v>
      </c>
      <c r="J135">
        <v>0</v>
      </c>
      <c r="K135" t="s">
        <v>34</v>
      </c>
      <c r="L135" t="s">
        <v>45</v>
      </c>
    </row>
    <row r="136" spans="1:12">
      <c r="A136" t="s">
        <v>260</v>
      </c>
      <c r="B136" t="s">
        <v>30</v>
      </c>
      <c r="C136" t="s">
        <v>128</v>
      </c>
      <c r="D136">
        <v>2</v>
      </c>
      <c r="E136">
        <v>2</v>
      </c>
      <c r="F136">
        <v>0</v>
      </c>
      <c r="G136">
        <v>0</v>
      </c>
      <c r="H136">
        <v>0</v>
      </c>
      <c r="I136">
        <v>1</v>
      </c>
      <c r="J136">
        <v>0</v>
      </c>
      <c r="K136" t="s">
        <v>34</v>
      </c>
      <c r="L136" t="s">
        <v>45</v>
      </c>
    </row>
    <row r="137" spans="1:12">
      <c r="A137" t="s">
        <v>260</v>
      </c>
      <c r="B137" t="s">
        <v>30</v>
      </c>
      <c r="C137" t="s">
        <v>129</v>
      </c>
      <c r="D137">
        <v>2</v>
      </c>
      <c r="E137">
        <v>2</v>
      </c>
      <c r="F137">
        <v>0</v>
      </c>
      <c r="G137">
        <v>0</v>
      </c>
      <c r="H137">
        <v>0</v>
      </c>
      <c r="I137">
        <v>1</v>
      </c>
      <c r="J137">
        <v>0</v>
      </c>
      <c r="K137" t="s">
        <v>34</v>
      </c>
      <c r="L137" t="s">
        <v>46</v>
      </c>
    </row>
    <row r="138" spans="1:12">
      <c r="A138" t="s">
        <v>260</v>
      </c>
      <c r="B138" t="s">
        <v>30</v>
      </c>
      <c r="C138" t="s">
        <v>130</v>
      </c>
      <c r="D138">
        <v>2</v>
      </c>
      <c r="E138">
        <v>2</v>
      </c>
      <c r="F138">
        <v>0</v>
      </c>
      <c r="G138">
        <v>0</v>
      </c>
      <c r="H138">
        <v>0</v>
      </c>
      <c r="I138">
        <v>1</v>
      </c>
      <c r="J138">
        <v>0</v>
      </c>
      <c r="K138" t="s">
        <v>34</v>
      </c>
      <c r="L138" t="s">
        <v>46</v>
      </c>
    </row>
    <row r="139" spans="1:12">
      <c r="A139" t="s">
        <v>260</v>
      </c>
      <c r="B139" t="s">
        <v>30</v>
      </c>
      <c r="C139" t="s">
        <v>131</v>
      </c>
      <c r="D139">
        <v>2</v>
      </c>
      <c r="E139">
        <v>1.61</v>
      </c>
      <c r="F139">
        <v>-0.3899999999999999</v>
      </c>
      <c r="G139">
        <v>0.3899999999999999</v>
      </c>
      <c r="H139">
        <v>0</v>
      </c>
      <c r="I139">
        <v>1</v>
      </c>
      <c r="J139">
        <v>0</v>
      </c>
      <c r="K139" t="s">
        <v>34</v>
      </c>
      <c r="L139" t="s">
        <v>46</v>
      </c>
    </row>
    <row r="140" spans="1:12">
      <c r="A140" t="s">
        <v>260</v>
      </c>
      <c r="B140" t="s">
        <v>30</v>
      </c>
      <c r="C140" t="s">
        <v>132</v>
      </c>
      <c r="D140">
        <v>1</v>
      </c>
      <c r="E140">
        <v>1.61</v>
      </c>
      <c r="F140">
        <v>0.6100000000000001</v>
      </c>
      <c r="G140">
        <v>0.6100000000000001</v>
      </c>
      <c r="H140">
        <v>0</v>
      </c>
      <c r="I140">
        <v>1</v>
      </c>
      <c r="J140">
        <v>0</v>
      </c>
      <c r="K140" t="s">
        <v>34</v>
      </c>
      <c r="L140" t="s">
        <v>46</v>
      </c>
    </row>
    <row r="141" spans="1:12">
      <c r="A141" t="s">
        <v>260</v>
      </c>
      <c r="B141" t="s">
        <v>30</v>
      </c>
      <c r="C141" t="s">
        <v>133</v>
      </c>
      <c r="D141">
        <v>1</v>
      </c>
      <c r="E141">
        <v>1.61</v>
      </c>
      <c r="F141">
        <v>0.6100000000000001</v>
      </c>
      <c r="G141">
        <v>0.6100000000000001</v>
      </c>
      <c r="H141">
        <v>0</v>
      </c>
      <c r="I141">
        <v>1</v>
      </c>
      <c r="J141">
        <v>0</v>
      </c>
      <c r="K141" t="s">
        <v>34</v>
      </c>
      <c r="L141" t="s">
        <v>46</v>
      </c>
    </row>
    <row r="142" spans="1:12">
      <c r="A142" t="s">
        <v>260</v>
      </c>
      <c r="B142" t="s">
        <v>30</v>
      </c>
      <c r="C142" t="s">
        <v>134</v>
      </c>
      <c r="D142">
        <v>2</v>
      </c>
      <c r="E142">
        <v>1.61</v>
      </c>
      <c r="F142">
        <v>-0.3899999999999999</v>
      </c>
      <c r="G142">
        <v>0.3899999999999999</v>
      </c>
      <c r="H142">
        <v>0</v>
      </c>
      <c r="I142">
        <v>1</v>
      </c>
      <c r="J142">
        <v>0</v>
      </c>
      <c r="K142" t="s">
        <v>34</v>
      </c>
      <c r="L142" t="s">
        <v>47</v>
      </c>
    </row>
    <row r="143" spans="1:12">
      <c r="A143" t="s">
        <v>260</v>
      </c>
      <c r="B143" t="s">
        <v>30</v>
      </c>
      <c r="C143" t="s">
        <v>135</v>
      </c>
      <c r="D143">
        <v>2</v>
      </c>
      <c r="E143">
        <v>1.61</v>
      </c>
      <c r="F143">
        <v>-0.3899999999999999</v>
      </c>
      <c r="G143">
        <v>0.3899999999999999</v>
      </c>
      <c r="H143">
        <v>0</v>
      </c>
      <c r="I143">
        <v>1</v>
      </c>
      <c r="J143">
        <v>0</v>
      </c>
      <c r="K143" t="s">
        <v>34</v>
      </c>
      <c r="L143" t="s">
        <v>47</v>
      </c>
    </row>
    <row r="144" spans="1:12">
      <c r="A144" t="s">
        <v>260</v>
      </c>
      <c r="B144" t="s">
        <v>30</v>
      </c>
      <c r="C144" t="s">
        <v>136</v>
      </c>
      <c r="D144">
        <v>2</v>
      </c>
      <c r="E144">
        <v>1.61</v>
      </c>
      <c r="F144">
        <v>-0.3899999999999999</v>
      </c>
      <c r="G144">
        <v>0.3899999999999999</v>
      </c>
      <c r="H144">
        <v>0</v>
      </c>
      <c r="I144">
        <v>1</v>
      </c>
      <c r="J144">
        <v>0</v>
      </c>
      <c r="K144" t="s">
        <v>34</v>
      </c>
      <c r="L144" t="s">
        <v>47</v>
      </c>
    </row>
    <row r="145" spans="1:12">
      <c r="A145" t="s">
        <v>260</v>
      </c>
      <c r="B145" t="s">
        <v>30</v>
      </c>
      <c r="C145" t="s">
        <v>137</v>
      </c>
      <c r="D145">
        <v>2</v>
      </c>
      <c r="E145">
        <v>0.72</v>
      </c>
      <c r="F145">
        <v>-1.28</v>
      </c>
      <c r="G145">
        <v>1.28</v>
      </c>
      <c r="H145">
        <v>1</v>
      </c>
      <c r="I145">
        <v>0</v>
      </c>
      <c r="J145">
        <v>1</v>
      </c>
      <c r="K145" t="s">
        <v>33</v>
      </c>
      <c r="L145" t="s">
        <v>47</v>
      </c>
    </row>
    <row r="146" spans="1:12">
      <c r="A146" t="s">
        <v>260</v>
      </c>
      <c r="B146" t="s">
        <v>30</v>
      </c>
      <c r="C146" t="s">
        <v>138</v>
      </c>
      <c r="D146">
        <v>2</v>
      </c>
      <c r="E146">
        <v>0.72</v>
      </c>
      <c r="F146">
        <v>-1.28</v>
      </c>
      <c r="G146">
        <v>1.28</v>
      </c>
      <c r="H146">
        <v>1</v>
      </c>
      <c r="I146">
        <v>0</v>
      </c>
      <c r="J146">
        <v>1</v>
      </c>
      <c r="K146" t="s">
        <v>33</v>
      </c>
      <c r="L146" t="s">
        <v>47</v>
      </c>
    </row>
    <row r="147" spans="1:12">
      <c r="A147" t="s">
        <v>260</v>
      </c>
      <c r="B147" t="s">
        <v>30</v>
      </c>
      <c r="C147" t="s">
        <v>139</v>
      </c>
      <c r="D147">
        <v>2</v>
      </c>
      <c r="E147">
        <v>1.61</v>
      </c>
      <c r="F147">
        <v>-0.3899999999999999</v>
      </c>
      <c r="G147">
        <v>0.3899999999999999</v>
      </c>
      <c r="H147">
        <v>0</v>
      </c>
      <c r="I147">
        <v>1</v>
      </c>
      <c r="J147">
        <v>0</v>
      </c>
      <c r="K147" t="s">
        <v>34</v>
      </c>
      <c r="L147" t="s">
        <v>42</v>
      </c>
    </row>
    <row r="148" spans="1:12">
      <c r="A148" t="s">
        <v>260</v>
      </c>
      <c r="B148" t="s">
        <v>30</v>
      </c>
      <c r="C148" t="s">
        <v>140</v>
      </c>
      <c r="D148">
        <v>1</v>
      </c>
      <c r="E148">
        <v>1.61</v>
      </c>
      <c r="F148">
        <v>0.6100000000000001</v>
      </c>
      <c r="G148">
        <v>0.6100000000000001</v>
      </c>
      <c r="H148">
        <v>0</v>
      </c>
      <c r="I148">
        <v>1</v>
      </c>
      <c r="J148">
        <v>0</v>
      </c>
      <c r="K148" t="s">
        <v>34</v>
      </c>
      <c r="L148" t="s">
        <v>42</v>
      </c>
    </row>
    <row r="149" spans="1:12">
      <c r="A149" t="s">
        <v>260</v>
      </c>
      <c r="B149" t="s">
        <v>30</v>
      </c>
      <c r="C149" t="s">
        <v>141</v>
      </c>
      <c r="D149">
        <v>2</v>
      </c>
      <c r="E149">
        <v>1.61</v>
      </c>
      <c r="F149">
        <v>-0.3899999999999999</v>
      </c>
      <c r="G149">
        <v>0.3899999999999999</v>
      </c>
      <c r="H149">
        <v>0</v>
      </c>
      <c r="I149">
        <v>1</v>
      </c>
      <c r="J149">
        <v>0</v>
      </c>
      <c r="K149" t="s">
        <v>34</v>
      </c>
      <c r="L149" t="s">
        <v>42</v>
      </c>
    </row>
    <row r="150" spans="1:12">
      <c r="A150" t="s">
        <v>260</v>
      </c>
      <c r="B150" t="s">
        <v>30</v>
      </c>
      <c r="C150" t="s">
        <v>142</v>
      </c>
      <c r="D150">
        <v>3</v>
      </c>
      <c r="E150">
        <v>1.61</v>
      </c>
      <c r="F150">
        <v>-1.39</v>
      </c>
      <c r="G150">
        <v>1.39</v>
      </c>
      <c r="H150">
        <v>1</v>
      </c>
      <c r="I150">
        <v>0</v>
      </c>
      <c r="J150">
        <v>1</v>
      </c>
      <c r="K150" t="s">
        <v>33</v>
      </c>
      <c r="L150" t="s">
        <v>42</v>
      </c>
    </row>
    <row r="151" spans="1:12">
      <c r="A151" t="s">
        <v>260</v>
      </c>
      <c r="B151" t="s">
        <v>30</v>
      </c>
      <c r="C151" t="s">
        <v>143</v>
      </c>
      <c r="D151">
        <v>4</v>
      </c>
      <c r="E151">
        <v>1.61</v>
      </c>
      <c r="F151">
        <v>-2.3899999999999997</v>
      </c>
      <c r="G151">
        <v>2.3899999999999997</v>
      </c>
      <c r="H151">
        <v>1</v>
      </c>
      <c r="I151">
        <v>0</v>
      </c>
      <c r="J151">
        <v>1</v>
      </c>
      <c r="K151" t="s">
        <v>36</v>
      </c>
      <c r="L151" t="s">
        <v>42</v>
      </c>
    </row>
    <row r="152" spans="1:12">
      <c r="A152" t="s">
        <v>260</v>
      </c>
      <c r="B152" t="s">
        <v>30</v>
      </c>
      <c r="C152" t="s">
        <v>144</v>
      </c>
      <c r="D152">
        <v>4</v>
      </c>
      <c r="E152">
        <v>1.61</v>
      </c>
      <c r="F152">
        <v>-2.3899999999999997</v>
      </c>
      <c r="G152">
        <v>2.3899999999999997</v>
      </c>
      <c r="H152">
        <v>1</v>
      </c>
      <c r="I152">
        <v>0</v>
      </c>
      <c r="J152">
        <v>1</v>
      </c>
      <c r="K152" t="s">
        <v>36</v>
      </c>
      <c r="L152" t="s">
        <v>43</v>
      </c>
    </row>
    <row r="153" spans="1:12">
      <c r="A153" t="s">
        <v>260</v>
      </c>
      <c r="B153" t="s">
        <v>30</v>
      </c>
      <c r="C153" t="s">
        <v>145</v>
      </c>
      <c r="D153">
        <v>4</v>
      </c>
      <c r="E153">
        <v>1.61</v>
      </c>
      <c r="F153">
        <v>-2.3899999999999997</v>
      </c>
      <c r="G153">
        <v>2.3899999999999997</v>
      </c>
      <c r="H153">
        <v>1</v>
      </c>
      <c r="I153">
        <v>0</v>
      </c>
      <c r="J153">
        <v>1</v>
      </c>
      <c r="K153" t="s">
        <v>36</v>
      </c>
      <c r="L153" t="s">
        <v>43</v>
      </c>
    </row>
    <row r="154" spans="1:12">
      <c r="A154" t="s">
        <v>260</v>
      </c>
      <c r="B154" t="s">
        <v>30</v>
      </c>
      <c r="C154" t="s">
        <v>146</v>
      </c>
      <c r="D154">
        <v>4</v>
      </c>
      <c r="E154">
        <v>1.61</v>
      </c>
      <c r="F154">
        <v>-2.3899999999999997</v>
      </c>
      <c r="G154">
        <v>2.3899999999999997</v>
      </c>
      <c r="H154">
        <v>1</v>
      </c>
      <c r="I154">
        <v>0</v>
      </c>
      <c r="J154">
        <v>1</v>
      </c>
      <c r="K154" t="s">
        <v>36</v>
      </c>
      <c r="L154" t="s">
        <v>43</v>
      </c>
    </row>
    <row r="155" spans="1:12">
      <c r="A155" t="s">
        <v>260</v>
      </c>
      <c r="B155" t="s">
        <v>30</v>
      </c>
      <c r="C155" t="s">
        <v>147</v>
      </c>
      <c r="D155">
        <v>4</v>
      </c>
      <c r="E155">
        <v>1.61</v>
      </c>
      <c r="F155">
        <v>-2.3899999999999997</v>
      </c>
      <c r="G155">
        <v>2.3899999999999997</v>
      </c>
      <c r="H155">
        <v>1</v>
      </c>
      <c r="I155">
        <v>0</v>
      </c>
      <c r="J155">
        <v>1</v>
      </c>
      <c r="K155" t="s">
        <v>36</v>
      </c>
      <c r="L155" t="s">
        <v>43</v>
      </c>
    </row>
    <row r="156" spans="1:12">
      <c r="A156" t="s">
        <v>260</v>
      </c>
      <c r="B156" t="s">
        <v>30</v>
      </c>
      <c r="C156" t="s">
        <v>148</v>
      </c>
      <c r="D156">
        <v>5</v>
      </c>
      <c r="E156">
        <v>1.61</v>
      </c>
      <c r="F156">
        <v>-3.3899999999999997</v>
      </c>
      <c r="G156">
        <v>3.3899999999999997</v>
      </c>
      <c r="H156">
        <v>1</v>
      </c>
      <c r="I156">
        <v>0</v>
      </c>
      <c r="J156">
        <v>1</v>
      </c>
      <c r="K156" t="s">
        <v>36</v>
      </c>
      <c r="L156" t="s">
        <v>43</v>
      </c>
    </row>
    <row r="157" spans="1:12">
      <c r="A157" t="s">
        <v>260</v>
      </c>
      <c r="B157" t="s">
        <v>30</v>
      </c>
      <c r="C157" t="s">
        <v>149</v>
      </c>
      <c r="D157">
        <v>5</v>
      </c>
      <c r="E157">
        <v>1.61</v>
      </c>
      <c r="F157">
        <v>-3.3899999999999997</v>
      </c>
      <c r="G157">
        <v>3.3899999999999997</v>
      </c>
      <c r="H157">
        <v>1</v>
      </c>
      <c r="I157">
        <v>0</v>
      </c>
      <c r="J157">
        <v>1</v>
      </c>
      <c r="K157" t="s">
        <v>36</v>
      </c>
      <c r="L157" t="s">
        <v>48</v>
      </c>
    </row>
    <row r="158" spans="1:12">
      <c r="A158" t="s">
        <v>260</v>
      </c>
      <c r="B158" t="s">
        <v>30</v>
      </c>
      <c r="C158" t="s">
        <v>150</v>
      </c>
      <c r="D158">
        <v>5</v>
      </c>
      <c r="E158">
        <v>1.61</v>
      </c>
      <c r="F158">
        <v>-3.3899999999999997</v>
      </c>
      <c r="G158">
        <v>3.3899999999999997</v>
      </c>
      <c r="H158">
        <v>1</v>
      </c>
      <c r="I158">
        <v>0</v>
      </c>
      <c r="J158">
        <v>1</v>
      </c>
      <c r="K158" t="s">
        <v>36</v>
      </c>
      <c r="L158" t="s">
        <v>48</v>
      </c>
    </row>
    <row r="159" spans="1:12">
      <c r="A159" t="s">
        <v>260</v>
      </c>
      <c r="B159" t="s">
        <v>30</v>
      </c>
      <c r="C159" t="s">
        <v>151</v>
      </c>
      <c r="D159">
        <v>5</v>
      </c>
      <c r="E159">
        <v>1.61</v>
      </c>
      <c r="F159">
        <v>-3.3899999999999997</v>
      </c>
      <c r="G159">
        <v>3.3899999999999997</v>
      </c>
      <c r="H159">
        <v>1</v>
      </c>
      <c r="I159">
        <v>0</v>
      </c>
      <c r="J159">
        <v>1</v>
      </c>
      <c r="K159" t="s">
        <v>36</v>
      </c>
      <c r="L159" t="s">
        <v>48</v>
      </c>
    </row>
    <row r="160" spans="1:12">
      <c r="A160" t="s">
        <v>260</v>
      </c>
      <c r="B160" t="s">
        <v>30</v>
      </c>
      <c r="C160" t="s">
        <v>152</v>
      </c>
      <c r="D160">
        <v>5</v>
      </c>
      <c r="E160">
        <v>1.61</v>
      </c>
      <c r="F160">
        <v>-3.3899999999999997</v>
      </c>
      <c r="G160">
        <v>3.3899999999999997</v>
      </c>
      <c r="H160">
        <v>1</v>
      </c>
      <c r="I160">
        <v>0</v>
      </c>
      <c r="J160">
        <v>1</v>
      </c>
      <c r="K160" t="s">
        <v>36</v>
      </c>
      <c r="L160" t="s">
        <v>48</v>
      </c>
    </row>
    <row r="161" spans="1:12">
      <c r="A161" t="s">
        <v>260</v>
      </c>
      <c r="B161" t="s">
        <v>30</v>
      </c>
      <c r="C161" t="s">
        <v>153</v>
      </c>
      <c r="D161">
        <v>5</v>
      </c>
      <c r="E161">
        <v>1.61</v>
      </c>
      <c r="F161">
        <v>-3.3899999999999997</v>
      </c>
      <c r="G161">
        <v>3.3899999999999997</v>
      </c>
      <c r="H161">
        <v>1</v>
      </c>
      <c r="I161">
        <v>0</v>
      </c>
      <c r="J161">
        <v>1</v>
      </c>
      <c r="K161" t="s">
        <v>36</v>
      </c>
      <c r="L161" t="s">
        <v>48</v>
      </c>
    </row>
    <row r="162" spans="1:12">
      <c r="A162" t="s">
        <v>252</v>
      </c>
      <c r="B162" t="s">
        <v>28</v>
      </c>
      <c r="C162" t="s">
        <v>76</v>
      </c>
      <c r="D162">
        <v>1</v>
      </c>
      <c r="E162">
        <v>0.18</v>
      </c>
      <c r="F162">
        <v>-0.82000000000000006</v>
      </c>
      <c r="G162">
        <v>0.82000000000000006</v>
      </c>
      <c r="H162">
        <v>0</v>
      </c>
      <c r="I162">
        <v>1</v>
      </c>
      <c r="J162">
        <v>0</v>
      </c>
      <c r="K162" t="s">
        <v>34</v>
      </c>
      <c r="L162" t="s">
        <v>49</v>
      </c>
    </row>
    <row r="163" spans="1:12">
      <c r="A163" t="s">
        <v>252</v>
      </c>
      <c r="B163" t="s">
        <v>28</v>
      </c>
      <c r="C163" t="s">
        <v>77</v>
      </c>
      <c r="D163">
        <v>5</v>
      </c>
      <c r="E163">
        <v>5</v>
      </c>
      <c r="F163">
        <v>0</v>
      </c>
      <c r="G163">
        <v>0</v>
      </c>
      <c r="H163">
        <v>0</v>
      </c>
      <c r="I163">
        <v>1</v>
      </c>
      <c r="J163">
        <v>0</v>
      </c>
      <c r="K163" t="s">
        <v>34</v>
      </c>
      <c r="L163" t="s">
        <v>49</v>
      </c>
    </row>
    <row r="164" spans="1:12">
      <c r="A164" t="s">
        <v>252</v>
      </c>
      <c r="B164" t="s">
        <v>28</v>
      </c>
      <c r="C164" t="s">
        <v>78</v>
      </c>
      <c r="D164">
        <v>2</v>
      </c>
      <c r="E164">
        <v>5</v>
      </c>
      <c r="F164">
        <v>3</v>
      </c>
      <c r="G164">
        <v>3</v>
      </c>
      <c r="H164">
        <v>0</v>
      </c>
      <c r="I164">
        <v>1</v>
      </c>
      <c r="J164">
        <v>1</v>
      </c>
      <c r="K164" t="s">
        <v>35</v>
      </c>
      <c r="L164" t="s">
        <v>49</v>
      </c>
    </row>
    <row r="165" spans="1:12">
      <c r="A165" t="s">
        <v>252</v>
      </c>
      <c r="B165" t="s">
        <v>28</v>
      </c>
      <c r="C165" t="s">
        <v>79</v>
      </c>
      <c r="D165">
        <v>5</v>
      </c>
      <c r="E165">
        <v>0.47</v>
      </c>
      <c r="F165">
        <v>-4.53</v>
      </c>
      <c r="G165">
        <v>4.53</v>
      </c>
      <c r="H165">
        <v>1</v>
      </c>
      <c r="I165">
        <v>0</v>
      </c>
      <c r="J165">
        <v>1</v>
      </c>
      <c r="K165" t="s">
        <v>36</v>
      </c>
      <c r="L165" t="s">
        <v>49</v>
      </c>
    </row>
    <row r="166" spans="1:12">
      <c r="A166" t="s">
        <v>252</v>
      </c>
      <c r="B166" t="s">
        <v>28</v>
      </c>
      <c r="C166" t="s">
        <v>80</v>
      </c>
      <c r="D166">
        <v>5</v>
      </c>
      <c r="E166">
        <v>0.47</v>
      </c>
      <c r="F166">
        <v>-4.53</v>
      </c>
      <c r="G166">
        <v>4.53</v>
      </c>
      <c r="H166">
        <v>1</v>
      </c>
      <c r="I166">
        <v>0</v>
      </c>
      <c r="J166">
        <v>1</v>
      </c>
      <c r="K166" t="s">
        <v>36</v>
      </c>
      <c r="L166" t="s">
        <v>49</v>
      </c>
    </row>
    <row r="167" spans="1:12">
      <c r="A167" t="s">
        <v>252</v>
      </c>
      <c r="B167" t="s">
        <v>28</v>
      </c>
      <c r="C167" t="s">
        <v>81</v>
      </c>
      <c r="D167">
        <v>5</v>
      </c>
      <c r="E167">
        <v>5</v>
      </c>
      <c r="F167">
        <v>0</v>
      </c>
      <c r="G167">
        <v>0</v>
      </c>
      <c r="H167">
        <v>0</v>
      </c>
      <c r="I167">
        <v>1</v>
      </c>
      <c r="J167">
        <v>0</v>
      </c>
      <c r="K167" t="s">
        <v>34</v>
      </c>
      <c r="L167" t="s">
        <v>49</v>
      </c>
    </row>
    <row r="168" spans="1:12">
      <c r="A168" t="s">
        <v>252</v>
      </c>
      <c r="B168" t="s">
        <v>28</v>
      </c>
      <c r="C168" t="s">
        <v>82</v>
      </c>
      <c r="D168">
        <v>5</v>
      </c>
      <c r="E168">
        <v>5</v>
      </c>
      <c r="F168">
        <v>0</v>
      </c>
      <c r="G168">
        <v>0</v>
      </c>
      <c r="H168">
        <v>0</v>
      </c>
      <c r="I168">
        <v>1</v>
      </c>
      <c r="J168">
        <v>0</v>
      </c>
      <c r="K168" t="s">
        <v>34</v>
      </c>
      <c r="L168" t="s">
        <v>49</v>
      </c>
    </row>
    <row r="169" spans="1:12">
      <c r="A169" t="s">
        <v>252</v>
      </c>
      <c r="B169" t="s">
        <v>28</v>
      </c>
      <c r="C169" t="s">
        <v>83</v>
      </c>
      <c r="D169">
        <v>4</v>
      </c>
      <c r="E169">
        <v>5</v>
      </c>
      <c r="F169">
        <v>1</v>
      </c>
      <c r="G169">
        <v>1</v>
      </c>
      <c r="H169">
        <v>0</v>
      </c>
      <c r="I169">
        <v>1</v>
      </c>
      <c r="J169">
        <v>1</v>
      </c>
      <c r="K169" t="s">
        <v>37</v>
      </c>
      <c r="L169" t="s">
        <v>49</v>
      </c>
    </row>
    <row r="170" spans="1:12">
      <c r="A170" t="s">
        <v>252</v>
      </c>
      <c r="B170" t="s">
        <v>28</v>
      </c>
      <c r="C170" t="s">
        <v>84</v>
      </c>
      <c r="D170">
        <v>4</v>
      </c>
      <c r="E170">
        <v>5</v>
      </c>
      <c r="F170">
        <v>1</v>
      </c>
      <c r="G170">
        <v>1</v>
      </c>
      <c r="H170">
        <v>0</v>
      </c>
      <c r="I170">
        <v>1</v>
      </c>
      <c r="J170">
        <v>1</v>
      </c>
      <c r="K170" t="s">
        <v>37</v>
      </c>
      <c r="L170" t="s">
        <v>49</v>
      </c>
    </row>
    <row r="171" spans="1:12">
      <c r="A171" t="s">
        <v>252</v>
      </c>
      <c r="B171" t="s">
        <v>28</v>
      </c>
      <c r="C171" t="s">
        <v>85</v>
      </c>
      <c r="D171">
        <v>4</v>
      </c>
      <c r="E171">
        <v>5</v>
      </c>
      <c r="F171">
        <v>1</v>
      </c>
      <c r="G171">
        <v>1</v>
      </c>
      <c r="H171">
        <v>0</v>
      </c>
      <c r="I171">
        <v>1</v>
      </c>
      <c r="J171">
        <v>1</v>
      </c>
      <c r="K171" t="s">
        <v>37</v>
      </c>
      <c r="L171" t="s">
        <v>49</v>
      </c>
    </row>
    <row r="172" spans="1:12">
      <c r="A172" t="s">
        <v>252</v>
      </c>
      <c r="B172" t="s">
        <v>28</v>
      </c>
      <c r="C172" t="s">
        <v>86</v>
      </c>
      <c r="D172">
        <v>4</v>
      </c>
      <c r="E172">
        <v>5</v>
      </c>
      <c r="F172">
        <v>1</v>
      </c>
      <c r="G172">
        <v>1</v>
      </c>
      <c r="H172">
        <v>0</v>
      </c>
      <c r="I172">
        <v>1</v>
      </c>
      <c r="J172">
        <v>1</v>
      </c>
      <c r="K172" t="s">
        <v>37</v>
      </c>
      <c r="L172" t="s">
        <v>50</v>
      </c>
    </row>
    <row r="173" spans="1:12">
      <c r="A173" t="s">
        <v>252</v>
      </c>
      <c r="B173" t="s">
        <v>28</v>
      </c>
      <c r="C173" t="s">
        <v>87</v>
      </c>
      <c r="D173">
        <v>4</v>
      </c>
      <c r="E173">
        <v>5</v>
      </c>
      <c r="F173">
        <v>1</v>
      </c>
      <c r="G173">
        <v>1</v>
      </c>
      <c r="H173">
        <v>0</v>
      </c>
      <c r="I173">
        <v>1</v>
      </c>
      <c r="J173">
        <v>1</v>
      </c>
      <c r="K173" t="s">
        <v>37</v>
      </c>
      <c r="L173" t="s">
        <v>50</v>
      </c>
    </row>
    <row r="174" spans="1:12">
      <c r="A174" t="s">
        <v>252</v>
      </c>
      <c r="B174" t="s">
        <v>28</v>
      </c>
      <c r="C174" t="s">
        <v>88</v>
      </c>
      <c r="D174">
        <v>3</v>
      </c>
      <c r="E174">
        <v>5</v>
      </c>
      <c r="F174">
        <v>2</v>
      </c>
      <c r="G174">
        <v>2</v>
      </c>
      <c r="H174">
        <v>0</v>
      </c>
      <c r="I174">
        <v>1</v>
      </c>
      <c r="J174">
        <v>1</v>
      </c>
      <c r="K174" t="s">
        <v>35</v>
      </c>
      <c r="L174" t="s">
        <v>50</v>
      </c>
    </row>
    <row r="175" spans="1:12">
      <c r="A175" t="s">
        <v>252</v>
      </c>
      <c r="B175" t="s">
        <v>28</v>
      </c>
      <c r="C175" t="s">
        <v>89</v>
      </c>
      <c r="D175">
        <v>3</v>
      </c>
      <c r="E175">
        <v>2.69</v>
      </c>
      <c r="F175">
        <v>-0.31000000000000005</v>
      </c>
      <c r="G175">
        <v>0.31000000000000005</v>
      </c>
      <c r="H175">
        <v>0</v>
      </c>
      <c r="I175">
        <v>1</v>
      </c>
      <c r="J175">
        <v>0</v>
      </c>
      <c r="K175" t="s">
        <v>34</v>
      </c>
      <c r="L175" t="s">
        <v>50</v>
      </c>
    </row>
    <row r="176" spans="1:12">
      <c r="A176" t="s">
        <v>252</v>
      </c>
      <c r="B176" t="s">
        <v>28</v>
      </c>
      <c r="C176" t="s">
        <v>90</v>
      </c>
      <c r="D176">
        <v>3</v>
      </c>
      <c r="E176">
        <v>2.69</v>
      </c>
      <c r="F176">
        <v>-0.31000000000000005</v>
      </c>
      <c r="G176">
        <v>0.31000000000000005</v>
      </c>
      <c r="H176">
        <v>0</v>
      </c>
      <c r="I176">
        <v>1</v>
      </c>
      <c r="J176">
        <v>0</v>
      </c>
      <c r="K176" t="s">
        <v>34</v>
      </c>
      <c r="L176" t="s">
        <v>50</v>
      </c>
    </row>
    <row r="177" spans="1:12">
      <c r="A177" t="s">
        <v>252</v>
      </c>
      <c r="B177" t="s">
        <v>28</v>
      </c>
      <c r="C177" t="s">
        <v>91</v>
      </c>
      <c r="D177">
        <v>3</v>
      </c>
      <c r="E177">
        <v>2.69</v>
      </c>
      <c r="F177">
        <v>-0.31000000000000005</v>
      </c>
      <c r="G177">
        <v>0.31000000000000005</v>
      </c>
      <c r="H177">
        <v>0</v>
      </c>
      <c r="I177">
        <v>1</v>
      </c>
      <c r="J177">
        <v>0</v>
      </c>
      <c r="K177" t="s">
        <v>34</v>
      </c>
      <c r="L177" t="s">
        <v>50</v>
      </c>
    </row>
    <row r="178" spans="1:12">
      <c r="A178" t="s">
        <v>252</v>
      </c>
      <c r="B178" t="s">
        <v>28</v>
      </c>
      <c r="C178" t="s">
        <v>92</v>
      </c>
      <c r="D178">
        <v>3</v>
      </c>
      <c r="E178">
        <v>2.69</v>
      </c>
      <c r="F178">
        <v>-0.31000000000000005</v>
      </c>
      <c r="G178">
        <v>0.31000000000000005</v>
      </c>
      <c r="H178">
        <v>0</v>
      </c>
      <c r="I178">
        <v>1</v>
      </c>
      <c r="J178">
        <v>0</v>
      </c>
      <c r="K178" t="s">
        <v>34</v>
      </c>
      <c r="L178" t="s">
        <v>50</v>
      </c>
    </row>
    <row r="179" spans="1:12">
      <c r="A179" t="s">
        <v>252</v>
      </c>
      <c r="B179" t="s">
        <v>28</v>
      </c>
      <c r="C179" t="s">
        <v>93</v>
      </c>
      <c r="D179">
        <v>3</v>
      </c>
      <c r="E179">
        <v>2.69</v>
      </c>
      <c r="F179">
        <v>-0.31000000000000005</v>
      </c>
      <c r="G179">
        <v>0.31000000000000005</v>
      </c>
      <c r="H179">
        <v>0</v>
      </c>
      <c r="I179">
        <v>1</v>
      </c>
      <c r="J179">
        <v>0</v>
      </c>
      <c r="K179" t="s">
        <v>34</v>
      </c>
      <c r="L179" t="s">
        <v>50</v>
      </c>
    </row>
    <row r="180" spans="1:12">
      <c r="A180" t="s">
        <v>252</v>
      </c>
      <c r="B180" t="s">
        <v>28</v>
      </c>
      <c r="C180" t="s">
        <v>94</v>
      </c>
      <c r="D180">
        <v>2</v>
      </c>
      <c r="E180">
        <v>2.69</v>
      </c>
      <c r="F180">
        <v>0.69</v>
      </c>
      <c r="G180">
        <v>0.69</v>
      </c>
      <c r="H180">
        <v>0</v>
      </c>
      <c r="I180">
        <v>1</v>
      </c>
      <c r="J180">
        <v>0</v>
      </c>
      <c r="K180" t="s">
        <v>34</v>
      </c>
      <c r="L180" t="s">
        <v>50</v>
      </c>
    </row>
    <row r="181" spans="1:12">
      <c r="A181" t="s">
        <v>252</v>
      </c>
      <c r="B181" t="s">
        <v>28</v>
      </c>
      <c r="C181" t="s">
        <v>95</v>
      </c>
      <c r="D181">
        <v>2</v>
      </c>
      <c r="E181">
        <v>2.69</v>
      </c>
      <c r="F181">
        <v>0.69</v>
      </c>
      <c r="G181">
        <v>0.69</v>
      </c>
      <c r="H181">
        <v>0</v>
      </c>
      <c r="I181">
        <v>1</v>
      </c>
      <c r="J181">
        <v>0</v>
      </c>
      <c r="K181" t="s">
        <v>34</v>
      </c>
      <c r="L181" t="s">
        <v>50</v>
      </c>
    </row>
    <row r="182" spans="1:12">
      <c r="A182" t="s">
        <v>252</v>
      </c>
      <c r="B182" t="s">
        <v>28</v>
      </c>
      <c r="C182" t="s">
        <v>96</v>
      </c>
      <c r="D182">
        <v>2</v>
      </c>
      <c r="E182">
        <v>2.69</v>
      </c>
      <c r="F182">
        <v>0.69</v>
      </c>
      <c r="G182">
        <v>0.69</v>
      </c>
      <c r="H182">
        <v>0</v>
      </c>
      <c r="I182">
        <v>1</v>
      </c>
      <c r="J182">
        <v>0</v>
      </c>
      <c r="K182" t="s">
        <v>34</v>
      </c>
      <c r="L182" t="s">
        <v>40</v>
      </c>
    </row>
    <row r="183" spans="1:12">
      <c r="A183" t="s">
        <v>252</v>
      </c>
      <c r="B183" t="s">
        <v>28</v>
      </c>
      <c r="C183" t="s">
        <v>31</v>
      </c>
      <c r="D183">
        <v>2</v>
      </c>
      <c r="E183">
        <v>2.69</v>
      </c>
      <c r="F183">
        <v>0.69</v>
      </c>
      <c r="G183">
        <v>0.69</v>
      </c>
      <c r="H183">
        <v>0</v>
      </c>
      <c r="I183">
        <v>1</v>
      </c>
      <c r="J183">
        <v>0</v>
      </c>
      <c r="K183" t="s">
        <v>34</v>
      </c>
      <c r="L183" t="s">
        <v>40</v>
      </c>
    </row>
    <row r="184" spans="1:12">
      <c r="A184" t="s">
        <v>252</v>
      </c>
      <c r="B184" t="s">
        <v>28</v>
      </c>
      <c r="C184" t="s">
        <v>30</v>
      </c>
      <c r="D184">
        <v>2</v>
      </c>
      <c r="E184">
        <v>2.69</v>
      </c>
      <c r="F184">
        <v>0.69</v>
      </c>
      <c r="G184">
        <v>0.69</v>
      </c>
      <c r="H184">
        <v>0</v>
      </c>
      <c r="I184">
        <v>1</v>
      </c>
      <c r="J184">
        <v>0</v>
      </c>
      <c r="K184" t="s">
        <v>34</v>
      </c>
      <c r="L184" t="s">
        <v>40</v>
      </c>
    </row>
    <row r="185" spans="1:12">
      <c r="A185" t="s">
        <v>252</v>
      </c>
      <c r="B185" t="s">
        <v>28</v>
      </c>
      <c r="C185" t="s">
        <v>97</v>
      </c>
      <c r="D185">
        <v>3</v>
      </c>
      <c r="E185">
        <v>1.19</v>
      </c>
      <c r="F185">
        <v>-1.81</v>
      </c>
      <c r="G185">
        <v>1.81</v>
      </c>
      <c r="H185">
        <v>1</v>
      </c>
      <c r="I185">
        <v>0</v>
      </c>
      <c r="J185">
        <v>1</v>
      </c>
      <c r="K185" t="s">
        <v>33</v>
      </c>
      <c r="L185" t="s">
        <v>40</v>
      </c>
    </row>
    <row r="186" spans="1:12">
      <c r="A186" t="s">
        <v>252</v>
      </c>
      <c r="B186" t="s">
        <v>28</v>
      </c>
      <c r="C186" t="s">
        <v>98</v>
      </c>
      <c r="D186">
        <v>3</v>
      </c>
      <c r="E186">
        <v>1.19</v>
      </c>
      <c r="F186">
        <v>-1.81</v>
      </c>
      <c r="G186">
        <v>1.81</v>
      </c>
      <c r="H186">
        <v>1</v>
      </c>
      <c r="I186">
        <v>0</v>
      </c>
      <c r="J186">
        <v>1</v>
      </c>
      <c r="K186" t="s">
        <v>33</v>
      </c>
      <c r="L186" t="s">
        <v>40</v>
      </c>
    </row>
    <row r="187" spans="1:12">
      <c r="A187" t="s">
        <v>252</v>
      </c>
      <c r="B187" t="s">
        <v>28</v>
      </c>
      <c r="C187" t="s">
        <v>99</v>
      </c>
      <c r="D187">
        <v>3</v>
      </c>
      <c r="E187">
        <v>1.19</v>
      </c>
      <c r="F187">
        <v>-1.81</v>
      </c>
      <c r="G187">
        <v>1.81</v>
      </c>
      <c r="H187">
        <v>1</v>
      </c>
      <c r="I187">
        <v>0</v>
      </c>
      <c r="J187">
        <v>1</v>
      </c>
      <c r="K187" t="s">
        <v>33</v>
      </c>
      <c r="L187" t="s">
        <v>39</v>
      </c>
    </row>
    <row r="188" spans="1:12">
      <c r="A188" t="s">
        <v>252</v>
      </c>
      <c r="B188" t="s">
        <v>28</v>
      </c>
      <c r="C188" t="s">
        <v>100</v>
      </c>
      <c r="D188">
        <v>3</v>
      </c>
      <c r="E188">
        <v>1.19</v>
      </c>
      <c r="F188">
        <v>-1.81</v>
      </c>
      <c r="G188">
        <v>1.81</v>
      </c>
      <c r="H188">
        <v>1</v>
      </c>
      <c r="I188">
        <v>0</v>
      </c>
      <c r="J188">
        <v>1</v>
      </c>
      <c r="K188" t="s">
        <v>33</v>
      </c>
      <c r="L188" t="s">
        <v>39</v>
      </c>
    </row>
    <row r="189" spans="1:12">
      <c r="A189" t="s">
        <v>252</v>
      </c>
      <c r="B189" t="s">
        <v>28</v>
      </c>
      <c r="C189" t="s">
        <v>101</v>
      </c>
      <c r="D189">
        <v>2</v>
      </c>
      <c r="E189">
        <v>1.19</v>
      </c>
      <c r="F189">
        <v>-0.81</v>
      </c>
      <c r="G189">
        <v>0.81</v>
      </c>
      <c r="H189">
        <v>0</v>
      </c>
      <c r="I189">
        <v>1</v>
      </c>
      <c r="J189">
        <v>0</v>
      </c>
      <c r="K189" t="s">
        <v>34</v>
      </c>
      <c r="L189" t="s">
        <v>39</v>
      </c>
    </row>
    <row r="190" spans="1:12">
      <c r="A190" t="s">
        <v>252</v>
      </c>
      <c r="B190" t="s">
        <v>28</v>
      </c>
      <c r="C190" t="s">
        <v>102</v>
      </c>
      <c r="D190">
        <v>2</v>
      </c>
      <c r="E190">
        <v>1.19</v>
      </c>
      <c r="F190">
        <v>-0.81</v>
      </c>
      <c r="G190">
        <v>0.81</v>
      </c>
      <c r="H190">
        <v>0</v>
      </c>
      <c r="I190">
        <v>1</v>
      </c>
      <c r="J190">
        <v>0</v>
      </c>
      <c r="K190" t="s">
        <v>34</v>
      </c>
      <c r="L190" t="s">
        <v>39</v>
      </c>
    </row>
    <row r="191" spans="1:12">
      <c r="A191" t="s">
        <v>252</v>
      </c>
      <c r="B191" t="s">
        <v>28</v>
      </c>
      <c r="C191" t="s">
        <v>103</v>
      </c>
      <c r="D191">
        <v>2</v>
      </c>
      <c r="E191">
        <v>1.19</v>
      </c>
      <c r="F191">
        <v>-0.81</v>
      </c>
      <c r="G191">
        <v>0.81</v>
      </c>
      <c r="H191">
        <v>0</v>
      </c>
      <c r="I191">
        <v>1</v>
      </c>
      <c r="J191">
        <v>0</v>
      </c>
      <c r="K191" t="s">
        <v>34</v>
      </c>
      <c r="L191" t="s">
        <v>39</v>
      </c>
    </row>
    <row r="192" spans="1:12">
      <c r="A192" t="s">
        <v>252</v>
      </c>
      <c r="B192" t="s">
        <v>28</v>
      </c>
      <c r="C192" t="s">
        <v>104</v>
      </c>
      <c r="D192">
        <v>2</v>
      </c>
      <c r="E192">
        <v>1.19</v>
      </c>
      <c r="F192">
        <v>-0.81</v>
      </c>
      <c r="G192">
        <v>0.81</v>
      </c>
      <c r="H192">
        <v>0</v>
      </c>
      <c r="I192">
        <v>1</v>
      </c>
      <c r="J192">
        <v>0</v>
      </c>
      <c r="K192" t="s">
        <v>34</v>
      </c>
      <c r="L192" t="s">
        <v>41</v>
      </c>
    </row>
    <row r="193" spans="1:12">
      <c r="A193" t="s">
        <v>252</v>
      </c>
      <c r="B193" t="s">
        <v>28</v>
      </c>
      <c r="C193" t="s">
        <v>105</v>
      </c>
      <c r="D193">
        <v>2</v>
      </c>
      <c r="E193">
        <v>1.19</v>
      </c>
      <c r="F193">
        <v>-0.81</v>
      </c>
      <c r="G193">
        <v>0.81</v>
      </c>
      <c r="H193">
        <v>0</v>
      </c>
      <c r="I193">
        <v>1</v>
      </c>
      <c r="J193">
        <v>0</v>
      </c>
      <c r="K193" t="s">
        <v>34</v>
      </c>
      <c r="L193" t="s">
        <v>41</v>
      </c>
    </row>
    <row r="194" spans="1:12">
      <c r="A194" t="s">
        <v>252</v>
      </c>
      <c r="B194" t="s">
        <v>28</v>
      </c>
      <c r="C194" t="s">
        <v>106</v>
      </c>
      <c r="D194">
        <v>2</v>
      </c>
      <c r="E194">
        <v>1.19</v>
      </c>
      <c r="F194">
        <v>-0.81</v>
      </c>
      <c r="G194">
        <v>0.81</v>
      </c>
      <c r="H194">
        <v>0</v>
      </c>
      <c r="I194">
        <v>1</v>
      </c>
      <c r="J194">
        <v>0</v>
      </c>
      <c r="K194" t="s">
        <v>34</v>
      </c>
      <c r="L194" t="s">
        <v>41</v>
      </c>
    </row>
    <row r="195" spans="1:12">
      <c r="A195" t="s">
        <v>252</v>
      </c>
      <c r="B195" t="s">
        <v>28</v>
      </c>
      <c r="C195" t="s">
        <v>107</v>
      </c>
      <c r="D195">
        <v>2</v>
      </c>
      <c r="E195">
        <v>1.19</v>
      </c>
      <c r="F195">
        <v>-0.81</v>
      </c>
      <c r="G195">
        <v>0.81</v>
      </c>
      <c r="H195">
        <v>0</v>
      </c>
      <c r="I195">
        <v>1</v>
      </c>
      <c r="J195">
        <v>0</v>
      </c>
      <c r="K195" t="s">
        <v>34</v>
      </c>
      <c r="L195" t="s">
        <v>41</v>
      </c>
    </row>
    <row r="196" spans="1:12">
      <c r="A196" t="s">
        <v>252</v>
      </c>
      <c r="B196" t="s">
        <v>28</v>
      </c>
      <c r="C196" t="s">
        <v>108</v>
      </c>
      <c r="D196">
        <v>2</v>
      </c>
      <c r="E196">
        <v>1.19</v>
      </c>
      <c r="F196">
        <v>-0.81</v>
      </c>
      <c r="G196">
        <v>0.81</v>
      </c>
      <c r="H196">
        <v>0</v>
      </c>
      <c r="I196">
        <v>1</v>
      </c>
      <c r="J196">
        <v>0</v>
      </c>
      <c r="K196" t="s">
        <v>34</v>
      </c>
      <c r="L196" t="s">
        <v>41</v>
      </c>
    </row>
    <row r="197" spans="1:12">
      <c r="A197" t="s">
        <v>252</v>
      </c>
      <c r="B197" t="s">
        <v>28</v>
      </c>
      <c r="C197" t="s">
        <v>109</v>
      </c>
      <c r="D197">
        <v>2</v>
      </c>
      <c r="E197">
        <v>0.47</v>
      </c>
      <c r="F197">
        <v>-1.53</v>
      </c>
      <c r="G197">
        <v>1.53</v>
      </c>
      <c r="H197">
        <v>1</v>
      </c>
      <c r="I197">
        <v>0</v>
      </c>
      <c r="J197">
        <v>1</v>
      </c>
      <c r="K197" t="s">
        <v>33</v>
      </c>
      <c r="L197" t="s">
        <v>38</v>
      </c>
    </row>
    <row r="198" spans="1:12">
      <c r="A198" t="s">
        <v>252</v>
      </c>
      <c r="B198" t="s">
        <v>28</v>
      </c>
      <c r="C198" t="s">
        <v>110</v>
      </c>
      <c r="D198">
        <v>2</v>
      </c>
      <c r="E198">
        <v>0.47</v>
      </c>
      <c r="F198">
        <v>-1.53</v>
      </c>
      <c r="G198">
        <v>1.53</v>
      </c>
      <c r="H198">
        <v>1</v>
      </c>
      <c r="I198">
        <v>0</v>
      </c>
      <c r="J198">
        <v>1</v>
      </c>
      <c r="K198" t="s">
        <v>33</v>
      </c>
      <c r="L198" t="s">
        <v>38</v>
      </c>
    </row>
    <row r="199" spans="1:12">
      <c r="A199" t="s">
        <v>252</v>
      </c>
      <c r="B199" t="s">
        <v>28</v>
      </c>
      <c r="C199" t="s">
        <v>111</v>
      </c>
      <c r="D199">
        <v>2</v>
      </c>
      <c r="E199">
        <v>0.47</v>
      </c>
      <c r="F199">
        <v>-1.53</v>
      </c>
      <c r="G199">
        <v>1.53</v>
      </c>
      <c r="H199">
        <v>1</v>
      </c>
      <c r="I199">
        <v>0</v>
      </c>
      <c r="J199">
        <v>1</v>
      </c>
      <c r="K199" t="s">
        <v>33</v>
      </c>
      <c r="L199" t="s">
        <v>38</v>
      </c>
    </row>
    <row r="200" spans="1:12">
      <c r="A200" t="s">
        <v>252</v>
      </c>
      <c r="B200" t="s">
        <v>28</v>
      </c>
      <c r="C200" t="s">
        <v>112</v>
      </c>
      <c r="D200">
        <v>2</v>
      </c>
      <c r="E200">
        <v>0.47</v>
      </c>
      <c r="F200">
        <v>-1.53</v>
      </c>
      <c r="G200">
        <v>1.53</v>
      </c>
      <c r="H200">
        <v>1</v>
      </c>
      <c r="I200">
        <v>0</v>
      </c>
      <c r="J200">
        <v>1</v>
      </c>
      <c r="K200" t="s">
        <v>33</v>
      </c>
      <c r="L200" t="s">
        <v>38</v>
      </c>
    </row>
    <row r="201" spans="1:12">
      <c r="A201" t="s">
        <v>252</v>
      </c>
      <c r="B201" t="s">
        <v>28</v>
      </c>
      <c r="C201" t="s">
        <v>113</v>
      </c>
      <c r="D201">
        <v>2</v>
      </c>
      <c r="E201">
        <v>0.47</v>
      </c>
      <c r="F201">
        <v>-1.53</v>
      </c>
      <c r="G201">
        <v>1.53</v>
      </c>
      <c r="H201">
        <v>1</v>
      </c>
      <c r="I201">
        <v>0</v>
      </c>
      <c r="J201">
        <v>1</v>
      </c>
      <c r="K201" t="s">
        <v>33</v>
      </c>
      <c r="L201" t="s">
        <v>38</v>
      </c>
    </row>
    <row r="202" spans="1:12">
      <c r="A202" t="s">
        <v>252</v>
      </c>
      <c r="B202" t="s">
        <v>28</v>
      </c>
      <c r="C202" t="s">
        <v>114</v>
      </c>
      <c r="D202">
        <v>2</v>
      </c>
      <c r="E202">
        <v>0.47</v>
      </c>
      <c r="F202">
        <v>-1.53</v>
      </c>
      <c r="G202">
        <v>1.53</v>
      </c>
      <c r="H202">
        <v>1</v>
      </c>
      <c r="I202">
        <v>0</v>
      </c>
      <c r="J202">
        <v>1</v>
      </c>
      <c r="K202" t="s">
        <v>33</v>
      </c>
      <c r="L202" t="s">
        <v>38</v>
      </c>
    </row>
    <row r="203" spans="1:12">
      <c r="A203" t="s">
        <v>252</v>
      </c>
      <c r="B203" t="s">
        <v>28</v>
      </c>
      <c r="C203" t="s">
        <v>115</v>
      </c>
      <c r="D203">
        <v>1</v>
      </c>
      <c r="E203">
        <v>0.47</v>
      </c>
      <c r="F203">
        <v>-0.53</v>
      </c>
      <c r="G203">
        <v>0.53</v>
      </c>
      <c r="H203">
        <v>0</v>
      </c>
      <c r="I203">
        <v>1</v>
      </c>
      <c r="J203">
        <v>0</v>
      </c>
      <c r="K203" t="s">
        <v>34</v>
      </c>
      <c r="L203" t="s">
        <v>38</v>
      </c>
    </row>
    <row r="204" spans="1:12">
      <c r="A204" t="s">
        <v>252</v>
      </c>
      <c r="B204" t="s">
        <v>28</v>
      </c>
      <c r="C204" t="s">
        <v>116</v>
      </c>
      <c r="D204">
        <v>1</v>
      </c>
      <c r="E204">
        <v>0.47</v>
      </c>
      <c r="F204">
        <v>-0.53</v>
      </c>
      <c r="G204">
        <v>0.53</v>
      </c>
      <c r="H204">
        <v>0</v>
      </c>
      <c r="I204">
        <v>1</v>
      </c>
      <c r="J204">
        <v>0</v>
      </c>
      <c r="K204" t="s">
        <v>34</v>
      </c>
      <c r="L204" t="s">
        <v>38</v>
      </c>
    </row>
    <row r="205" spans="1:12">
      <c r="A205" t="s">
        <v>252</v>
      </c>
      <c r="B205" t="s">
        <v>28</v>
      </c>
      <c r="C205" t="s">
        <v>117</v>
      </c>
      <c r="D205">
        <v>2</v>
      </c>
      <c r="E205">
        <v>0.47</v>
      </c>
      <c r="F205">
        <v>-1.53</v>
      </c>
      <c r="G205">
        <v>1.53</v>
      </c>
      <c r="H205">
        <v>1</v>
      </c>
      <c r="I205">
        <v>0</v>
      </c>
      <c r="J205">
        <v>1</v>
      </c>
      <c r="K205" t="s">
        <v>33</v>
      </c>
      <c r="L205" t="s">
        <v>38</v>
      </c>
    </row>
    <row r="206" spans="1:12">
      <c r="A206" t="s">
        <v>252</v>
      </c>
      <c r="B206" t="s">
        <v>28</v>
      </c>
      <c r="C206" t="s">
        <v>118</v>
      </c>
      <c r="D206">
        <v>2</v>
      </c>
      <c r="E206">
        <v>0.47</v>
      </c>
      <c r="F206">
        <v>-1.53</v>
      </c>
      <c r="G206">
        <v>1.53</v>
      </c>
      <c r="H206">
        <v>1</v>
      </c>
      <c r="I206">
        <v>0</v>
      </c>
      <c r="J206">
        <v>1</v>
      </c>
      <c r="K206" t="s">
        <v>33</v>
      </c>
      <c r="L206" t="s">
        <v>38</v>
      </c>
    </row>
    <row r="207" spans="1:12">
      <c r="A207" t="s">
        <v>252</v>
      </c>
      <c r="B207" t="s">
        <v>28</v>
      </c>
      <c r="C207" t="s">
        <v>119</v>
      </c>
      <c r="D207">
        <v>2</v>
      </c>
      <c r="E207">
        <v>1.19</v>
      </c>
      <c r="F207">
        <v>-0.81</v>
      </c>
      <c r="G207">
        <v>0.81</v>
      </c>
      <c r="H207">
        <v>0</v>
      </c>
      <c r="I207">
        <v>1</v>
      </c>
      <c r="J207">
        <v>0</v>
      </c>
      <c r="K207" t="s">
        <v>34</v>
      </c>
      <c r="L207" t="s">
        <v>44</v>
      </c>
    </row>
    <row r="208" spans="1:12">
      <c r="A208" t="s">
        <v>252</v>
      </c>
      <c r="B208" t="s">
        <v>28</v>
      </c>
      <c r="C208" t="s">
        <v>120</v>
      </c>
      <c r="D208">
        <v>2</v>
      </c>
      <c r="E208">
        <v>1.19</v>
      </c>
      <c r="F208">
        <v>-0.81</v>
      </c>
      <c r="G208">
        <v>0.81</v>
      </c>
      <c r="H208">
        <v>0</v>
      </c>
      <c r="I208">
        <v>1</v>
      </c>
      <c r="J208">
        <v>0</v>
      </c>
      <c r="K208" t="s">
        <v>34</v>
      </c>
      <c r="L208" t="s">
        <v>44</v>
      </c>
    </row>
    <row r="209" spans="1:12">
      <c r="A209" t="s">
        <v>252</v>
      </c>
      <c r="B209" t="s">
        <v>28</v>
      </c>
      <c r="C209" t="s">
        <v>121</v>
      </c>
      <c r="D209">
        <v>2</v>
      </c>
      <c r="E209">
        <v>1.19</v>
      </c>
      <c r="F209">
        <v>-0.81</v>
      </c>
      <c r="G209">
        <v>0.81</v>
      </c>
      <c r="H209">
        <v>0</v>
      </c>
      <c r="I209">
        <v>1</v>
      </c>
      <c r="J209">
        <v>0</v>
      </c>
      <c r="K209" t="s">
        <v>34</v>
      </c>
      <c r="L209" t="s">
        <v>44</v>
      </c>
    </row>
    <row r="210" spans="1:12">
      <c r="A210" t="s">
        <v>252</v>
      </c>
      <c r="B210" t="s">
        <v>28</v>
      </c>
      <c r="C210" t="s">
        <v>122</v>
      </c>
      <c r="D210">
        <v>2</v>
      </c>
      <c r="E210">
        <v>1.19</v>
      </c>
      <c r="F210">
        <v>-0.81</v>
      </c>
      <c r="G210">
        <v>0.81</v>
      </c>
      <c r="H210">
        <v>0</v>
      </c>
      <c r="I210">
        <v>1</v>
      </c>
      <c r="J210">
        <v>0</v>
      </c>
      <c r="K210" t="s">
        <v>34</v>
      </c>
      <c r="L210" t="s">
        <v>44</v>
      </c>
    </row>
    <row r="211" spans="1:12">
      <c r="A211" t="s">
        <v>252</v>
      </c>
      <c r="B211" t="s">
        <v>28</v>
      </c>
      <c r="C211" t="s">
        <v>123</v>
      </c>
      <c r="D211">
        <v>1</v>
      </c>
      <c r="E211">
        <v>1.19</v>
      </c>
      <c r="F211">
        <v>0.18999999999999995</v>
      </c>
      <c r="G211">
        <v>0.18999999999999995</v>
      </c>
      <c r="H211">
        <v>0</v>
      </c>
      <c r="I211">
        <v>1</v>
      </c>
      <c r="J211">
        <v>0</v>
      </c>
      <c r="K211" t="s">
        <v>34</v>
      </c>
      <c r="L211" t="s">
        <v>44</v>
      </c>
    </row>
    <row r="212" spans="1:12">
      <c r="A212" t="s">
        <v>252</v>
      </c>
      <c r="B212" t="s">
        <v>28</v>
      </c>
      <c r="C212" t="s">
        <v>124</v>
      </c>
      <c r="D212">
        <v>2</v>
      </c>
      <c r="E212">
        <v>1.19</v>
      </c>
      <c r="F212">
        <v>-0.81</v>
      </c>
      <c r="G212">
        <v>0.81</v>
      </c>
      <c r="H212">
        <v>0</v>
      </c>
      <c r="I212">
        <v>1</v>
      </c>
      <c r="J212">
        <v>0</v>
      </c>
      <c r="K212" t="s">
        <v>34</v>
      </c>
      <c r="L212" t="s">
        <v>45</v>
      </c>
    </row>
    <row r="213" spans="1:12">
      <c r="A213" t="s">
        <v>252</v>
      </c>
      <c r="B213" t="s">
        <v>28</v>
      </c>
      <c r="C213" t="s">
        <v>125</v>
      </c>
      <c r="D213">
        <v>2</v>
      </c>
      <c r="E213">
        <v>1.19</v>
      </c>
      <c r="F213">
        <v>-0.81</v>
      </c>
      <c r="G213">
        <v>0.81</v>
      </c>
      <c r="H213">
        <v>0</v>
      </c>
      <c r="I213">
        <v>1</v>
      </c>
      <c r="J213">
        <v>0</v>
      </c>
      <c r="K213" t="s">
        <v>34</v>
      </c>
      <c r="L213" t="s">
        <v>45</v>
      </c>
    </row>
    <row r="214" spans="1:12">
      <c r="A214" t="s">
        <v>252</v>
      </c>
      <c r="B214" t="s">
        <v>28</v>
      </c>
      <c r="C214" t="s">
        <v>126</v>
      </c>
      <c r="D214">
        <v>2</v>
      </c>
      <c r="E214">
        <v>1.19</v>
      </c>
      <c r="F214">
        <v>-0.81</v>
      </c>
      <c r="G214">
        <v>0.81</v>
      </c>
      <c r="H214">
        <v>0</v>
      </c>
      <c r="I214">
        <v>1</v>
      </c>
      <c r="J214">
        <v>0</v>
      </c>
      <c r="K214" t="s">
        <v>34</v>
      </c>
      <c r="L214" t="s">
        <v>45</v>
      </c>
    </row>
    <row r="215" spans="1:12">
      <c r="A215" t="s">
        <v>252</v>
      </c>
      <c r="B215" t="s">
        <v>28</v>
      </c>
      <c r="C215" t="s">
        <v>127</v>
      </c>
      <c r="D215">
        <v>2</v>
      </c>
      <c r="E215">
        <v>0.47</v>
      </c>
      <c r="F215">
        <v>-1.53</v>
      </c>
      <c r="G215">
        <v>1.53</v>
      </c>
      <c r="H215">
        <v>1</v>
      </c>
      <c r="I215">
        <v>0</v>
      </c>
      <c r="J215">
        <v>1</v>
      </c>
      <c r="K215" t="s">
        <v>33</v>
      </c>
      <c r="L215" t="s">
        <v>45</v>
      </c>
    </row>
    <row r="216" spans="1:12">
      <c r="A216" t="s">
        <v>252</v>
      </c>
      <c r="B216" t="s">
        <v>28</v>
      </c>
      <c r="C216" t="s">
        <v>128</v>
      </c>
      <c r="D216">
        <v>2</v>
      </c>
      <c r="E216">
        <v>0.47</v>
      </c>
      <c r="F216">
        <v>-1.53</v>
      </c>
      <c r="G216">
        <v>1.53</v>
      </c>
      <c r="H216">
        <v>1</v>
      </c>
      <c r="I216">
        <v>0</v>
      </c>
      <c r="J216">
        <v>1</v>
      </c>
      <c r="K216" t="s">
        <v>33</v>
      </c>
      <c r="L216" t="s">
        <v>45</v>
      </c>
    </row>
    <row r="217" spans="1:12">
      <c r="A217" t="s">
        <v>252</v>
      </c>
      <c r="B217" t="s">
        <v>28</v>
      </c>
      <c r="C217" t="s">
        <v>129</v>
      </c>
      <c r="D217">
        <v>2</v>
      </c>
      <c r="E217">
        <v>0.47</v>
      </c>
      <c r="F217">
        <v>-1.53</v>
      </c>
      <c r="G217">
        <v>1.53</v>
      </c>
      <c r="H217">
        <v>1</v>
      </c>
      <c r="I217">
        <v>0</v>
      </c>
      <c r="J217">
        <v>1</v>
      </c>
      <c r="K217" t="s">
        <v>33</v>
      </c>
      <c r="L217" t="s">
        <v>46</v>
      </c>
    </row>
    <row r="218" spans="1:12">
      <c r="A218" t="s">
        <v>252</v>
      </c>
      <c r="B218" t="s">
        <v>28</v>
      </c>
      <c r="C218" t="s">
        <v>130</v>
      </c>
      <c r="D218">
        <v>2</v>
      </c>
      <c r="E218">
        <v>0.47</v>
      </c>
      <c r="F218">
        <v>-1.53</v>
      </c>
      <c r="G218">
        <v>1.53</v>
      </c>
      <c r="H218">
        <v>1</v>
      </c>
      <c r="I218">
        <v>0</v>
      </c>
      <c r="J218">
        <v>1</v>
      </c>
      <c r="K218" t="s">
        <v>33</v>
      </c>
      <c r="L218" t="s">
        <v>46</v>
      </c>
    </row>
    <row r="219" spans="1:12">
      <c r="A219" t="s">
        <v>252</v>
      </c>
      <c r="B219" t="s">
        <v>28</v>
      </c>
      <c r="C219" t="s">
        <v>131</v>
      </c>
      <c r="D219">
        <v>2</v>
      </c>
      <c r="E219">
        <v>0.47</v>
      </c>
      <c r="F219">
        <v>-1.53</v>
      </c>
      <c r="G219">
        <v>1.53</v>
      </c>
      <c r="H219">
        <v>1</v>
      </c>
      <c r="I219">
        <v>0</v>
      </c>
      <c r="J219">
        <v>1</v>
      </c>
      <c r="K219" t="s">
        <v>33</v>
      </c>
      <c r="L219" t="s">
        <v>46</v>
      </c>
    </row>
    <row r="220" spans="1:12">
      <c r="A220" t="s">
        <v>252</v>
      </c>
      <c r="B220" t="s">
        <v>28</v>
      </c>
      <c r="C220" t="s">
        <v>132</v>
      </c>
      <c r="D220">
        <v>1</v>
      </c>
      <c r="E220">
        <v>0.47</v>
      </c>
      <c r="F220">
        <v>-0.53</v>
      </c>
      <c r="G220">
        <v>0.53</v>
      </c>
      <c r="H220">
        <v>0</v>
      </c>
      <c r="I220">
        <v>1</v>
      </c>
      <c r="J220">
        <v>0</v>
      </c>
      <c r="K220" t="s">
        <v>34</v>
      </c>
      <c r="L220" t="s">
        <v>46</v>
      </c>
    </row>
    <row r="221" spans="1:12">
      <c r="A221" t="s">
        <v>252</v>
      </c>
      <c r="B221" t="s">
        <v>28</v>
      </c>
      <c r="C221" t="s">
        <v>133</v>
      </c>
      <c r="D221">
        <v>1</v>
      </c>
      <c r="E221">
        <v>0.95</v>
      </c>
      <c r="F221">
        <v>-5.0000000000000044E-2</v>
      </c>
      <c r="G221">
        <v>5.0000000000000044E-2</v>
      </c>
      <c r="H221">
        <v>0</v>
      </c>
      <c r="I221">
        <v>1</v>
      </c>
      <c r="J221">
        <v>0</v>
      </c>
      <c r="K221" t="s">
        <v>34</v>
      </c>
      <c r="L221" t="s">
        <v>46</v>
      </c>
    </row>
    <row r="222" spans="1:12">
      <c r="A222" t="s">
        <v>252</v>
      </c>
      <c r="B222" t="s">
        <v>28</v>
      </c>
      <c r="C222" t="s">
        <v>134</v>
      </c>
      <c r="D222">
        <v>2</v>
      </c>
      <c r="E222">
        <v>0.95</v>
      </c>
      <c r="F222">
        <v>-1.05</v>
      </c>
      <c r="G222">
        <v>1.05</v>
      </c>
      <c r="H222">
        <v>1</v>
      </c>
      <c r="I222">
        <v>0</v>
      </c>
      <c r="J222">
        <v>1</v>
      </c>
      <c r="K222" t="s">
        <v>33</v>
      </c>
      <c r="L222" t="s">
        <v>47</v>
      </c>
    </row>
    <row r="223" spans="1:12">
      <c r="A223" t="s">
        <v>252</v>
      </c>
      <c r="B223" t="s">
        <v>28</v>
      </c>
      <c r="C223" t="s">
        <v>135</v>
      </c>
      <c r="D223">
        <v>2</v>
      </c>
      <c r="E223">
        <v>0.95</v>
      </c>
      <c r="F223">
        <v>-1.05</v>
      </c>
      <c r="G223">
        <v>1.05</v>
      </c>
      <c r="H223">
        <v>1</v>
      </c>
      <c r="I223">
        <v>0</v>
      </c>
      <c r="J223">
        <v>1</v>
      </c>
      <c r="K223" t="s">
        <v>33</v>
      </c>
      <c r="L223" t="s">
        <v>47</v>
      </c>
    </row>
    <row r="224" spans="1:12">
      <c r="A224" t="s">
        <v>252</v>
      </c>
      <c r="B224" t="s">
        <v>28</v>
      </c>
      <c r="C224" t="s">
        <v>136</v>
      </c>
      <c r="D224">
        <v>2</v>
      </c>
      <c r="E224">
        <v>0.95</v>
      </c>
      <c r="F224">
        <v>-1.05</v>
      </c>
      <c r="G224">
        <v>1.05</v>
      </c>
      <c r="H224">
        <v>1</v>
      </c>
      <c r="I224">
        <v>0</v>
      </c>
      <c r="J224">
        <v>1</v>
      </c>
      <c r="K224" t="s">
        <v>33</v>
      </c>
      <c r="L224" t="s">
        <v>47</v>
      </c>
    </row>
    <row r="225" spans="1:12">
      <c r="A225" t="s">
        <v>252</v>
      </c>
      <c r="B225" t="s">
        <v>28</v>
      </c>
      <c r="C225" t="s">
        <v>137</v>
      </c>
      <c r="D225">
        <v>2</v>
      </c>
      <c r="E225">
        <v>0.95</v>
      </c>
      <c r="F225">
        <v>-1.05</v>
      </c>
      <c r="G225">
        <v>1.05</v>
      </c>
      <c r="H225">
        <v>1</v>
      </c>
      <c r="I225">
        <v>0</v>
      </c>
      <c r="J225">
        <v>1</v>
      </c>
      <c r="K225" t="s">
        <v>33</v>
      </c>
      <c r="L225" t="s">
        <v>47</v>
      </c>
    </row>
    <row r="226" spans="1:12">
      <c r="A226" t="s">
        <v>252</v>
      </c>
      <c r="B226" t="s">
        <v>28</v>
      </c>
      <c r="C226" t="s">
        <v>138</v>
      </c>
      <c r="D226">
        <v>2</v>
      </c>
      <c r="E226">
        <v>0.95</v>
      </c>
      <c r="F226">
        <v>-1.05</v>
      </c>
      <c r="G226">
        <v>1.05</v>
      </c>
      <c r="H226">
        <v>1</v>
      </c>
      <c r="I226">
        <v>0</v>
      </c>
      <c r="J226">
        <v>1</v>
      </c>
      <c r="K226" t="s">
        <v>33</v>
      </c>
      <c r="L226" t="s">
        <v>47</v>
      </c>
    </row>
    <row r="227" spans="1:12">
      <c r="A227" t="s">
        <v>252</v>
      </c>
      <c r="B227" t="s">
        <v>28</v>
      </c>
      <c r="C227" t="s">
        <v>139</v>
      </c>
      <c r="D227">
        <v>2</v>
      </c>
      <c r="E227">
        <v>0.95</v>
      </c>
      <c r="F227">
        <v>-1.05</v>
      </c>
      <c r="G227">
        <v>1.05</v>
      </c>
      <c r="H227">
        <v>1</v>
      </c>
      <c r="I227">
        <v>0</v>
      </c>
      <c r="J227">
        <v>1</v>
      </c>
      <c r="K227" t="s">
        <v>33</v>
      </c>
      <c r="L227" t="s">
        <v>42</v>
      </c>
    </row>
    <row r="228" spans="1:12">
      <c r="A228" t="s">
        <v>252</v>
      </c>
      <c r="B228" t="s">
        <v>28</v>
      </c>
      <c r="C228" t="s">
        <v>140</v>
      </c>
      <c r="D228">
        <v>1</v>
      </c>
      <c r="E228">
        <v>0.95</v>
      </c>
      <c r="F228">
        <v>-5.0000000000000044E-2</v>
      </c>
      <c r="G228">
        <v>5.0000000000000044E-2</v>
      </c>
      <c r="H228">
        <v>0</v>
      </c>
      <c r="I228">
        <v>1</v>
      </c>
      <c r="J228">
        <v>0</v>
      </c>
      <c r="K228" t="s">
        <v>34</v>
      </c>
      <c r="L228" t="s">
        <v>42</v>
      </c>
    </row>
    <row r="229" spans="1:12">
      <c r="A229" t="s">
        <v>252</v>
      </c>
      <c r="B229" t="s">
        <v>28</v>
      </c>
      <c r="C229" t="s">
        <v>141</v>
      </c>
      <c r="D229">
        <v>2</v>
      </c>
      <c r="E229">
        <v>0.95</v>
      </c>
      <c r="F229">
        <v>-1.05</v>
      </c>
      <c r="G229">
        <v>1.05</v>
      </c>
      <c r="H229">
        <v>1</v>
      </c>
      <c r="I229">
        <v>0</v>
      </c>
      <c r="J229">
        <v>1</v>
      </c>
      <c r="K229" t="s">
        <v>33</v>
      </c>
      <c r="L229" t="s">
        <v>42</v>
      </c>
    </row>
    <row r="230" spans="1:12">
      <c r="A230" t="s">
        <v>252</v>
      </c>
      <c r="B230" t="s">
        <v>28</v>
      </c>
      <c r="C230" t="s">
        <v>142</v>
      </c>
      <c r="D230">
        <v>3</v>
      </c>
      <c r="E230">
        <v>0.95</v>
      </c>
      <c r="F230">
        <v>-2.0499999999999998</v>
      </c>
      <c r="G230">
        <v>2.0499999999999998</v>
      </c>
      <c r="H230">
        <v>1</v>
      </c>
      <c r="I230">
        <v>0</v>
      </c>
      <c r="J230">
        <v>1</v>
      </c>
      <c r="K230" t="s">
        <v>36</v>
      </c>
      <c r="L230" t="s">
        <v>42</v>
      </c>
    </row>
    <row r="231" spans="1:12">
      <c r="A231" t="s">
        <v>252</v>
      </c>
      <c r="B231" t="s">
        <v>28</v>
      </c>
      <c r="C231" t="s">
        <v>143</v>
      </c>
      <c r="D231">
        <v>4</v>
      </c>
      <c r="E231">
        <v>0.95</v>
      </c>
      <c r="F231">
        <v>-3.05</v>
      </c>
      <c r="G231">
        <v>3.05</v>
      </c>
      <c r="H231">
        <v>1</v>
      </c>
      <c r="I231">
        <v>0</v>
      </c>
      <c r="J231">
        <v>1</v>
      </c>
      <c r="K231" t="s">
        <v>36</v>
      </c>
      <c r="L231" t="s">
        <v>42</v>
      </c>
    </row>
    <row r="232" spans="1:12">
      <c r="A232" t="s">
        <v>252</v>
      </c>
      <c r="B232" t="s">
        <v>28</v>
      </c>
      <c r="C232" t="s">
        <v>144</v>
      </c>
      <c r="D232">
        <v>4</v>
      </c>
      <c r="E232">
        <v>0.95</v>
      </c>
      <c r="F232">
        <v>-3.05</v>
      </c>
      <c r="G232">
        <v>3.05</v>
      </c>
      <c r="H232">
        <v>1</v>
      </c>
      <c r="I232">
        <v>0</v>
      </c>
      <c r="J232">
        <v>1</v>
      </c>
      <c r="K232" t="s">
        <v>36</v>
      </c>
      <c r="L232" t="s">
        <v>43</v>
      </c>
    </row>
    <row r="233" spans="1:12">
      <c r="A233" t="s">
        <v>252</v>
      </c>
      <c r="B233" t="s">
        <v>28</v>
      </c>
      <c r="C233" t="s">
        <v>145</v>
      </c>
      <c r="D233">
        <v>4</v>
      </c>
      <c r="E233">
        <v>0.95</v>
      </c>
      <c r="F233">
        <v>-3.05</v>
      </c>
      <c r="G233">
        <v>3.05</v>
      </c>
      <c r="H233">
        <v>1</v>
      </c>
      <c r="I233">
        <v>0</v>
      </c>
      <c r="J233">
        <v>1</v>
      </c>
      <c r="K233" t="s">
        <v>36</v>
      </c>
      <c r="L233" t="s">
        <v>43</v>
      </c>
    </row>
    <row r="234" spans="1:12">
      <c r="A234" t="s">
        <v>252</v>
      </c>
      <c r="B234" t="s">
        <v>28</v>
      </c>
      <c r="C234" t="s">
        <v>146</v>
      </c>
      <c r="D234">
        <v>4</v>
      </c>
      <c r="E234">
        <v>0.95</v>
      </c>
      <c r="F234">
        <v>-3.05</v>
      </c>
      <c r="G234">
        <v>3.05</v>
      </c>
      <c r="H234">
        <v>1</v>
      </c>
      <c r="I234">
        <v>0</v>
      </c>
      <c r="J234">
        <v>1</v>
      </c>
      <c r="K234" t="s">
        <v>36</v>
      </c>
      <c r="L234" t="s">
        <v>43</v>
      </c>
    </row>
    <row r="235" spans="1:12">
      <c r="A235" t="s">
        <v>252</v>
      </c>
      <c r="B235" t="s">
        <v>28</v>
      </c>
      <c r="C235" t="s">
        <v>147</v>
      </c>
      <c r="D235">
        <v>4</v>
      </c>
      <c r="E235">
        <v>0.95</v>
      </c>
      <c r="F235">
        <v>-3.05</v>
      </c>
      <c r="G235">
        <v>3.05</v>
      </c>
      <c r="H235">
        <v>1</v>
      </c>
      <c r="I235">
        <v>0</v>
      </c>
      <c r="J235">
        <v>1</v>
      </c>
      <c r="K235" t="s">
        <v>36</v>
      </c>
      <c r="L235" t="s">
        <v>43</v>
      </c>
    </row>
    <row r="236" spans="1:12">
      <c r="A236" t="s">
        <v>252</v>
      </c>
      <c r="B236" t="s">
        <v>28</v>
      </c>
      <c r="C236" t="s">
        <v>148</v>
      </c>
      <c r="D236">
        <v>5</v>
      </c>
      <c r="E236">
        <v>0.95</v>
      </c>
      <c r="F236">
        <v>-4.05</v>
      </c>
      <c r="G236">
        <v>4.05</v>
      </c>
      <c r="H236">
        <v>1</v>
      </c>
      <c r="I236">
        <v>0</v>
      </c>
      <c r="J236">
        <v>1</v>
      </c>
      <c r="K236" t="s">
        <v>36</v>
      </c>
      <c r="L236" t="s">
        <v>43</v>
      </c>
    </row>
    <row r="237" spans="1:12">
      <c r="A237" t="s">
        <v>252</v>
      </c>
      <c r="B237" t="s">
        <v>28</v>
      </c>
      <c r="C237" t="s">
        <v>149</v>
      </c>
      <c r="D237">
        <v>5</v>
      </c>
      <c r="E237">
        <v>0.95</v>
      </c>
      <c r="F237">
        <v>-4.05</v>
      </c>
      <c r="G237">
        <v>4.05</v>
      </c>
      <c r="H237">
        <v>1</v>
      </c>
      <c r="I237">
        <v>0</v>
      </c>
      <c r="J237">
        <v>1</v>
      </c>
      <c r="K237" t="s">
        <v>36</v>
      </c>
      <c r="L237" t="s">
        <v>48</v>
      </c>
    </row>
    <row r="238" spans="1:12">
      <c r="A238" t="s">
        <v>252</v>
      </c>
      <c r="B238" t="s">
        <v>28</v>
      </c>
      <c r="C238" t="s">
        <v>150</v>
      </c>
      <c r="D238">
        <v>5</v>
      </c>
      <c r="E238">
        <v>0.95</v>
      </c>
      <c r="F238">
        <v>-4.05</v>
      </c>
      <c r="G238">
        <v>4.05</v>
      </c>
      <c r="H238">
        <v>1</v>
      </c>
      <c r="I238">
        <v>0</v>
      </c>
      <c r="J238">
        <v>1</v>
      </c>
      <c r="K238" t="s">
        <v>36</v>
      </c>
      <c r="L238" t="s">
        <v>48</v>
      </c>
    </row>
    <row r="239" spans="1:12">
      <c r="A239" t="s">
        <v>252</v>
      </c>
      <c r="B239" t="s">
        <v>28</v>
      </c>
      <c r="C239" t="s">
        <v>151</v>
      </c>
      <c r="D239">
        <v>5</v>
      </c>
      <c r="E239">
        <v>0.95</v>
      </c>
      <c r="F239">
        <v>-4.05</v>
      </c>
      <c r="G239">
        <v>4.05</v>
      </c>
      <c r="H239">
        <v>1</v>
      </c>
      <c r="I239">
        <v>0</v>
      </c>
      <c r="J239">
        <v>1</v>
      </c>
      <c r="K239" t="s">
        <v>36</v>
      </c>
      <c r="L239" t="s">
        <v>48</v>
      </c>
    </row>
    <row r="240" spans="1:12">
      <c r="A240" t="s">
        <v>252</v>
      </c>
      <c r="B240" t="s">
        <v>28</v>
      </c>
      <c r="C240" t="s">
        <v>152</v>
      </c>
      <c r="D240">
        <v>5</v>
      </c>
      <c r="E240">
        <v>0.95</v>
      </c>
      <c r="F240">
        <v>-4.05</v>
      </c>
      <c r="G240">
        <v>4.05</v>
      </c>
      <c r="H240">
        <v>1</v>
      </c>
      <c r="I240">
        <v>0</v>
      </c>
      <c r="J240">
        <v>1</v>
      </c>
      <c r="K240" t="s">
        <v>36</v>
      </c>
      <c r="L240" t="s">
        <v>48</v>
      </c>
    </row>
    <row r="241" spans="1:12">
      <c r="A241" t="s">
        <v>252</v>
      </c>
      <c r="B241" t="s">
        <v>28</v>
      </c>
      <c r="C241" t="s">
        <v>153</v>
      </c>
      <c r="D241">
        <v>5</v>
      </c>
      <c r="E241">
        <v>0.95</v>
      </c>
      <c r="F241">
        <v>-4.05</v>
      </c>
      <c r="G241">
        <v>4.05</v>
      </c>
      <c r="H241">
        <v>1</v>
      </c>
      <c r="I241">
        <v>0</v>
      </c>
      <c r="J241">
        <v>1</v>
      </c>
      <c r="K241" t="s">
        <v>36</v>
      </c>
      <c r="L241" t="s">
        <v>48</v>
      </c>
    </row>
    <row r="242" spans="1:12">
      <c r="A242" t="s">
        <v>255</v>
      </c>
      <c r="B242" t="s">
        <v>31</v>
      </c>
      <c r="C242" t="s">
        <v>76</v>
      </c>
      <c r="D242">
        <v>3</v>
      </c>
      <c r="E242">
        <v>2.92</v>
      </c>
      <c r="F242">
        <v>-8.0000000000000071E-2</v>
      </c>
      <c r="G242">
        <v>8.0000000000000071E-2</v>
      </c>
      <c r="H242">
        <v>0</v>
      </c>
      <c r="I242">
        <v>1</v>
      </c>
      <c r="J242">
        <v>0</v>
      </c>
      <c r="K242" t="s">
        <v>34</v>
      </c>
      <c r="L242" t="s">
        <v>49</v>
      </c>
    </row>
    <row r="243" spans="1:12">
      <c r="A243" t="s">
        <v>255</v>
      </c>
      <c r="B243" t="s">
        <v>31</v>
      </c>
      <c r="C243" t="s">
        <v>77</v>
      </c>
      <c r="D243">
        <v>2</v>
      </c>
      <c r="E243">
        <v>2</v>
      </c>
      <c r="F243">
        <v>0</v>
      </c>
      <c r="G243">
        <v>0</v>
      </c>
      <c r="H243">
        <v>0</v>
      </c>
      <c r="I243">
        <v>1</v>
      </c>
      <c r="J243">
        <v>0</v>
      </c>
      <c r="K243" t="s">
        <v>34</v>
      </c>
      <c r="L243" t="s">
        <v>49</v>
      </c>
    </row>
    <row r="244" spans="1:12">
      <c r="A244" t="s">
        <v>255</v>
      </c>
      <c r="B244" t="s">
        <v>31</v>
      </c>
      <c r="C244" t="s">
        <v>78</v>
      </c>
      <c r="D244">
        <v>2</v>
      </c>
      <c r="E244">
        <v>2</v>
      </c>
      <c r="F244">
        <v>0</v>
      </c>
      <c r="G244">
        <v>0</v>
      </c>
      <c r="H244">
        <v>0</v>
      </c>
      <c r="I244">
        <v>1</v>
      </c>
      <c r="J244">
        <v>0</v>
      </c>
      <c r="K244" t="s">
        <v>34</v>
      </c>
      <c r="L244" t="s">
        <v>49</v>
      </c>
    </row>
    <row r="245" spans="1:12">
      <c r="A245" t="s">
        <v>255</v>
      </c>
      <c r="B245" t="s">
        <v>31</v>
      </c>
      <c r="C245" t="s">
        <v>79</v>
      </c>
      <c r="D245">
        <v>2</v>
      </c>
      <c r="E245">
        <v>2</v>
      </c>
      <c r="F245">
        <v>0</v>
      </c>
      <c r="G245">
        <v>0</v>
      </c>
      <c r="H245">
        <v>0</v>
      </c>
      <c r="I245">
        <v>1</v>
      </c>
      <c r="J245">
        <v>0</v>
      </c>
      <c r="K245" t="s">
        <v>34</v>
      </c>
      <c r="L245" t="s">
        <v>49</v>
      </c>
    </row>
    <row r="246" spans="1:12">
      <c r="A246" t="s">
        <v>255</v>
      </c>
      <c r="B246" t="s">
        <v>31</v>
      </c>
      <c r="C246" t="s">
        <v>80</v>
      </c>
      <c r="D246">
        <v>2</v>
      </c>
      <c r="E246">
        <v>2</v>
      </c>
      <c r="F246">
        <v>0</v>
      </c>
      <c r="G246">
        <v>0</v>
      </c>
      <c r="H246">
        <v>0</v>
      </c>
      <c r="I246">
        <v>1</v>
      </c>
      <c r="J246">
        <v>0</v>
      </c>
      <c r="K246" t="s">
        <v>34</v>
      </c>
      <c r="L246" t="s">
        <v>49</v>
      </c>
    </row>
    <row r="247" spans="1:12">
      <c r="A247" t="s">
        <v>255</v>
      </c>
      <c r="B247" t="s">
        <v>31</v>
      </c>
      <c r="C247" t="s">
        <v>81</v>
      </c>
      <c r="D247">
        <v>2</v>
      </c>
      <c r="E247">
        <v>2</v>
      </c>
      <c r="F247">
        <v>0</v>
      </c>
      <c r="G247">
        <v>0</v>
      </c>
      <c r="H247">
        <v>0</v>
      </c>
      <c r="I247">
        <v>1</v>
      </c>
      <c r="J247">
        <v>0</v>
      </c>
      <c r="K247" t="s">
        <v>34</v>
      </c>
      <c r="L247" t="s">
        <v>49</v>
      </c>
    </row>
    <row r="248" spans="1:12">
      <c r="A248" t="s">
        <v>255</v>
      </c>
      <c r="B248" t="s">
        <v>31</v>
      </c>
      <c r="C248" t="s">
        <v>82</v>
      </c>
      <c r="D248">
        <v>2</v>
      </c>
      <c r="E248">
        <v>2</v>
      </c>
      <c r="F248">
        <v>0</v>
      </c>
      <c r="G248">
        <v>0</v>
      </c>
      <c r="H248">
        <v>0</v>
      </c>
      <c r="I248">
        <v>1</v>
      </c>
      <c r="J248">
        <v>0</v>
      </c>
      <c r="K248" t="s">
        <v>34</v>
      </c>
      <c r="L248" t="s">
        <v>49</v>
      </c>
    </row>
    <row r="249" spans="1:12">
      <c r="A249" t="s">
        <v>255</v>
      </c>
      <c r="B249" t="s">
        <v>31</v>
      </c>
      <c r="C249" t="s">
        <v>83</v>
      </c>
      <c r="D249">
        <v>1</v>
      </c>
      <c r="E249">
        <v>2</v>
      </c>
      <c r="F249">
        <v>1</v>
      </c>
      <c r="G249">
        <v>1</v>
      </c>
      <c r="H249">
        <v>0</v>
      </c>
      <c r="I249">
        <v>1</v>
      </c>
      <c r="J249">
        <v>1</v>
      </c>
      <c r="K249" t="s">
        <v>37</v>
      </c>
      <c r="L249" t="s">
        <v>49</v>
      </c>
    </row>
    <row r="250" spans="1:12">
      <c r="A250" t="s">
        <v>255</v>
      </c>
      <c r="B250" t="s">
        <v>31</v>
      </c>
      <c r="C250" t="s">
        <v>84</v>
      </c>
      <c r="D250">
        <v>1</v>
      </c>
      <c r="E250">
        <v>2</v>
      </c>
      <c r="F250">
        <v>1</v>
      </c>
      <c r="G250">
        <v>1</v>
      </c>
      <c r="H250">
        <v>0</v>
      </c>
      <c r="I250">
        <v>1</v>
      </c>
      <c r="J250">
        <v>1</v>
      </c>
      <c r="K250" t="s">
        <v>37</v>
      </c>
      <c r="L250" t="s">
        <v>49</v>
      </c>
    </row>
    <row r="251" spans="1:12">
      <c r="A251" t="s">
        <v>255</v>
      </c>
      <c r="B251" t="s">
        <v>31</v>
      </c>
      <c r="C251" t="s">
        <v>85</v>
      </c>
      <c r="D251">
        <v>2</v>
      </c>
      <c r="E251">
        <v>2</v>
      </c>
      <c r="F251">
        <v>0</v>
      </c>
      <c r="G251">
        <v>0</v>
      </c>
      <c r="H251">
        <v>0</v>
      </c>
      <c r="I251">
        <v>1</v>
      </c>
      <c r="J251">
        <v>0</v>
      </c>
      <c r="K251" t="s">
        <v>34</v>
      </c>
      <c r="L251" t="s">
        <v>49</v>
      </c>
    </row>
    <row r="252" spans="1:12">
      <c r="A252" t="s">
        <v>255</v>
      </c>
      <c r="B252" t="s">
        <v>31</v>
      </c>
      <c r="C252" t="s">
        <v>86</v>
      </c>
      <c r="D252">
        <v>2</v>
      </c>
      <c r="E252">
        <v>2</v>
      </c>
      <c r="F252">
        <v>0</v>
      </c>
      <c r="G252">
        <v>0</v>
      </c>
      <c r="H252">
        <v>0</v>
      </c>
      <c r="I252">
        <v>1</v>
      </c>
      <c r="J252">
        <v>0</v>
      </c>
      <c r="K252" t="s">
        <v>34</v>
      </c>
      <c r="L252" t="s">
        <v>50</v>
      </c>
    </row>
    <row r="253" spans="1:12">
      <c r="A253" t="s">
        <v>255</v>
      </c>
      <c r="B253" t="s">
        <v>31</v>
      </c>
      <c r="C253" t="s">
        <v>87</v>
      </c>
      <c r="D253">
        <v>2</v>
      </c>
      <c r="E253">
        <v>2</v>
      </c>
      <c r="F253">
        <v>0</v>
      </c>
      <c r="G253">
        <v>0</v>
      </c>
      <c r="H253">
        <v>0</v>
      </c>
      <c r="I253">
        <v>1</v>
      </c>
      <c r="J253">
        <v>0</v>
      </c>
      <c r="K253" t="s">
        <v>34</v>
      </c>
      <c r="L253" t="s">
        <v>50</v>
      </c>
    </row>
    <row r="254" spans="1:12">
      <c r="A254" t="s">
        <v>255</v>
      </c>
      <c r="B254" t="s">
        <v>31</v>
      </c>
      <c r="C254" t="s">
        <v>88</v>
      </c>
      <c r="D254">
        <v>2</v>
      </c>
      <c r="E254">
        <v>2</v>
      </c>
      <c r="F254">
        <v>0</v>
      </c>
      <c r="G254">
        <v>0</v>
      </c>
      <c r="H254">
        <v>0</v>
      </c>
      <c r="I254">
        <v>1</v>
      </c>
      <c r="J254">
        <v>0</v>
      </c>
      <c r="K254" t="s">
        <v>34</v>
      </c>
      <c r="L254" t="s">
        <v>50</v>
      </c>
    </row>
    <row r="255" spans="1:12">
      <c r="A255" t="s">
        <v>255</v>
      </c>
      <c r="B255" t="s">
        <v>31</v>
      </c>
      <c r="C255" t="s">
        <v>89</v>
      </c>
      <c r="D255">
        <v>2</v>
      </c>
      <c r="E255">
        <v>1.08</v>
      </c>
      <c r="F255">
        <v>-0.91999999999999993</v>
      </c>
      <c r="G255">
        <v>0.91999999999999993</v>
      </c>
      <c r="H255">
        <v>0</v>
      </c>
      <c r="I255">
        <v>1</v>
      </c>
      <c r="J255">
        <v>0</v>
      </c>
      <c r="K255" t="s">
        <v>34</v>
      </c>
      <c r="L255" t="s">
        <v>50</v>
      </c>
    </row>
    <row r="256" spans="1:12">
      <c r="A256" t="s">
        <v>255</v>
      </c>
      <c r="B256" t="s">
        <v>31</v>
      </c>
      <c r="C256" t="s">
        <v>90</v>
      </c>
      <c r="D256">
        <v>2</v>
      </c>
      <c r="E256">
        <v>1.08</v>
      </c>
      <c r="F256">
        <v>-0.91999999999999993</v>
      </c>
      <c r="G256">
        <v>0.91999999999999993</v>
      </c>
      <c r="H256">
        <v>0</v>
      </c>
      <c r="I256">
        <v>1</v>
      </c>
      <c r="J256">
        <v>0</v>
      </c>
      <c r="K256" t="s">
        <v>34</v>
      </c>
      <c r="L256" t="s">
        <v>50</v>
      </c>
    </row>
    <row r="257" spans="1:12">
      <c r="A257" t="s">
        <v>255</v>
      </c>
      <c r="B257" t="s">
        <v>31</v>
      </c>
      <c r="C257" t="s">
        <v>91</v>
      </c>
      <c r="D257">
        <v>1</v>
      </c>
      <c r="E257">
        <v>1.08</v>
      </c>
      <c r="F257">
        <v>8.0000000000000071E-2</v>
      </c>
      <c r="G257">
        <v>8.0000000000000071E-2</v>
      </c>
      <c r="H257">
        <v>0</v>
      </c>
      <c r="I257">
        <v>1</v>
      </c>
      <c r="J257">
        <v>0</v>
      </c>
      <c r="K257" t="s">
        <v>34</v>
      </c>
      <c r="L257" t="s">
        <v>50</v>
      </c>
    </row>
    <row r="258" spans="1:12">
      <c r="A258" t="s">
        <v>255</v>
      </c>
      <c r="B258" t="s">
        <v>31</v>
      </c>
      <c r="C258" t="s">
        <v>92</v>
      </c>
      <c r="D258">
        <v>2</v>
      </c>
      <c r="E258">
        <v>1.08</v>
      </c>
      <c r="F258">
        <v>-0.91999999999999993</v>
      </c>
      <c r="G258">
        <v>0.91999999999999993</v>
      </c>
      <c r="H258">
        <v>0</v>
      </c>
      <c r="I258">
        <v>1</v>
      </c>
      <c r="J258">
        <v>0</v>
      </c>
      <c r="K258" t="s">
        <v>34</v>
      </c>
      <c r="L258" t="s">
        <v>50</v>
      </c>
    </row>
    <row r="259" spans="1:12">
      <c r="A259" t="s">
        <v>255</v>
      </c>
      <c r="B259" t="s">
        <v>31</v>
      </c>
      <c r="C259" t="s">
        <v>93</v>
      </c>
      <c r="D259">
        <v>2</v>
      </c>
      <c r="E259">
        <v>2</v>
      </c>
      <c r="F259">
        <v>0</v>
      </c>
      <c r="G259">
        <v>0</v>
      </c>
      <c r="H259">
        <v>0</v>
      </c>
      <c r="I259">
        <v>1</v>
      </c>
      <c r="J259">
        <v>0</v>
      </c>
      <c r="K259" t="s">
        <v>34</v>
      </c>
      <c r="L259" t="s">
        <v>50</v>
      </c>
    </row>
    <row r="260" spans="1:12">
      <c r="A260" t="s">
        <v>255</v>
      </c>
      <c r="B260" t="s">
        <v>31</v>
      </c>
      <c r="C260" t="s">
        <v>94</v>
      </c>
      <c r="D260">
        <v>2</v>
      </c>
      <c r="E260">
        <v>2</v>
      </c>
      <c r="F260">
        <v>0</v>
      </c>
      <c r="G260">
        <v>0</v>
      </c>
      <c r="H260">
        <v>0</v>
      </c>
      <c r="I260">
        <v>1</v>
      </c>
      <c r="J260">
        <v>0</v>
      </c>
      <c r="K260" t="s">
        <v>34</v>
      </c>
      <c r="L260" t="s">
        <v>50</v>
      </c>
    </row>
    <row r="261" spans="1:12">
      <c r="A261" t="s">
        <v>255</v>
      </c>
      <c r="B261" t="s">
        <v>31</v>
      </c>
      <c r="C261" t="s">
        <v>95</v>
      </c>
      <c r="D261">
        <v>2</v>
      </c>
      <c r="E261">
        <v>2</v>
      </c>
      <c r="F261">
        <v>0</v>
      </c>
      <c r="G261">
        <v>0</v>
      </c>
      <c r="H261">
        <v>0</v>
      </c>
      <c r="I261">
        <v>1</v>
      </c>
      <c r="J261">
        <v>0</v>
      </c>
      <c r="K261" t="s">
        <v>34</v>
      </c>
      <c r="L261" t="s">
        <v>50</v>
      </c>
    </row>
    <row r="262" spans="1:12">
      <c r="A262" t="s">
        <v>255</v>
      </c>
      <c r="B262" t="s">
        <v>31</v>
      </c>
      <c r="C262" t="s">
        <v>96</v>
      </c>
      <c r="D262">
        <v>2</v>
      </c>
      <c r="E262">
        <v>2</v>
      </c>
      <c r="F262">
        <v>0</v>
      </c>
      <c r="G262">
        <v>0</v>
      </c>
      <c r="H262">
        <v>0</v>
      </c>
      <c r="I262">
        <v>1</v>
      </c>
      <c r="J262">
        <v>0</v>
      </c>
      <c r="K262" t="s">
        <v>34</v>
      </c>
      <c r="L262" t="s">
        <v>40</v>
      </c>
    </row>
    <row r="263" spans="1:12">
      <c r="A263" t="s">
        <v>255</v>
      </c>
      <c r="B263" t="s">
        <v>31</v>
      </c>
      <c r="C263" t="s">
        <v>31</v>
      </c>
      <c r="D263">
        <v>2</v>
      </c>
      <c r="E263">
        <v>2</v>
      </c>
      <c r="F263">
        <v>0</v>
      </c>
      <c r="G263">
        <v>0</v>
      </c>
      <c r="H263">
        <v>0</v>
      </c>
      <c r="I263">
        <v>1</v>
      </c>
      <c r="J263">
        <v>0</v>
      </c>
      <c r="K263" t="s">
        <v>34</v>
      </c>
      <c r="L263" t="s">
        <v>40</v>
      </c>
    </row>
    <row r="264" spans="1:12">
      <c r="A264" t="s">
        <v>255</v>
      </c>
      <c r="B264" t="s">
        <v>31</v>
      </c>
      <c r="C264" t="s">
        <v>30</v>
      </c>
      <c r="D264">
        <v>2</v>
      </c>
      <c r="E264">
        <v>2</v>
      </c>
      <c r="F264">
        <v>0</v>
      </c>
      <c r="G264">
        <v>0</v>
      </c>
      <c r="H264">
        <v>0</v>
      </c>
      <c r="I264">
        <v>1</v>
      </c>
      <c r="J264">
        <v>0</v>
      </c>
      <c r="K264" t="s">
        <v>34</v>
      </c>
      <c r="L264" t="s">
        <v>40</v>
      </c>
    </row>
    <row r="265" spans="1:12">
      <c r="A265" t="s">
        <v>255</v>
      </c>
      <c r="B265" t="s">
        <v>31</v>
      </c>
      <c r="C265" t="s">
        <v>97</v>
      </c>
      <c r="D265">
        <v>2</v>
      </c>
      <c r="E265">
        <v>2</v>
      </c>
      <c r="F265">
        <v>0</v>
      </c>
      <c r="G265">
        <v>0</v>
      </c>
      <c r="H265">
        <v>0</v>
      </c>
      <c r="I265">
        <v>1</v>
      </c>
      <c r="J265">
        <v>0</v>
      </c>
      <c r="K265" t="s">
        <v>34</v>
      </c>
      <c r="L265" t="s">
        <v>40</v>
      </c>
    </row>
    <row r="266" spans="1:12">
      <c r="A266" t="s">
        <v>255</v>
      </c>
      <c r="B266" t="s">
        <v>31</v>
      </c>
      <c r="C266" t="s">
        <v>98</v>
      </c>
      <c r="D266">
        <v>1</v>
      </c>
      <c r="E266">
        <v>2</v>
      </c>
      <c r="F266">
        <v>1</v>
      </c>
      <c r="G266">
        <v>1</v>
      </c>
      <c r="H266">
        <v>0</v>
      </c>
      <c r="I266">
        <v>1</v>
      </c>
      <c r="J266">
        <v>1</v>
      </c>
      <c r="K266" t="s">
        <v>37</v>
      </c>
      <c r="L266" t="s">
        <v>40</v>
      </c>
    </row>
    <row r="267" spans="1:12">
      <c r="A267" t="s">
        <v>255</v>
      </c>
      <c r="B267" t="s">
        <v>31</v>
      </c>
      <c r="C267" t="s">
        <v>99</v>
      </c>
      <c r="D267">
        <v>1</v>
      </c>
      <c r="E267">
        <v>2</v>
      </c>
      <c r="F267">
        <v>1</v>
      </c>
      <c r="G267">
        <v>1</v>
      </c>
      <c r="H267">
        <v>0</v>
      </c>
      <c r="I267">
        <v>1</v>
      </c>
      <c r="J267">
        <v>1</v>
      </c>
      <c r="K267" t="s">
        <v>37</v>
      </c>
      <c r="L267" t="s">
        <v>39</v>
      </c>
    </row>
    <row r="268" spans="1:12">
      <c r="A268" t="s">
        <v>255</v>
      </c>
      <c r="B268" t="s">
        <v>31</v>
      </c>
      <c r="C268" t="s">
        <v>100</v>
      </c>
      <c r="D268">
        <v>2</v>
      </c>
      <c r="E268">
        <v>2</v>
      </c>
      <c r="F268">
        <v>0</v>
      </c>
      <c r="G268">
        <v>0</v>
      </c>
      <c r="H268">
        <v>0</v>
      </c>
      <c r="I268">
        <v>1</v>
      </c>
      <c r="J268">
        <v>0</v>
      </c>
      <c r="K268" t="s">
        <v>34</v>
      </c>
      <c r="L268" t="s">
        <v>39</v>
      </c>
    </row>
    <row r="269" spans="1:12">
      <c r="A269" t="s">
        <v>255</v>
      </c>
      <c r="B269" t="s">
        <v>31</v>
      </c>
      <c r="C269" t="s">
        <v>101</v>
      </c>
      <c r="D269">
        <v>2</v>
      </c>
      <c r="E269">
        <v>2</v>
      </c>
      <c r="F269">
        <v>0</v>
      </c>
      <c r="G269">
        <v>0</v>
      </c>
      <c r="H269">
        <v>0</v>
      </c>
      <c r="I269">
        <v>1</v>
      </c>
      <c r="J269">
        <v>0</v>
      </c>
      <c r="K269" t="s">
        <v>34</v>
      </c>
      <c r="L269" t="s">
        <v>39</v>
      </c>
    </row>
    <row r="270" spans="1:12">
      <c r="A270" t="s">
        <v>255</v>
      </c>
      <c r="B270" t="s">
        <v>31</v>
      </c>
      <c r="C270" t="s">
        <v>102</v>
      </c>
      <c r="D270">
        <v>2</v>
      </c>
      <c r="E270">
        <v>2</v>
      </c>
      <c r="F270">
        <v>0</v>
      </c>
      <c r="G270">
        <v>0</v>
      </c>
      <c r="H270">
        <v>0</v>
      </c>
      <c r="I270">
        <v>1</v>
      </c>
      <c r="J270">
        <v>0</v>
      </c>
      <c r="K270" t="s">
        <v>34</v>
      </c>
      <c r="L270" t="s">
        <v>39</v>
      </c>
    </row>
    <row r="271" spans="1:12">
      <c r="A271" t="s">
        <v>255</v>
      </c>
      <c r="B271" t="s">
        <v>31</v>
      </c>
      <c r="C271" t="s">
        <v>103</v>
      </c>
      <c r="D271">
        <v>2</v>
      </c>
      <c r="E271">
        <v>1.08</v>
      </c>
      <c r="F271">
        <v>-0.91999999999999993</v>
      </c>
      <c r="G271">
        <v>0.91999999999999993</v>
      </c>
      <c r="H271">
        <v>0</v>
      </c>
      <c r="I271">
        <v>1</v>
      </c>
      <c r="J271">
        <v>0</v>
      </c>
      <c r="K271" t="s">
        <v>34</v>
      </c>
      <c r="L271" t="s">
        <v>39</v>
      </c>
    </row>
    <row r="272" spans="1:12">
      <c r="A272" t="s">
        <v>255</v>
      </c>
      <c r="B272" t="s">
        <v>31</v>
      </c>
      <c r="C272" t="s">
        <v>104</v>
      </c>
      <c r="D272">
        <v>2</v>
      </c>
      <c r="E272">
        <v>1.08</v>
      </c>
      <c r="F272">
        <v>-0.91999999999999993</v>
      </c>
      <c r="G272">
        <v>0.91999999999999993</v>
      </c>
      <c r="H272">
        <v>0</v>
      </c>
      <c r="I272">
        <v>1</v>
      </c>
      <c r="J272">
        <v>0</v>
      </c>
      <c r="K272" t="s">
        <v>34</v>
      </c>
      <c r="L272" t="s">
        <v>41</v>
      </c>
    </row>
    <row r="273" spans="1:12">
      <c r="A273" t="s">
        <v>255</v>
      </c>
      <c r="B273" t="s">
        <v>31</v>
      </c>
      <c r="C273" t="s">
        <v>105</v>
      </c>
      <c r="D273">
        <v>2</v>
      </c>
      <c r="E273">
        <v>2</v>
      </c>
      <c r="F273">
        <v>0</v>
      </c>
      <c r="G273">
        <v>0</v>
      </c>
      <c r="H273">
        <v>0</v>
      </c>
      <c r="I273">
        <v>1</v>
      </c>
      <c r="J273">
        <v>0</v>
      </c>
      <c r="K273" t="s">
        <v>34</v>
      </c>
      <c r="L273" t="s">
        <v>41</v>
      </c>
    </row>
    <row r="274" spans="1:12">
      <c r="A274" t="s">
        <v>255</v>
      </c>
      <c r="B274" t="s">
        <v>31</v>
      </c>
      <c r="C274" t="s">
        <v>106</v>
      </c>
      <c r="D274">
        <v>1</v>
      </c>
      <c r="E274">
        <v>2</v>
      </c>
      <c r="F274">
        <v>1</v>
      </c>
      <c r="G274">
        <v>1</v>
      </c>
      <c r="H274">
        <v>0</v>
      </c>
      <c r="I274">
        <v>1</v>
      </c>
      <c r="J274">
        <v>1</v>
      </c>
      <c r="K274" t="s">
        <v>37</v>
      </c>
      <c r="L274" t="s">
        <v>41</v>
      </c>
    </row>
    <row r="275" spans="1:12">
      <c r="A275" t="s">
        <v>255</v>
      </c>
      <c r="B275" t="s">
        <v>31</v>
      </c>
      <c r="C275" t="s">
        <v>107</v>
      </c>
      <c r="D275">
        <v>2</v>
      </c>
      <c r="E275">
        <v>2</v>
      </c>
      <c r="F275">
        <v>0</v>
      </c>
      <c r="G275">
        <v>0</v>
      </c>
      <c r="H275">
        <v>0</v>
      </c>
      <c r="I275">
        <v>1</v>
      </c>
      <c r="J275">
        <v>0</v>
      </c>
      <c r="K275" t="s">
        <v>34</v>
      </c>
      <c r="L275" t="s">
        <v>41</v>
      </c>
    </row>
    <row r="276" spans="1:12">
      <c r="A276" t="s">
        <v>255</v>
      </c>
      <c r="B276" t="s">
        <v>31</v>
      </c>
      <c r="C276" t="s">
        <v>108</v>
      </c>
      <c r="D276">
        <v>2</v>
      </c>
      <c r="E276">
        <v>2</v>
      </c>
      <c r="F276">
        <v>0</v>
      </c>
      <c r="G276">
        <v>0</v>
      </c>
      <c r="H276">
        <v>0</v>
      </c>
      <c r="I276">
        <v>1</v>
      </c>
      <c r="J276">
        <v>0</v>
      </c>
      <c r="K276" t="s">
        <v>34</v>
      </c>
      <c r="L276" t="s">
        <v>41</v>
      </c>
    </row>
    <row r="277" spans="1:12">
      <c r="A277" t="s">
        <v>255</v>
      </c>
      <c r="B277" t="s">
        <v>31</v>
      </c>
      <c r="C277" t="s">
        <v>109</v>
      </c>
      <c r="D277">
        <v>2</v>
      </c>
      <c r="E277">
        <v>2</v>
      </c>
      <c r="F277">
        <v>0</v>
      </c>
      <c r="G277">
        <v>0</v>
      </c>
      <c r="H277">
        <v>0</v>
      </c>
      <c r="I277">
        <v>1</v>
      </c>
      <c r="J277">
        <v>0</v>
      </c>
      <c r="K277" t="s">
        <v>34</v>
      </c>
      <c r="L277" t="s">
        <v>38</v>
      </c>
    </row>
    <row r="278" spans="1:12">
      <c r="A278" t="s">
        <v>255</v>
      </c>
      <c r="B278" t="s">
        <v>31</v>
      </c>
      <c r="C278" t="s">
        <v>110</v>
      </c>
      <c r="D278">
        <v>2</v>
      </c>
      <c r="E278">
        <v>2</v>
      </c>
      <c r="F278">
        <v>0</v>
      </c>
      <c r="G278">
        <v>0</v>
      </c>
      <c r="H278">
        <v>0</v>
      </c>
      <c r="I278">
        <v>1</v>
      </c>
      <c r="J278">
        <v>0</v>
      </c>
      <c r="K278" t="s">
        <v>34</v>
      </c>
      <c r="L278" t="s">
        <v>38</v>
      </c>
    </row>
    <row r="279" spans="1:12">
      <c r="A279" t="s">
        <v>255</v>
      </c>
      <c r="B279" t="s">
        <v>31</v>
      </c>
      <c r="C279" t="s">
        <v>111</v>
      </c>
      <c r="D279">
        <v>2</v>
      </c>
      <c r="E279">
        <v>2</v>
      </c>
      <c r="F279">
        <v>0</v>
      </c>
      <c r="G279">
        <v>0</v>
      </c>
      <c r="H279">
        <v>0</v>
      </c>
      <c r="I279">
        <v>1</v>
      </c>
      <c r="J279">
        <v>0</v>
      </c>
      <c r="K279" t="s">
        <v>34</v>
      </c>
      <c r="L279" t="s">
        <v>38</v>
      </c>
    </row>
    <row r="280" spans="1:12">
      <c r="A280" t="s">
        <v>255</v>
      </c>
      <c r="B280" t="s">
        <v>31</v>
      </c>
      <c r="C280" t="s">
        <v>112</v>
      </c>
      <c r="D280">
        <v>2</v>
      </c>
      <c r="E280">
        <v>2</v>
      </c>
      <c r="F280">
        <v>0</v>
      </c>
      <c r="G280">
        <v>0</v>
      </c>
      <c r="H280">
        <v>0</v>
      </c>
      <c r="I280">
        <v>1</v>
      </c>
      <c r="J280">
        <v>0</v>
      </c>
      <c r="K280" t="s">
        <v>34</v>
      </c>
      <c r="L280" t="s">
        <v>38</v>
      </c>
    </row>
    <row r="281" spans="1:12">
      <c r="A281" t="s">
        <v>255</v>
      </c>
      <c r="B281" t="s">
        <v>31</v>
      </c>
      <c r="C281" t="s">
        <v>113</v>
      </c>
      <c r="D281">
        <v>2</v>
      </c>
      <c r="E281">
        <v>2</v>
      </c>
      <c r="F281">
        <v>0</v>
      </c>
      <c r="G281">
        <v>0</v>
      </c>
      <c r="H281">
        <v>0</v>
      </c>
      <c r="I281">
        <v>1</v>
      </c>
      <c r="J281">
        <v>0</v>
      </c>
      <c r="K281" t="s">
        <v>34</v>
      </c>
      <c r="L281" t="s">
        <v>38</v>
      </c>
    </row>
    <row r="282" spans="1:12">
      <c r="A282" t="s">
        <v>255</v>
      </c>
      <c r="B282" t="s">
        <v>31</v>
      </c>
      <c r="C282" t="s">
        <v>114</v>
      </c>
      <c r="D282">
        <v>2</v>
      </c>
      <c r="E282">
        <v>2</v>
      </c>
      <c r="F282">
        <v>0</v>
      </c>
      <c r="G282">
        <v>0</v>
      </c>
      <c r="H282">
        <v>0</v>
      </c>
      <c r="I282">
        <v>1</v>
      </c>
      <c r="J282">
        <v>0</v>
      </c>
      <c r="K282" t="s">
        <v>34</v>
      </c>
      <c r="L282" t="s">
        <v>38</v>
      </c>
    </row>
    <row r="283" spans="1:12">
      <c r="A283" t="s">
        <v>255</v>
      </c>
      <c r="B283" t="s">
        <v>31</v>
      </c>
      <c r="C283" t="s">
        <v>115</v>
      </c>
      <c r="D283">
        <v>1</v>
      </c>
      <c r="E283">
        <v>2</v>
      </c>
      <c r="F283">
        <v>1</v>
      </c>
      <c r="G283">
        <v>1</v>
      </c>
      <c r="H283">
        <v>0</v>
      </c>
      <c r="I283">
        <v>1</v>
      </c>
      <c r="J283">
        <v>1</v>
      </c>
      <c r="K283" t="s">
        <v>37</v>
      </c>
      <c r="L283" t="s">
        <v>38</v>
      </c>
    </row>
    <row r="284" spans="1:12">
      <c r="A284" t="s">
        <v>255</v>
      </c>
      <c r="B284" t="s">
        <v>31</v>
      </c>
      <c r="C284" t="s">
        <v>116</v>
      </c>
      <c r="D284">
        <v>1</v>
      </c>
      <c r="E284">
        <v>2</v>
      </c>
      <c r="F284">
        <v>1</v>
      </c>
      <c r="G284">
        <v>1</v>
      </c>
      <c r="H284">
        <v>0</v>
      </c>
      <c r="I284">
        <v>1</v>
      </c>
      <c r="J284">
        <v>1</v>
      </c>
      <c r="K284" t="s">
        <v>37</v>
      </c>
      <c r="L284" t="s">
        <v>38</v>
      </c>
    </row>
    <row r="285" spans="1:12">
      <c r="A285" t="s">
        <v>255</v>
      </c>
      <c r="B285" t="s">
        <v>31</v>
      </c>
      <c r="C285" t="s">
        <v>117</v>
      </c>
      <c r="D285">
        <v>2</v>
      </c>
      <c r="E285">
        <v>2</v>
      </c>
      <c r="F285">
        <v>0</v>
      </c>
      <c r="G285">
        <v>0</v>
      </c>
      <c r="H285">
        <v>0</v>
      </c>
      <c r="I285">
        <v>1</v>
      </c>
      <c r="J285">
        <v>0</v>
      </c>
      <c r="K285" t="s">
        <v>34</v>
      </c>
      <c r="L285" t="s">
        <v>38</v>
      </c>
    </row>
    <row r="286" spans="1:12">
      <c r="A286" t="s">
        <v>255</v>
      </c>
      <c r="B286" t="s">
        <v>31</v>
      </c>
      <c r="C286" t="s">
        <v>118</v>
      </c>
      <c r="D286">
        <v>2</v>
      </c>
      <c r="E286">
        <v>2</v>
      </c>
      <c r="F286">
        <v>0</v>
      </c>
      <c r="G286">
        <v>0</v>
      </c>
      <c r="H286">
        <v>0</v>
      </c>
      <c r="I286">
        <v>1</v>
      </c>
      <c r="J286">
        <v>0</v>
      </c>
      <c r="K286" t="s">
        <v>34</v>
      </c>
      <c r="L286" t="s">
        <v>38</v>
      </c>
    </row>
    <row r="287" spans="1:12">
      <c r="A287" t="s">
        <v>255</v>
      </c>
      <c r="B287" t="s">
        <v>31</v>
      </c>
      <c r="C287" t="s">
        <v>119</v>
      </c>
      <c r="D287">
        <v>2</v>
      </c>
      <c r="E287">
        <v>2</v>
      </c>
      <c r="F287">
        <v>0</v>
      </c>
      <c r="G287">
        <v>0</v>
      </c>
      <c r="H287">
        <v>0</v>
      </c>
      <c r="I287">
        <v>1</v>
      </c>
      <c r="J287">
        <v>0</v>
      </c>
      <c r="K287" t="s">
        <v>34</v>
      </c>
      <c r="L287" t="s">
        <v>44</v>
      </c>
    </row>
    <row r="288" spans="1:12">
      <c r="A288" t="s">
        <v>255</v>
      </c>
      <c r="B288" t="s">
        <v>31</v>
      </c>
      <c r="C288" t="s">
        <v>120</v>
      </c>
      <c r="D288">
        <v>2</v>
      </c>
      <c r="E288">
        <v>2</v>
      </c>
      <c r="F288">
        <v>0</v>
      </c>
      <c r="G288">
        <v>0</v>
      </c>
      <c r="H288">
        <v>0</v>
      </c>
      <c r="I288">
        <v>1</v>
      </c>
      <c r="J288">
        <v>0</v>
      </c>
      <c r="K288" t="s">
        <v>34</v>
      </c>
      <c r="L288" t="s">
        <v>44</v>
      </c>
    </row>
    <row r="289" spans="1:12">
      <c r="A289" t="s">
        <v>255</v>
      </c>
      <c r="B289" t="s">
        <v>31</v>
      </c>
      <c r="C289" t="s">
        <v>121</v>
      </c>
      <c r="D289">
        <v>2</v>
      </c>
      <c r="E289">
        <v>1.08</v>
      </c>
      <c r="F289">
        <v>-0.91999999999999993</v>
      </c>
      <c r="G289">
        <v>0.91999999999999993</v>
      </c>
      <c r="H289">
        <v>0</v>
      </c>
      <c r="I289">
        <v>1</v>
      </c>
      <c r="J289">
        <v>0</v>
      </c>
      <c r="K289" t="s">
        <v>34</v>
      </c>
      <c r="L289" t="s">
        <v>44</v>
      </c>
    </row>
    <row r="290" spans="1:12">
      <c r="A290" t="s">
        <v>255</v>
      </c>
      <c r="B290" t="s">
        <v>31</v>
      </c>
      <c r="C290" t="s">
        <v>122</v>
      </c>
      <c r="D290">
        <v>2</v>
      </c>
      <c r="E290">
        <v>1.08</v>
      </c>
      <c r="F290">
        <v>-0.91999999999999993</v>
      </c>
      <c r="G290">
        <v>0.91999999999999993</v>
      </c>
      <c r="H290">
        <v>0</v>
      </c>
      <c r="I290">
        <v>1</v>
      </c>
      <c r="J290">
        <v>0</v>
      </c>
      <c r="K290" t="s">
        <v>34</v>
      </c>
      <c r="L290" t="s">
        <v>44</v>
      </c>
    </row>
    <row r="291" spans="1:12">
      <c r="A291" t="s">
        <v>255</v>
      </c>
      <c r="B291" t="s">
        <v>31</v>
      </c>
      <c r="C291" t="s">
        <v>123</v>
      </c>
      <c r="D291">
        <v>1</v>
      </c>
      <c r="E291">
        <v>1.08</v>
      </c>
      <c r="F291">
        <v>8.0000000000000071E-2</v>
      </c>
      <c r="G291">
        <v>8.0000000000000071E-2</v>
      </c>
      <c r="H291">
        <v>0</v>
      </c>
      <c r="I291">
        <v>1</v>
      </c>
      <c r="J291">
        <v>0</v>
      </c>
      <c r="K291" t="s">
        <v>34</v>
      </c>
      <c r="L291" t="s">
        <v>44</v>
      </c>
    </row>
    <row r="292" spans="1:12">
      <c r="A292" t="s">
        <v>255</v>
      </c>
      <c r="B292" t="s">
        <v>31</v>
      </c>
      <c r="C292" t="s">
        <v>124</v>
      </c>
      <c r="D292">
        <v>2</v>
      </c>
      <c r="E292">
        <v>1.08</v>
      </c>
      <c r="F292">
        <v>-0.91999999999999993</v>
      </c>
      <c r="G292">
        <v>0.91999999999999993</v>
      </c>
      <c r="H292">
        <v>0</v>
      </c>
      <c r="I292">
        <v>1</v>
      </c>
      <c r="J292">
        <v>0</v>
      </c>
      <c r="K292" t="s">
        <v>34</v>
      </c>
      <c r="L292" t="s">
        <v>45</v>
      </c>
    </row>
    <row r="293" spans="1:12">
      <c r="A293" t="s">
        <v>255</v>
      </c>
      <c r="B293" t="s">
        <v>31</v>
      </c>
      <c r="C293" t="s">
        <v>125</v>
      </c>
      <c r="D293">
        <v>2</v>
      </c>
      <c r="E293">
        <v>2</v>
      </c>
      <c r="F293">
        <v>0</v>
      </c>
      <c r="G293">
        <v>0</v>
      </c>
      <c r="H293">
        <v>0</v>
      </c>
      <c r="I293">
        <v>1</v>
      </c>
      <c r="J293">
        <v>0</v>
      </c>
      <c r="K293" t="s">
        <v>34</v>
      </c>
      <c r="L293" t="s">
        <v>45</v>
      </c>
    </row>
    <row r="294" spans="1:12">
      <c r="A294" t="s">
        <v>255</v>
      </c>
      <c r="B294" t="s">
        <v>31</v>
      </c>
      <c r="C294" t="s">
        <v>126</v>
      </c>
      <c r="D294">
        <v>2</v>
      </c>
      <c r="E294">
        <v>2</v>
      </c>
      <c r="F294">
        <v>0</v>
      </c>
      <c r="G294">
        <v>0</v>
      </c>
      <c r="H294">
        <v>0</v>
      </c>
      <c r="I294">
        <v>1</v>
      </c>
      <c r="J294">
        <v>0</v>
      </c>
      <c r="K294" t="s">
        <v>34</v>
      </c>
      <c r="L294" t="s">
        <v>45</v>
      </c>
    </row>
    <row r="295" spans="1:12">
      <c r="A295" t="s">
        <v>255</v>
      </c>
      <c r="B295" t="s">
        <v>31</v>
      </c>
      <c r="C295" t="s">
        <v>127</v>
      </c>
      <c r="D295">
        <v>2</v>
      </c>
      <c r="E295">
        <v>2</v>
      </c>
      <c r="F295">
        <v>0</v>
      </c>
      <c r="G295">
        <v>0</v>
      </c>
      <c r="H295">
        <v>0</v>
      </c>
      <c r="I295">
        <v>1</v>
      </c>
      <c r="J295">
        <v>0</v>
      </c>
      <c r="K295" t="s">
        <v>34</v>
      </c>
      <c r="L295" t="s">
        <v>45</v>
      </c>
    </row>
    <row r="296" spans="1:12">
      <c r="A296" t="s">
        <v>255</v>
      </c>
      <c r="B296" t="s">
        <v>31</v>
      </c>
      <c r="C296" t="s">
        <v>128</v>
      </c>
      <c r="D296">
        <v>2</v>
      </c>
      <c r="E296">
        <v>2</v>
      </c>
      <c r="F296">
        <v>0</v>
      </c>
      <c r="G296">
        <v>0</v>
      </c>
      <c r="H296">
        <v>0</v>
      </c>
      <c r="I296">
        <v>1</v>
      </c>
      <c r="J296">
        <v>0</v>
      </c>
      <c r="K296" t="s">
        <v>34</v>
      </c>
      <c r="L296" t="s">
        <v>45</v>
      </c>
    </row>
    <row r="297" spans="1:12">
      <c r="A297" t="s">
        <v>255</v>
      </c>
      <c r="B297" t="s">
        <v>31</v>
      </c>
      <c r="C297" t="s">
        <v>129</v>
      </c>
      <c r="D297">
        <v>2</v>
      </c>
      <c r="E297">
        <v>2</v>
      </c>
      <c r="F297">
        <v>0</v>
      </c>
      <c r="G297">
        <v>0</v>
      </c>
      <c r="H297">
        <v>0</v>
      </c>
      <c r="I297">
        <v>1</v>
      </c>
      <c r="J297">
        <v>0</v>
      </c>
      <c r="K297" t="s">
        <v>34</v>
      </c>
      <c r="L297" t="s">
        <v>46</v>
      </c>
    </row>
    <row r="298" spans="1:12">
      <c r="A298" t="s">
        <v>255</v>
      </c>
      <c r="B298" t="s">
        <v>31</v>
      </c>
      <c r="C298" t="s">
        <v>130</v>
      </c>
      <c r="D298">
        <v>2</v>
      </c>
      <c r="E298">
        <v>2</v>
      </c>
      <c r="F298">
        <v>0</v>
      </c>
      <c r="G298">
        <v>0</v>
      </c>
      <c r="H298">
        <v>0</v>
      </c>
      <c r="I298">
        <v>1</v>
      </c>
      <c r="J298">
        <v>0</v>
      </c>
      <c r="K298" t="s">
        <v>34</v>
      </c>
      <c r="L298" t="s">
        <v>46</v>
      </c>
    </row>
    <row r="299" spans="1:12">
      <c r="A299" t="s">
        <v>255</v>
      </c>
      <c r="B299" t="s">
        <v>31</v>
      </c>
      <c r="C299" t="s">
        <v>131</v>
      </c>
      <c r="D299">
        <v>2</v>
      </c>
      <c r="E299">
        <v>2</v>
      </c>
      <c r="F299">
        <v>0</v>
      </c>
      <c r="G299">
        <v>0</v>
      </c>
      <c r="H299">
        <v>0</v>
      </c>
      <c r="I299">
        <v>1</v>
      </c>
      <c r="J299">
        <v>0</v>
      </c>
      <c r="K299" t="s">
        <v>34</v>
      </c>
      <c r="L299" t="s">
        <v>46</v>
      </c>
    </row>
    <row r="300" spans="1:12">
      <c r="A300" t="s">
        <v>255</v>
      </c>
      <c r="B300" t="s">
        <v>31</v>
      </c>
      <c r="C300" t="s">
        <v>132</v>
      </c>
      <c r="D300">
        <v>1</v>
      </c>
      <c r="E300">
        <v>2</v>
      </c>
      <c r="F300">
        <v>1</v>
      </c>
      <c r="G300">
        <v>1</v>
      </c>
      <c r="H300">
        <v>0</v>
      </c>
      <c r="I300">
        <v>1</v>
      </c>
      <c r="J300">
        <v>1</v>
      </c>
      <c r="K300" t="s">
        <v>37</v>
      </c>
      <c r="L300" t="s">
        <v>46</v>
      </c>
    </row>
    <row r="301" spans="1:12">
      <c r="A301" t="s">
        <v>255</v>
      </c>
      <c r="B301" t="s">
        <v>31</v>
      </c>
      <c r="C301" t="s">
        <v>133</v>
      </c>
      <c r="D301">
        <v>1</v>
      </c>
      <c r="E301">
        <v>2</v>
      </c>
      <c r="F301">
        <v>1</v>
      </c>
      <c r="G301">
        <v>1</v>
      </c>
      <c r="H301">
        <v>0</v>
      </c>
      <c r="I301">
        <v>1</v>
      </c>
      <c r="J301">
        <v>1</v>
      </c>
      <c r="K301" t="s">
        <v>37</v>
      </c>
      <c r="L301" t="s">
        <v>46</v>
      </c>
    </row>
    <row r="302" spans="1:12">
      <c r="A302" t="s">
        <v>255</v>
      </c>
      <c r="B302" t="s">
        <v>31</v>
      </c>
      <c r="C302" t="s">
        <v>134</v>
      </c>
      <c r="D302">
        <v>2</v>
      </c>
      <c r="E302">
        <v>2</v>
      </c>
      <c r="F302">
        <v>0</v>
      </c>
      <c r="G302">
        <v>0</v>
      </c>
      <c r="H302">
        <v>0</v>
      </c>
      <c r="I302">
        <v>1</v>
      </c>
      <c r="J302">
        <v>0</v>
      </c>
      <c r="K302" t="s">
        <v>34</v>
      </c>
      <c r="L302" t="s">
        <v>47</v>
      </c>
    </row>
    <row r="303" spans="1:12">
      <c r="A303" t="s">
        <v>255</v>
      </c>
      <c r="B303" t="s">
        <v>31</v>
      </c>
      <c r="C303" t="s">
        <v>135</v>
      </c>
      <c r="D303">
        <v>2</v>
      </c>
      <c r="E303">
        <v>2</v>
      </c>
      <c r="F303">
        <v>0</v>
      </c>
      <c r="G303">
        <v>0</v>
      </c>
      <c r="H303">
        <v>0</v>
      </c>
      <c r="I303">
        <v>1</v>
      </c>
      <c r="J303">
        <v>0</v>
      </c>
      <c r="K303" t="s">
        <v>34</v>
      </c>
      <c r="L303" t="s">
        <v>47</v>
      </c>
    </row>
    <row r="304" spans="1:12">
      <c r="A304" t="s">
        <v>255</v>
      </c>
      <c r="B304" t="s">
        <v>31</v>
      </c>
      <c r="C304" t="s">
        <v>136</v>
      </c>
      <c r="D304">
        <v>2</v>
      </c>
      <c r="E304">
        <v>2</v>
      </c>
      <c r="F304">
        <v>0</v>
      </c>
      <c r="G304">
        <v>0</v>
      </c>
      <c r="H304">
        <v>0</v>
      </c>
      <c r="I304">
        <v>1</v>
      </c>
      <c r="J304">
        <v>0</v>
      </c>
      <c r="K304" t="s">
        <v>34</v>
      </c>
      <c r="L304" t="s">
        <v>47</v>
      </c>
    </row>
    <row r="305" spans="1:12">
      <c r="A305" t="s">
        <v>255</v>
      </c>
      <c r="B305" t="s">
        <v>31</v>
      </c>
      <c r="C305" t="s">
        <v>137</v>
      </c>
      <c r="D305">
        <v>2</v>
      </c>
      <c r="E305">
        <v>1.08</v>
      </c>
      <c r="F305">
        <v>-0.91999999999999993</v>
      </c>
      <c r="G305">
        <v>0.91999999999999993</v>
      </c>
      <c r="H305">
        <v>0</v>
      </c>
      <c r="I305">
        <v>1</v>
      </c>
      <c r="J305">
        <v>0</v>
      </c>
      <c r="K305" t="s">
        <v>34</v>
      </c>
      <c r="L305" t="s">
        <v>47</v>
      </c>
    </row>
    <row r="306" spans="1:12">
      <c r="A306" t="s">
        <v>255</v>
      </c>
      <c r="B306" t="s">
        <v>31</v>
      </c>
      <c r="C306" t="s">
        <v>138</v>
      </c>
      <c r="D306">
        <v>2</v>
      </c>
      <c r="E306">
        <v>1.08</v>
      </c>
      <c r="F306">
        <v>-0.91999999999999993</v>
      </c>
      <c r="G306">
        <v>0.91999999999999993</v>
      </c>
      <c r="H306">
        <v>0</v>
      </c>
      <c r="I306">
        <v>1</v>
      </c>
      <c r="J306">
        <v>0</v>
      </c>
      <c r="K306" t="s">
        <v>34</v>
      </c>
      <c r="L306" t="s">
        <v>47</v>
      </c>
    </row>
    <row r="307" spans="1:12">
      <c r="A307" t="s">
        <v>255</v>
      </c>
      <c r="B307" t="s">
        <v>31</v>
      </c>
      <c r="C307" t="s">
        <v>139</v>
      </c>
      <c r="D307">
        <v>2</v>
      </c>
      <c r="E307">
        <v>2</v>
      </c>
      <c r="F307">
        <v>0</v>
      </c>
      <c r="G307">
        <v>0</v>
      </c>
      <c r="H307">
        <v>0</v>
      </c>
      <c r="I307">
        <v>1</v>
      </c>
      <c r="J307">
        <v>0</v>
      </c>
      <c r="K307" t="s">
        <v>34</v>
      </c>
      <c r="L307" t="s">
        <v>42</v>
      </c>
    </row>
    <row r="308" spans="1:12">
      <c r="A308" t="s">
        <v>255</v>
      </c>
      <c r="B308" t="s">
        <v>31</v>
      </c>
      <c r="C308" t="s">
        <v>140</v>
      </c>
      <c r="D308">
        <v>1</v>
      </c>
      <c r="E308">
        <v>2</v>
      </c>
      <c r="F308">
        <v>1</v>
      </c>
      <c r="G308">
        <v>1</v>
      </c>
      <c r="H308">
        <v>0</v>
      </c>
      <c r="I308">
        <v>1</v>
      </c>
      <c r="J308">
        <v>1</v>
      </c>
      <c r="K308" t="s">
        <v>37</v>
      </c>
      <c r="L308" t="s">
        <v>42</v>
      </c>
    </row>
    <row r="309" spans="1:12">
      <c r="A309" t="s">
        <v>255</v>
      </c>
      <c r="B309" t="s">
        <v>31</v>
      </c>
      <c r="C309" t="s">
        <v>141</v>
      </c>
      <c r="D309">
        <v>2</v>
      </c>
      <c r="E309">
        <v>2</v>
      </c>
      <c r="F309">
        <v>0</v>
      </c>
      <c r="G309">
        <v>0</v>
      </c>
      <c r="H309">
        <v>0</v>
      </c>
      <c r="I309">
        <v>1</v>
      </c>
      <c r="J309">
        <v>0</v>
      </c>
      <c r="K309" t="s">
        <v>34</v>
      </c>
      <c r="L309" t="s">
        <v>42</v>
      </c>
    </row>
    <row r="310" spans="1:12">
      <c r="A310" t="s">
        <v>255</v>
      </c>
      <c r="B310" t="s">
        <v>31</v>
      </c>
      <c r="C310" t="s">
        <v>142</v>
      </c>
      <c r="D310">
        <v>3</v>
      </c>
      <c r="E310">
        <v>2</v>
      </c>
      <c r="F310">
        <v>-1</v>
      </c>
      <c r="G310">
        <v>1</v>
      </c>
      <c r="H310">
        <v>1</v>
      </c>
      <c r="I310">
        <v>1</v>
      </c>
      <c r="J310">
        <v>1</v>
      </c>
      <c r="K310" t="s">
        <v>33</v>
      </c>
      <c r="L310" t="s">
        <v>42</v>
      </c>
    </row>
    <row r="311" spans="1:12">
      <c r="A311" t="s">
        <v>255</v>
      </c>
      <c r="B311" t="s">
        <v>31</v>
      </c>
      <c r="C311" t="s">
        <v>143</v>
      </c>
      <c r="D311">
        <v>4</v>
      </c>
      <c r="E311">
        <v>2</v>
      </c>
      <c r="F311">
        <v>-2</v>
      </c>
      <c r="G311">
        <v>2</v>
      </c>
      <c r="H311">
        <v>1</v>
      </c>
      <c r="I311">
        <v>0</v>
      </c>
      <c r="J311">
        <v>1</v>
      </c>
      <c r="K311" t="s">
        <v>36</v>
      </c>
      <c r="L311" t="s">
        <v>42</v>
      </c>
    </row>
    <row r="312" spans="1:12">
      <c r="A312" t="s">
        <v>255</v>
      </c>
      <c r="B312" t="s">
        <v>31</v>
      </c>
      <c r="C312" t="s">
        <v>144</v>
      </c>
      <c r="D312">
        <v>4</v>
      </c>
      <c r="E312">
        <v>2</v>
      </c>
      <c r="F312">
        <v>-2</v>
      </c>
      <c r="G312">
        <v>2</v>
      </c>
      <c r="H312">
        <v>1</v>
      </c>
      <c r="I312">
        <v>0</v>
      </c>
      <c r="J312">
        <v>1</v>
      </c>
      <c r="K312" t="s">
        <v>36</v>
      </c>
      <c r="L312" t="s">
        <v>43</v>
      </c>
    </row>
    <row r="313" spans="1:12">
      <c r="A313" t="s">
        <v>255</v>
      </c>
      <c r="B313" t="s">
        <v>31</v>
      </c>
      <c r="C313" t="s">
        <v>145</v>
      </c>
      <c r="D313">
        <v>4</v>
      </c>
      <c r="E313">
        <v>2</v>
      </c>
      <c r="F313">
        <v>-2</v>
      </c>
      <c r="G313">
        <v>2</v>
      </c>
      <c r="H313">
        <v>1</v>
      </c>
      <c r="I313">
        <v>0</v>
      </c>
      <c r="J313">
        <v>1</v>
      </c>
      <c r="K313" t="s">
        <v>36</v>
      </c>
      <c r="L313" t="s">
        <v>43</v>
      </c>
    </row>
    <row r="314" spans="1:12">
      <c r="A314" t="s">
        <v>255</v>
      </c>
      <c r="B314" t="s">
        <v>31</v>
      </c>
      <c r="C314" t="s">
        <v>146</v>
      </c>
      <c r="D314">
        <v>4</v>
      </c>
      <c r="E314">
        <v>2</v>
      </c>
      <c r="F314">
        <v>-2</v>
      </c>
      <c r="G314">
        <v>2</v>
      </c>
      <c r="H314">
        <v>1</v>
      </c>
      <c r="I314">
        <v>0</v>
      </c>
      <c r="J314">
        <v>1</v>
      </c>
      <c r="K314" t="s">
        <v>36</v>
      </c>
      <c r="L314" t="s">
        <v>43</v>
      </c>
    </row>
    <row r="315" spans="1:12">
      <c r="A315" t="s">
        <v>255</v>
      </c>
      <c r="B315" t="s">
        <v>31</v>
      </c>
      <c r="C315" t="s">
        <v>147</v>
      </c>
      <c r="D315">
        <v>4</v>
      </c>
      <c r="E315">
        <v>2</v>
      </c>
      <c r="F315">
        <v>-2</v>
      </c>
      <c r="G315">
        <v>2</v>
      </c>
      <c r="H315">
        <v>1</v>
      </c>
      <c r="I315">
        <v>0</v>
      </c>
      <c r="J315">
        <v>1</v>
      </c>
      <c r="K315" t="s">
        <v>36</v>
      </c>
      <c r="L315" t="s">
        <v>43</v>
      </c>
    </row>
    <row r="316" spans="1:12">
      <c r="A316" t="s">
        <v>255</v>
      </c>
      <c r="B316" t="s">
        <v>31</v>
      </c>
      <c r="C316" t="s">
        <v>148</v>
      </c>
      <c r="D316">
        <v>5</v>
      </c>
      <c r="E316">
        <v>2</v>
      </c>
      <c r="F316">
        <v>-3</v>
      </c>
      <c r="G316">
        <v>3</v>
      </c>
      <c r="H316">
        <v>1</v>
      </c>
      <c r="I316">
        <v>0</v>
      </c>
      <c r="J316">
        <v>1</v>
      </c>
      <c r="K316" t="s">
        <v>36</v>
      </c>
      <c r="L316" t="s">
        <v>43</v>
      </c>
    </row>
    <row r="317" spans="1:12">
      <c r="A317" t="s">
        <v>255</v>
      </c>
      <c r="B317" t="s">
        <v>31</v>
      </c>
      <c r="C317" t="s">
        <v>149</v>
      </c>
      <c r="D317">
        <v>5</v>
      </c>
      <c r="E317">
        <v>2</v>
      </c>
      <c r="F317">
        <v>-3</v>
      </c>
      <c r="G317">
        <v>3</v>
      </c>
      <c r="H317">
        <v>1</v>
      </c>
      <c r="I317">
        <v>0</v>
      </c>
      <c r="J317">
        <v>1</v>
      </c>
      <c r="K317" t="s">
        <v>36</v>
      </c>
      <c r="L317" t="s">
        <v>48</v>
      </c>
    </row>
    <row r="318" spans="1:12">
      <c r="A318" t="s">
        <v>255</v>
      </c>
      <c r="B318" t="s">
        <v>31</v>
      </c>
      <c r="C318" t="s">
        <v>150</v>
      </c>
      <c r="D318">
        <v>5</v>
      </c>
      <c r="E318">
        <v>2</v>
      </c>
      <c r="F318">
        <v>-3</v>
      </c>
      <c r="G318">
        <v>3</v>
      </c>
      <c r="H318">
        <v>1</v>
      </c>
      <c r="I318">
        <v>0</v>
      </c>
      <c r="J318">
        <v>1</v>
      </c>
      <c r="K318" t="s">
        <v>36</v>
      </c>
      <c r="L318" t="s">
        <v>48</v>
      </c>
    </row>
    <row r="319" spans="1:12">
      <c r="A319" t="s">
        <v>255</v>
      </c>
      <c r="B319" t="s">
        <v>31</v>
      </c>
      <c r="C319" t="s">
        <v>151</v>
      </c>
      <c r="D319">
        <v>5</v>
      </c>
      <c r="E319">
        <v>2</v>
      </c>
      <c r="F319">
        <v>-3</v>
      </c>
      <c r="G319">
        <v>3</v>
      </c>
      <c r="H319">
        <v>1</v>
      </c>
      <c r="I319">
        <v>0</v>
      </c>
      <c r="J319">
        <v>1</v>
      </c>
      <c r="K319" t="s">
        <v>36</v>
      </c>
      <c r="L319" t="s">
        <v>48</v>
      </c>
    </row>
    <row r="320" spans="1:12">
      <c r="A320" t="s">
        <v>255</v>
      </c>
      <c r="B320" t="s">
        <v>31</v>
      </c>
      <c r="C320" t="s">
        <v>152</v>
      </c>
      <c r="D320">
        <v>5</v>
      </c>
      <c r="E320">
        <v>2</v>
      </c>
      <c r="F320">
        <v>-3</v>
      </c>
      <c r="G320">
        <v>3</v>
      </c>
      <c r="H320">
        <v>1</v>
      </c>
      <c r="I320">
        <v>0</v>
      </c>
      <c r="J320">
        <v>1</v>
      </c>
      <c r="K320" t="s">
        <v>36</v>
      </c>
      <c r="L320" t="s">
        <v>48</v>
      </c>
    </row>
    <row r="321" spans="1:12">
      <c r="A321" t="s">
        <v>255</v>
      </c>
      <c r="B321" t="s">
        <v>31</v>
      </c>
      <c r="C321" t="s">
        <v>153</v>
      </c>
      <c r="D321">
        <v>5</v>
      </c>
      <c r="E321">
        <v>2</v>
      </c>
      <c r="F321">
        <v>-3</v>
      </c>
      <c r="G321">
        <v>3</v>
      </c>
      <c r="H321">
        <v>1</v>
      </c>
      <c r="I321">
        <v>0</v>
      </c>
      <c r="J321">
        <v>1</v>
      </c>
      <c r="K321" t="s">
        <v>36</v>
      </c>
      <c r="L321" t="s">
        <v>48</v>
      </c>
    </row>
    <row r="322" spans="1:12">
      <c r="A322" t="s">
        <v>265</v>
      </c>
      <c r="B322" t="s">
        <v>30</v>
      </c>
      <c r="C322" t="s">
        <v>76</v>
      </c>
      <c r="D322">
        <v>2</v>
      </c>
      <c r="E322">
        <v>1.61</v>
      </c>
      <c r="F322">
        <v>-0.3899999999999999</v>
      </c>
      <c r="G322">
        <v>0.3899999999999999</v>
      </c>
      <c r="H322">
        <v>0</v>
      </c>
      <c r="I322">
        <v>1</v>
      </c>
      <c r="J322">
        <v>0</v>
      </c>
      <c r="K322" t="s">
        <v>34</v>
      </c>
      <c r="L322" t="s">
        <v>49</v>
      </c>
    </row>
    <row r="323" spans="1:12">
      <c r="A323" t="s">
        <v>265</v>
      </c>
      <c r="B323" t="s">
        <v>30</v>
      </c>
      <c r="C323" t="s">
        <v>77</v>
      </c>
      <c r="D323">
        <v>2</v>
      </c>
      <c r="E323">
        <v>1.61</v>
      </c>
      <c r="F323">
        <v>-0.3899999999999999</v>
      </c>
      <c r="G323">
        <v>0.3899999999999999</v>
      </c>
      <c r="H323">
        <v>0</v>
      </c>
      <c r="I323">
        <v>1</v>
      </c>
      <c r="J323">
        <v>0</v>
      </c>
      <c r="K323" t="s">
        <v>34</v>
      </c>
      <c r="L323" t="s">
        <v>49</v>
      </c>
    </row>
    <row r="324" spans="1:12">
      <c r="A324" t="s">
        <v>265</v>
      </c>
      <c r="B324" t="s">
        <v>30</v>
      </c>
      <c r="C324" t="s">
        <v>78</v>
      </c>
      <c r="D324">
        <v>2</v>
      </c>
      <c r="E324">
        <v>1.61</v>
      </c>
      <c r="F324">
        <v>-0.3899999999999999</v>
      </c>
      <c r="G324">
        <v>0.3899999999999999</v>
      </c>
      <c r="H324">
        <v>0</v>
      </c>
      <c r="I324">
        <v>1</v>
      </c>
      <c r="J324">
        <v>0</v>
      </c>
      <c r="K324" t="s">
        <v>34</v>
      </c>
      <c r="L324" t="s">
        <v>49</v>
      </c>
    </row>
    <row r="325" spans="1:12">
      <c r="A325" t="s">
        <v>265</v>
      </c>
      <c r="B325" t="s">
        <v>30</v>
      </c>
      <c r="C325" t="s">
        <v>79</v>
      </c>
      <c r="D325">
        <v>2</v>
      </c>
      <c r="E325">
        <v>1.61</v>
      </c>
      <c r="F325">
        <v>-0.3899999999999999</v>
      </c>
      <c r="G325">
        <v>0.3899999999999999</v>
      </c>
      <c r="H325">
        <v>0</v>
      </c>
      <c r="I325">
        <v>1</v>
      </c>
      <c r="J325">
        <v>0</v>
      </c>
      <c r="K325" t="s">
        <v>34</v>
      </c>
      <c r="L325" t="s">
        <v>49</v>
      </c>
    </row>
    <row r="326" spans="1:12">
      <c r="A326" t="s">
        <v>265</v>
      </c>
      <c r="B326" t="s">
        <v>30</v>
      </c>
      <c r="C326" t="s">
        <v>80</v>
      </c>
      <c r="D326">
        <v>2</v>
      </c>
      <c r="E326">
        <v>1.61</v>
      </c>
      <c r="F326">
        <v>-0.3899999999999999</v>
      </c>
      <c r="G326">
        <v>0.3899999999999999</v>
      </c>
      <c r="H326">
        <v>0</v>
      </c>
      <c r="I326">
        <v>1</v>
      </c>
      <c r="J326">
        <v>0</v>
      </c>
      <c r="K326" t="s">
        <v>34</v>
      </c>
      <c r="L326" t="s">
        <v>49</v>
      </c>
    </row>
    <row r="327" spans="1:12">
      <c r="A327" t="s">
        <v>265</v>
      </c>
      <c r="B327" t="s">
        <v>30</v>
      </c>
      <c r="C327" t="s">
        <v>81</v>
      </c>
      <c r="D327">
        <v>2</v>
      </c>
      <c r="E327">
        <v>1.61</v>
      </c>
      <c r="F327">
        <v>-0.3899999999999999</v>
      </c>
      <c r="G327">
        <v>0.3899999999999999</v>
      </c>
      <c r="H327">
        <v>0</v>
      </c>
      <c r="I327">
        <v>1</v>
      </c>
      <c r="J327">
        <v>0</v>
      </c>
      <c r="K327" t="s">
        <v>34</v>
      </c>
      <c r="L327" t="s">
        <v>49</v>
      </c>
    </row>
    <row r="328" spans="1:12">
      <c r="A328" t="s">
        <v>265</v>
      </c>
      <c r="B328" t="s">
        <v>30</v>
      </c>
      <c r="C328" t="s">
        <v>82</v>
      </c>
      <c r="D328">
        <v>2</v>
      </c>
      <c r="E328">
        <v>1.61</v>
      </c>
      <c r="F328">
        <v>-0.3899999999999999</v>
      </c>
      <c r="G328">
        <v>0.3899999999999999</v>
      </c>
      <c r="H328">
        <v>0</v>
      </c>
      <c r="I328">
        <v>1</v>
      </c>
      <c r="J328">
        <v>0</v>
      </c>
      <c r="K328" t="s">
        <v>34</v>
      </c>
      <c r="L328" t="s">
        <v>49</v>
      </c>
    </row>
    <row r="329" spans="1:12">
      <c r="A329" t="s">
        <v>265</v>
      </c>
      <c r="B329" t="s">
        <v>30</v>
      </c>
      <c r="C329" t="s">
        <v>83</v>
      </c>
      <c r="D329">
        <v>1</v>
      </c>
      <c r="E329">
        <v>1.61</v>
      </c>
      <c r="F329">
        <v>0.6100000000000001</v>
      </c>
      <c r="G329">
        <v>0.6100000000000001</v>
      </c>
      <c r="H329">
        <v>0</v>
      </c>
      <c r="I329">
        <v>1</v>
      </c>
      <c r="J329">
        <v>0</v>
      </c>
      <c r="K329" t="s">
        <v>34</v>
      </c>
      <c r="L329" t="s">
        <v>49</v>
      </c>
    </row>
    <row r="330" spans="1:12">
      <c r="A330" t="s">
        <v>265</v>
      </c>
      <c r="B330" t="s">
        <v>30</v>
      </c>
      <c r="C330" t="s">
        <v>84</v>
      </c>
      <c r="D330">
        <v>1</v>
      </c>
      <c r="E330">
        <v>1.61</v>
      </c>
      <c r="F330">
        <v>0.6100000000000001</v>
      </c>
      <c r="G330">
        <v>0.6100000000000001</v>
      </c>
      <c r="H330">
        <v>0</v>
      </c>
      <c r="I330">
        <v>1</v>
      </c>
      <c r="J330">
        <v>0</v>
      </c>
      <c r="K330" t="s">
        <v>34</v>
      </c>
      <c r="L330" t="s">
        <v>49</v>
      </c>
    </row>
    <row r="331" spans="1:12">
      <c r="A331" t="s">
        <v>265</v>
      </c>
      <c r="B331" t="s">
        <v>30</v>
      </c>
      <c r="C331" t="s">
        <v>85</v>
      </c>
      <c r="D331">
        <v>2</v>
      </c>
      <c r="E331">
        <v>1.61</v>
      </c>
      <c r="F331">
        <v>-0.3899999999999999</v>
      </c>
      <c r="G331">
        <v>0.3899999999999999</v>
      </c>
      <c r="H331">
        <v>0</v>
      </c>
      <c r="I331">
        <v>1</v>
      </c>
      <c r="J331">
        <v>0</v>
      </c>
      <c r="K331" t="s">
        <v>34</v>
      </c>
      <c r="L331" t="s">
        <v>49</v>
      </c>
    </row>
    <row r="332" spans="1:12">
      <c r="A332" t="s">
        <v>265</v>
      </c>
      <c r="B332" t="s">
        <v>30</v>
      </c>
      <c r="C332" t="s">
        <v>86</v>
      </c>
      <c r="D332">
        <v>2</v>
      </c>
      <c r="E332">
        <v>1.61</v>
      </c>
      <c r="F332">
        <v>-0.3899999999999999</v>
      </c>
      <c r="G332">
        <v>0.3899999999999999</v>
      </c>
      <c r="H332">
        <v>0</v>
      </c>
      <c r="I332">
        <v>1</v>
      </c>
      <c r="J332">
        <v>0</v>
      </c>
      <c r="K332" t="s">
        <v>34</v>
      </c>
      <c r="L332" t="s">
        <v>50</v>
      </c>
    </row>
    <row r="333" spans="1:12">
      <c r="A333" t="s">
        <v>265</v>
      </c>
      <c r="B333" t="s">
        <v>30</v>
      </c>
      <c r="C333" t="s">
        <v>87</v>
      </c>
      <c r="D333">
        <v>2</v>
      </c>
      <c r="E333">
        <v>1.61</v>
      </c>
      <c r="F333">
        <v>-0.3899999999999999</v>
      </c>
      <c r="G333">
        <v>0.3899999999999999</v>
      </c>
      <c r="H333">
        <v>0</v>
      </c>
      <c r="I333">
        <v>1</v>
      </c>
      <c r="J333">
        <v>0</v>
      </c>
      <c r="K333" t="s">
        <v>34</v>
      </c>
      <c r="L333" t="s">
        <v>50</v>
      </c>
    </row>
    <row r="334" spans="1:12">
      <c r="A334" t="s">
        <v>265</v>
      </c>
      <c r="B334" t="s">
        <v>30</v>
      </c>
      <c r="C334" t="s">
        <v>88</v>
      </c>
      <c r="D334">
        <v>2</v>
      </c>
      <c r="E334">
        <v>1.61</v>
      </c>
      <c r="F334">
        <v>-0.3899999999999999</v>
      </c>
      <c r="G334">
        <v>0.3899999999999999</v>
      </c>
      <c r="H334">
        <v>0</v>
      </c>
      <c r="I334">
        <v>1</v>
      </c>
      <c r="J334">
        <v>0</v>
      </c>
      <c r="K334" t="s">
        <v>34</v>
      </c>
      <c r="L334" t="s">
        <v>50</v>
      </c>
    </row>
    <row r="335" spans="1:12">
      <c r="A335" t="s">
        <v>265</v>
      </c>
      <c r="B335" t="s">
        <v>30</v>
      </c>
      <c r="C335" t="s">
        <v>89</v>
      </c>
      <c r="D335">
        <v>2</v>
      </c>
      <c r="E335">
        <v>0.72</v>
      </c>
      <c r="F335">
        <v>-1.28</v>
      </c>
      <c r="G335">
        <v>1.28</v>
      </c>
      <c r="H335">
        <v>1</v>
      </c>
      <c r="I335">
        <v>0</v>
      </c>
      <c r="J335">
        <v>1</v>
      </c>
      <c r="K335" t="s">
        <v>33</v>
      </c>
      <c r="L335" t="s">
        <v>50</v>
      </c>
    </row>
    <row r="336" spans="1:12">
      <c r="A336" t="s">
        <v>265</v>
      </c>
      <c r="B336" t="s">
        <v>30</v>
      </c>
      <c r="C336" t="s">
        <v>90</v>
      </c>
      <c r="D336">
        <v>2</v>
      </c>
      <c r="E336">
        <v>0.72</v>
      </c>
      <c r="F336">
        <v>-1.28</v>
      </c>
      <c r="G336">
        <v>1.28</v>
      </c>
      <c r="H336">
        <v>1</v>
      </c>
      <c r="I336">
        <v>0</v>
      </c>
      <c r="J336">
        <v>1</v>
      </c>
      <c r="K336" t="s">
        <v>33</v>
      </c>
      <c r="L336" t="s">
        <v>50</v>
      </c>
    </row>
    <row r="337" spans="1:12">
      <c r="A337" t="s">
        <v>265</v>
      </c>
      <c r="B337" t="s">
        <v>30</v>
      </c>
      <c r="C337" t="s">
        <v>91</v>
      </c>
      <c r="D337">
        <v>1</v>
      </c>
      <c r="E337">
        <v>0.72</v>
      </c>
      <c r="F337">
        <v>-0.28000000000000003</v>
      </c>
      <c r="G337">
        <v>0.28000000000000003</v>
      </c>
      <c r="H337">
        <v>0</v>
      </c>
      <c r="I337">
        <v>1</v>
      </c>
      <c r="J337">
        <v>0</v>
      </c>
      <c r="K337" t="s">
        <v>34</v>
      </c>
      <c r="L337" t="s">
        <v>50</v>
      </c>
    </row>
    <row r="338" spans="1:12">
      <c r="A338" t="s">
        <v>265</v>
      </c>
      <c r="B338" t="s">
        <v>30</v>
      </c>
      <c r="C338" t="s">
        <v>92</v>
      </c>
      <c r="D338">
        <v>2</v>
      </c>
      <c r="E338">
        <v>0.72</v>
      </c>
      <c r="F338">
        <v>-1.28</v>
      </c>
      <c r="G338">
        <v>1.28</v>
      </c>
      <c r="H338">
        <v>1</v>
      </c>
      <c r="I338">
        <v>0</v>
      </c>
      <c r="J338">
        <v>1</v>
      </c>
      <c r="K338" t="s">
        <v>33</v>
      </c>
      <c r="L338" t="s">
        <v>50</v>
      </c>
    </row>
    <row r="339" spans="1:12">
      <c r="A339" t="s">
        <v>265</v>
      </c>
      <c r="B339" t="s">
        <v>30</v>
      </c>
      <c r="C339" t="s">
        <v>93</v>
      </c>
      <c r="D339">
        <v>2</v>
      </c>
      <c r="E339">
        <v>1.61</v>
      </c>
      <c r="F339">
        <v>-0.3899999999999999</v>
      </c>
      <c r="G339">
        <v>0.3899999999999999</v>
      </c>
      <c r="H339">
        <v>0</v>
      </c>
      <c r="I339">
        <v>1</v>
      </c>
      <c r="J339">
        <v>0</v>
      </c>
      <c r="K339" t="s">
        <v>34</v>
      </c>
      <c r="L339" t="s">
        <v>50</v>
      </c>
    </row>
    <row r="340" spans="1:12">
      <c r="A340" t="s">
        <v>265</v>
      </c>
      <c r="B340" t="s">
        <v>30</v>
      </c>
      <c r="C340" t="s">
        <v>94</v>
      </c>
      <c r="D340">
        <v>2</v>
      </c>
      <c r="E340">
        <v>1.61</v>
      </c>
      <c r="F340">
        <v>-0.3899999999999999</v>
      </c>
      <c r="G340">
        <v>0.3899999999999999</v>
      </c>
      <c r="H340">
        <v>0</v>
      </c>
      <c r="I340">
        <v>1</v>
      </c>
      <c r="J340">
        <v>0</v>
      </c>
      <c r="K340" t="s">
        <v>34</v>
      </c>
      <c r="L340" t="s">
        <v>50</v>
      </c>
    </row>
    <row r="341" spans="1:12">
      <c r="A341" t="s">
        <v>265</v>
      </c>
      <c r="B341" t="s">
        <v>30</v>
      </c>
      <c r="C341" t="s">
        <v>95</v>
      </c>
      <c r="D341">
        <v>2</v>
      </c>
      <c r="E341">
        <v>1.61</v>
      </c>
      <c r="F341">
        <v>-0.3899999999999999</v>
      </c>
      <c r="G341">
        <v>0.3899999999999999</v>
      </c>
      <c r="H341">
        <v>0</v>
      </c>
      <c r="I341">
        <v>1</v>
      </c>
      <c r="J341">
        <v>0</v>
      </c>
      <c r="K341" t="s">
        <v>34</v>
      </c>
      <c r="L341" t="s">
        <v>50</v>
      </c>
    </row>
    <row r="342" spans="1:12">
      <c r="A342" t="s">
        <v>265</v>
      </c>
      <c r="B342" t="s">
        <v>30</v>
      </c>
      <c r="C342" t="s">
        <v>96</v>
      </c>
      <c r="D342">
        <v>2</v>
      </c>
      <c r="E342">
        <v>1.61</v>
      </c>
      <c r="F342">
        <v>-0.3899999999999999</v>
      </c>
      <c r="G342">
        <v>0.3899999999999999</v>
      </c>
      <c r="H342">
        <v>0</v>
      </c>
      <c r="I342">
        <v>1</v>
      </c>
      <c r="J342">
        <v>0</v>
      </c>
      <c r="K342" t="s">
        <v>34</v>
      </c>
      <c r="L342" t="s">
        <v>40</v>
      </c>
    </row>
    <row r="343" spans="1:12">
      <c r="A343" t="s">
        <v>265</v>
      </c>
      <c r="B343" t="s">
        <v>30</v>
      </c>
      <c r="C343" t="s">
        <v>31</v>
      </c>
      <c r="D343">
        <v>2</v>
      </c>
      <c r="E343">
        <v>1.61</v>
      </c>
      <c r="F343">
        <v>-0.3899999999999999</v>
      </c>
      <c r="G343">
        <v>0.3899999999999999</v>
      </c>
      <c r="H343">
        <v>0</v>
      </c>
      <c r="I343">
        <v>1</v>
      </c>
      <c r="J343">
        <v>0</v>
      </c>
      <c r="K343" t="s">
        <v>34</v>
      </c>
      <c r="L343" t="s">
        <v>40</v>
      </c>
    </row>
    <row r="344" spans="1:12">
      <c r="A344" t="s">
        <v>265</v>
      </c>
      <c r="B344" t="s">
        <v>30</v>
      </c>
      <c r="C344" t="s">
        <v>30</v>
      </c>
      <c r="D344">
        <v>2</v>
      </c>
      <c r="E344">
        <v>1.61</v>
      </c>
      <c r="F344">
        <v>-0.3899999999999999</v>
      </c>
      <c r="G344">
        <v>0.3899999999999999</v>
      </c>
      <c r="H344">
        <v>0</v>
      </c>
      <c r="I344">
        <v>1</v>
      </c>
      <c r="J344">
        <v>0</v>
      </c>
      <c r="K344" t="s">
        <v>34</v>
      </c>
      <c r="L344" t="s">
        <v>40</v>
      </c>
    </row>
    <row r="345" spans="1:12">
      <c r="A345" t="s">
        <v>265</v>
      </c>
      <c r="B345" t="s">
        <v>30</v>
      </c>
      <c r="C345" t="s">
        <v>97</v>
      </c>
      <c r="D345">
        <v>2</v>
      </c>
      <c r="E345">
        <v>1.61</v>
      </c>
      <c r="F345">
        <v>-0.3899999999999999</v>
      </c>
      <c r="G345">
        <v>0.3899999999999999</v>
      </c>
      <c r="H345">
        <v>0</v>
      </c>
      <c r="I345">
        <v>1</v>
      </c>
      <c r="J345">
        <v>0</v>
      </c>
      <c r="K345" t="s">
        <v>34</v>
      </c>
      <c r="L345" t="s">
        <v>40</v>
      </c>
    </row>
    <row r="346" spans="1:12">
      <c r="A346" t="s">
        <v>265</v>
      </c>
      <c r="B346" t="s">
        <v>30</v>
      </c>
      <c r="C346" t="s">
        <v>98</v>
      </c>
      <c r="D346">
        <v>1</v>
      </c>
      <c r="E346">
        <v>1.61</v>
      </c>
      <c r="F346">
        <v>0.6100000000000001</v>
      </c>
      <c r="G346">
        <v>0.6100000000000001</v>
      </c>
      <c r="H346">
        <v>0</v>
      </c>
      <c r="I346">
        <v>1</v>
      </c>
      <c r="J346">
        <v>0</v>
      </c>
      <c r="K346" t="s">
        <v>34</v>
      </c>
      <c r="L346" t="s">
        <v>40</v>
      </c>
    </row>
    <row r="347" spans="1:12">
      <c r="A347" t="s">
        <v>265</v>
      </c>
      <c r="B347" t="s">
        <v>30</v>
      </c>
      <c r="C347" t="s">
        <v>99</v>
      </c>
      <c r="D347">
        <v>1</v>
      </c>
      <c r="E347">
        <v>1.61</v>
      </c>
      <c r="F347">
        <v>0.6100000000000001</v>
      </c>
      <c r="G347">
        <v>0.6100000000000001</v>
      </c>
      <c r="H347">
        <v>0</v>
      </c>
      <c r="I347">
        <v>1</v>
      </c>
      <c r="J347">
        <v>0</v>
      </c>
      <c r="K347" t="s">
        <v>34</v>
      </c>
      <c r="L347" t="s">
        <v>39</v>
      </c>
    </row>
    <row r="348" spans="1:12">
      <c r="A348" t="s">
        <v>265</v>
      </c>
      <c r="B348" t="s">
        <v>30</v>
      </c>
      <c r="C348" t="s">
        <v>100</v>
      </c>
      <c r="D348">
        <v>2</v>
      </c>
      <c r="E348">
        <v>1.61</v>
      </c>
      <c r="F348">
        <v>-0.3899999999999999</v>
      </c>
      <c r="G348">
        <v>0.3899999999999999</v>
      </c>
      <c r="H348">
        <v>0</v>
      </c>
      <c r="I348">
        <v>1</v>
      </c>
      <c r="J348">
        <v>0</v>
      </c>
      <c r="K348" t="s">
        <v>34</v>
      </c>
      <c r="L348" t="s">
        <v>39</v>
      </c>
    </row>
    <row r="349" spans="1:12">
      <c r="A349" t="s">
        <v>265</v>
      </c>
      <c r="B349" t="s">
        <v>30</v>
      </c>
      <c r="C349" t="s">
        <v>101</v>
      </c>
      <c r="D349">
        <v>2</v>
      </c>
      <c r="E349">
        <v>1.61</v>
      </c>
      <c r="F349">
        <v>-0.3899999999999999</v>
      </c>
      <c r="G349">
        <v>0.3899999999999999</v>
      </c>
      <c r="H349">
        <v>0</v>
      </c>
      <c r="I349">
        <v>1</v>
      </c>
      <c r="J349">
        <v>0</v>
      </c>
      <c r="K349" t="s">
        <v>34</v>
      </c>
      <c r="L349" t="s">
        <v>39</v>
      </c>
    </row>
    <row r="350" spans="1:12">
      <c r="A350" t="s">
        <v>265</v>
      </c>
      <c r="B350" t="s">
        <v>30</v>
      </c>
      <c r="C350" t="s">
        <v>102</v>
      </c>
      <c r="D350">
        <v>2</v>
      </c>
      <c r="E350">
        <v>1.61</v>
      </c>
      <c r="F350">
        <v>-0.3899999999999999</v>
      </c>
      <c r="G350">
        <v>0.3899999999999999</v>
      </c>
      <c r="H350">
        <v>0</v>
      </c>
      <c r="I350">
        <v>1</v>
      </c>
      <c r="J350">
        <v>0</v>
      </c>
      <c r="K350" t="s">
        <v>34</v>
      </c>
      <c r="L350" t="s">
        <v>39</v>
      </c>
    </row>
    <row r="351" spans="1:12">
      <c r="A351" t="s">
        <v>265</v>
      </c>
      <c r="B351" t="s">
        <v>30</v>
      </c>
      <c r="C351" t="s">
        <v>103</v>
      </c>
      <c r="D351">
        <v>2</v>
      </c>
      <c r="E351">
        <v>0.72</v>
      </c>
      <c r="F351">
        <v>-1.28</v>
      </c>
      <c r="G351">
        <v>1.28</v>
      </c>
      <c r="H351">
        <v>1</v>
      </c>
      <c r="I351">
        <v>0</v>
      </c>
      <c r="J351">
        <v>1</v>
      </c>
      <c r="K351" t="s">
        <v>33</v>
      </c>
      <c r="L351" t="s">
        <v>39</v>
      </c>
    </row>
    <row r="352" spans="1:12">
      <c r="A352" t="s">
        <v>265</v>
      </c>
      <c r="B352" t="s">
        <v>30</v>
      </c>
      <c r="C352" t="s">
        <v>104</v>
      </c>
      <c r="D352">
        <v>2</v>
      </c>
      <c r="E352">
        <v>0.72</v>
      </c>
      <c r="F352">
        <v>-1.28</v>
      </c>
      <c r="G352">
        <v>1.28</v>
      </c>
      <c r="H352">
        <v>1</v>
      </c>
      <c r="I352">
        <v>0</v>
      </c>
      <c r="J352">
        <v>1</v>
      </c>
      <c r="K352" t="s">
        <v>33</v>
      </c>
      <c r="L352" t="s">
        <v>41</v>
      </c>
    </row>
    <row r="353" spans="1:12">
      <c r="A353" t="s">
        <v>265</v>
      </c>
      <c r="B353" t="s">
        <v>30</v>
      </c>
      <c r="C353" t="s">
        <v>105</v>
      </c>
      <c r="D353">
        <v>2</v>
      </c>
      <c r="E353">
        <v>1.61</v>
      </c>
      <c r="F353">
        <v>-0.3899999999999999</v>
      </c>
      <c r="G353">
        <v>0.3899999999999999</v>
      </c>
      <c r="H353">
        <v>0</v>
      </c>
      <c r="I353">
        <v>1</v>
      </c>
      <c r="J353">
        <v>0</v>
      </c>
      <c r="K353" t="s">
        <v>34</v>
      </c>
      <c r="L353" t="s">
        <v>41</v>
      </c>
    </row>
    <row r="354" spans="1:12">
      <c r="A354" t="s">
        <v>265</v>
      </c>
      <c r="B354" t="s">
        <v>30</v>
      </c>
      <c r="C354" t="s">
        <v>106</v>
      </c>
      <c r="D354">
        <v>1</v>
      </c>
      <c r="E354">
        <v>1.61</v>
      </c>
      <c r="F354">
        <v>0.6100000000000001</v>
      </c>
      <c r="G354">
        <v>0.6100000000000001</v>
      </c>
      <c r="H354">
        <v>0</v>
      </c>
      <c r="I354">
        <v>1</v>
      </c>
      <c r="J354">
        <v>0</v>
      </c>
      <c r="K354" t="s">
        <v>34</v>
      </c>
      <c r="L354" t="s">
        <v>41</v>
      </c>
    </row>
    <row r="355" spans="1:12">
      <c r="A355" t="s">
        <v>265</v>
      </c>
      <c r="B355" t="s">
        <v>30</v>
      </c>
      <c r="C355" t="s">
        <v>107</v>
      </c>
      <c r="D355">
        <v>2</v>
      </c>
      <c r="E355">
        <v>1.61</v>
      </c>
      <c r="F355">
        <v>-0.3899999999999999</v>
      </c>
      <c r="G355">
        <v>0.3899999999999999</v>
      </c>
      <c r="H355">
        <v>0</v>
      </c>
      <c r="I355">
        <v>1</v>
      </c>
      <c r="J355">
        <v>0</v>
      </c>
      <c r="K355" t="s">
        <v>34</v>
      </c>
      <c r="L355" t="s">
        <v>41</v>
      </c>
    </row>
    <row r="356" spans="1:12">
      <c r="A356" t="s">
        <v>265</v>
      </c>
      <c r="B356" t="s">
        <v>30</v>
      </c>
      <c r="C356" t="s">
        <v>108</v>
      </c>
      <c r="D356">
        <v>2</v>
      </c>
      <c r="E356">
        <v>1.61</v>
      </c>
      <c r="F356">
        <v>-0.3899999999999999</v>
      </c>
      <c r="G356">
        <v>0.3899999999999999</v>
      </c>
      <c r="H356">
        <v>0</v>
      </c>
      <c r="I356">
        <v>1</v>
      </c>
      <c r="J356">
        <v>0</v>
      </c>
      <c r="K356" t="s">
        <v>34</v>
      </c>
      <c r="L356" t="s">
        <v>41</v>
      </c>
    </row>
    <row r="357" spans="1:12">
      <c r="A357" t="s">
        <v>265</v>
      </c>
      <c r="B357" t="s">
        <v>30</v>
      </c>
      <c r="C357" t="s">
        <v>109</v>
      </c>
      <c r="D357">
        <v>2</v>
      </c>
      <c r="E357">
        <v>1.61</v>
      </c>
      <c r="F357">
        <v>-0.3899999999999999</v>
      </c>
      <c r="G357">
        <v>0.3899999999999999</v>
      </c>
      <c r="H357">
        <v>0</v>
      </c>
      <c r="I357">
        <v>1</v>
      </c>
      <c r="J357">
        <v>0</v>
      </c>
      <c r="K357" t="s">
        <v>34</v>
      </c>
      <c r="L357" t="s">
        <v>38</v>
      </c>
    </row>
    <row r="358" spans="1:12">
      <c r="A358" t="s">
        <v>265</v>
      </c>
      <c r="B358" t="s">
        <v>30</v>
      </c>
      <c r="C358" t="s">
        <v>110</v>
      </c>
      <c r="D358">
        <v>2</v>
      </c>
      <c r="E358">
        <v>1.61</v>
      </c>
      <c r="F358">
        <v>-0.3899999999999999</v>
      </c>
      <c r="G358">
        <v>0.3899999999999999</v>
      </c>
      <c r="H358">
        <v>0</v>
      </c>
      <c r="I358">
        <v>1</v>
      </c>
      <c r="J358">
        <v>0</v>
      </c>
      <c r="K358" t="s">
        <v>34</v>
      </c>
      <c r="L358" t="s">
        <v>38</v>
      </c>
    </row>
    <row r="359" spans="1:12">
      <c r="A359" t="s">
        <v>265</v>
      </c>
      <c r="B359" t="s">
        <v>30</v>
      </c>
      <c r="C359" t="s">
        <v>111</v>
      </c>
      <c r="D359">
        <v>2</v>
      </c>
      <c r="E359">
        <v>1.61</v>
      </c>
      <c r="F359">
        <v>-0.3899999999999999</v>
      </c>
      <c r="G359">
        <v>0.3899999999999999</v>
      </c>
      <c r="H359">
        <v>0</v>
      </c>
      <c r="I359">
        <v>1</v>
      </c>
      <c r="J359">
        <v>0</v>
      </c>
      <c r="K359" t="s">
        <v>34</v>
      </c>
      <c r="L359" t="s">
        <v>38</v>
      </c>
    </row>
    <row r="360" spans="1:12">
      <c r="A360" t="s">
        <v>265</v>
      </c>
      <c r="B360" t="s">
        <v>30</v>
      </c>
      <c r="C360" t="s">
        <v>112</v>
      </c>
      <c r="D360">
        <v>2</v>
      </c>
      <c r="E360">
        <v>1.61</v>
      </c>
      <c r="F360">
        <v>-0.3899999999999999</v>
      </c>
      <c r="G360">
        <v>0.3899999999999999</v>
      </c>
      <c r="H360">
        <v>0</v>
      </c>
      <c r="I360">
        <v>1</v>
      </c>
      <c r="J360">
        <v>0</v>
      </c>
      <c r="K360" t="s">
        <v>34</v>
      </c>
      <c r="L360" t="s">
        <v>38</v>
      </c>
    </row>
    <row r="361" spans="1:12">
      <c r="A361" t="s">
        <v>265</v>
      </c>
      <c r="B361" t="s">
        <v>30</v>
      </c>
      <c r="C361" t="s">
        <v>113</v>
      </c>
      <c r="D361">
        <v>2</v>
      </c>
      <c r="E361">
        <v>1.61</v>
      </c>
      <c r="F361">
        <v>-0.3899999999999999</v>
      </c>
      <c r="G361">
        <v>0.3899999999999999</v>
      </c>
      <c r="H361">
        <v>0</v>
      </c>
      <c r="I361">
        <v>1</v>
      </c>
      <c r="J361">
        <v>0</v>
      </c>
      <c r="K361" t="s">
        <v>34</v>
      </c>
      <c r="L361" t="s">
        <v>38</v>
      </c>
    </row>
    <row r="362" spans="1:12">
      <c r="A362" t="s">
        <v>265</v>
      </c>
      <c r="B362" t="s">
        <v>30</v>
      </c>
      <c r="C362" t="s">
        <v>114</v>
      </c>
      <c r="D362">
        <v>2</v>
      </c>
      <c r="E362">
        <v>1.61</v>
      </c>
      <c r="F362">
        <v>-0.3899999999999999</v>
      </c>
      <c r="G362">
        <v>0.3899999999999999</v>
      </c>
      <c r="H362">
        <v>0</v>
      </c>
      <c r="I362">
        <v>1</v>
      </c>
      <c r="J362">
        <v>0</v>
      </c>
      <c r="K362" t="s">
        <v>34</v>
      </c>
      <c r="L362" t="s">
        <v>38</v>
      </c>
    </row>
    <row r="363" spans="1:12">
      <c r="A363" t="s">
        <v>265</v>
      </c>
      <c r="B363" t="s">
        <v>30</v>
      </c>
      <c r="C363" t="s">
        <v>115</v>
      </c>
      <c r="D363">
        <v>1</v>
      </c>
      <c r="E363">
        <v>1.61</v>
      </c>
      <c r="F363">
        <v>0.6100000000000001</v>
      </c>
      <c r="G363">
        <v>0.6100000000000001</v>
      </c>
      <c r="H363">
        <v>0</v>
      </c>
      <c r="I363">
        <v>1</v>
      </c>
      <c r="J363">
        <v>0</v>
      </c>
      <c r="K363" t="s">
        <v>34</v>
      </c>
      <c r="L363" t="s">
        <v>38</v>
      </c>
    </row>
    <row r="364" spans="1:12">
      <c r="A364" t="s">
        <v>265</v>
      </c>
      <c r="B364" t="s">
        <v>30</v>
      </c>
      <c r="C364" t="s">
        <v>116</v>
      </c>
      <c r="D364">
        <v>1</v>
      </c>
      <c r="E364">
        <v>1.61</v>
      </c>
      <c r="F364">
        <v>0.6100000000000001</v>
      </c>
      <c r="G364">
        <v>0.6100000000000001</v>
      </c>
      <c r="H364">
        <v>0</v>
      </c>
      <c r="I364">
        <v>1</v>
      </c>
      <c r="J364">
        <v>0</v>
      </c>
      <c r="K364" t="s">
        <v>34</v>
      </c>
      <c r="L364" t="s">
        <v>38</v>
      </c>
    </row>
    <row r="365" spans="1:12">
      <c r="A365" t="s">
        <v>265</v>
      </c>
      <c r="B365" t="s">
        <v>30</v>
      </c>
      <c r="C365" t="s">
        <v>117</v>
      </c>
      <c r="D365">
        <v>2</v>
      </c>
      <c r="E365">
        <v>1.61</v>
      </c>
      <c r="F365">
        <v>-0.3899999999999999</v>
      </c>
      <c r="G365">
        <v>0.3899999999999999</v>
      </c>
      <c r="H365">
        <v>0</v>
      </c>
      <c r="I365">
        <v>1</v>
      </c>
      <c r="J365">
        <v>0</v>
      </c>
      <c r="K365" t="s">
        <v>34</v>
      </c>
      <c r="L365" t="s">
        <v>38</v>
      </c>
    </row>
    <row r="366" spans="1:12">
      <c r="A366" t="s">
        <v>265</v>
      </c>
      <c r="B366" t="s">
        <v>30</v>
      </c>
      <c r="C366" t="s">
        <v>118</v>
      </c>
      <c r="D366">
        <v>2</v>
      </c>
      <c r="E366">
        <v>1.61</v>
      </c>
      <c r="F366">
        <v>-0.3899999999999999</v>
      </c>
      <c r="G366">
        <v>0.3899999999999999</v>
      </c>
      <c r="H366">
        <v>0</v>
      </c>
      <c r="I366">
        <v>1</v>
      </c>
      <c r="J366">
        <v>0</v>
      </c>
      <c r="K366" t="s">
        <v>34</v>
      </c>
      <c r="L366" t="s">
        <v>38</v>
      </c>
    </row>
    <row r="367" spans="1:12">
      <c r="A367" t="s">
        <v>265</v>
      </c>
      <c r="B367" t="s">
        <v>30</v>
      </c>
      <c r="C367" t="s">
        <v>119</v>
      </c>
      <c r="D367">
        <v>2</v>
      </c>
      <c r="E367">
        <v>1.61</v>
      </c>
      <c r="F367">
        <v>-0.3899999999999999</v>
      </c>
      <c r="G367">
        <v>0.3899999999999999</v>
      </c>
      <c r="H367">
        <v>0</v>
      </c>
      <c r="I367">
        <v>1</v>
      </c>
      <c r="J367">
        <v>0</v>
      </c>
      <c r="K367" t="s">
        <v>34</v>
      </c>
      <c r="L367" t="s">
        <v>44</v>
      </c>
    </row>
    <row r="368" spans="1:12">
      <c r="A368" t="s">
        <v>265</v>
      </c>
      <c r="B368" t="s">
        <v>30</v>
      </c>
      <c r="C368" t="s">
        <v>120</v>
      </c>
      <c r="D368">
        <v>2</v>
      </c>
      <c r="E368">
        <v>1.61</v>
      </c>
      <c r="F368">
        <v>-0.3899999999999999</v>
      </c>
      <c r="G368">
        <v>0.3899999999999999</v>
      </c>
      <c r="H368">
        <v>0</v>
      </c>
      <c r="I368">
        <v>1</v>
      </c>
      <c r="J368">
        <v>0</v>
      </c>
      <c r="K368" t="s">
        <v>34</v>
      </c>
      <c r="L368" t="s">
        <v>44</v>
      </c>
    </row>
    <row r="369" spans="1:12">
      <c r="A369" t="s">
        <v>265</v>
      </c>
      <c r="B369" t="s">
        <v>30</v>
      </c>
      <c r="C369" t="s">
        <v>121</v>
      </c>
      <c r="D369">
        <v>2</v>
      </c>
      <c r="E369">
        <v>0.72</v>
      </c>
      <c r="F369">
        <v>-1.28</v>
      </c>
      <c r="G369">
        <v>1.28</v>
      </c>
      <c r="H369">
        <v>1</v>
      </c>
      <c r="I369">
        <v>0</v>
      </c>
      <c r="J369">
        <v>1</v>
      </c>
      <c r="K369" t="s">
        <v>33</v>
      </c>
      <c r="L369" t="s">
        <v>44</v>
      </c>
    </row>
    <row r="370" spans="1:12">
      <c r="A370" t="s">
        <v>265</v>
      </c>
      <c r="B370" t="s">
        <v>30</v>
      </c>
      <c r="C370" t="s">
        <v>122</v>
      </c>
      <c r="D370">
        <v>2</v>
      </c>
      <c r="E370">
        <v>0.72</v>
      </c>
      <c r="F370">
        <v>-1.28</v>
      </c>
      <c r="G370">
        <v>1.28</v>
      </c>
      <c r="H370">
        <v>1</v>
      </c>
      <c r="I370">
        <v>0</v>
      </c>
      <c r="J370">
        <v>1</v>
      </c>
      <c r="K370" t="s">
        <v>33</v>
      </c>
      <c r="L370" t="s">
        <v>44</v>
      </c>
    </row>
    <row r="371" spans="1:12">
      <c r="A371" t="s">
        <v>265</v>
      </c>
      <c r="B371" t="s">
        <v>30</v>
      </c>
      <c r="C371" t="s">
        <v>123</v>
      </c>
      <c r="D371">
        <v>1</v>
      </c>
      <c r="E371">
        <v>1.08</v>
      </c>
      <c r="F371">
        <v>8.0000000000000071E-2</v>
      </c>
      <c r="G371">
        <v>8.0000000000000071E-2</v>
      </c>
      <c r="H371">
        <v>0</v>
      </c>
      <c r="I371">
        <v>1</v>
      </c>
      <c r="J371">
        <v>0</v>
      </c>
      <c r="K371" t="s">
        <v>34</v>
      </c>
      <c r="L371" t="s">
        <v>44</v>
      </c>
    </row>
    <row r="372" spans="1:12">
      <c r="A372" t="s">
        <v>265</v>
      </c>
      <c r="B372" t="s">
        <v>30</v>
      </c>
      <c r="C372" t="s">
        <v>124</v>
      </c>
      <c r="D372">
        <v>2</v>
      </c>
      <c r="E372">
        <v>1.08</v>
      </c>
      <c r="F372">
        <v>-0.91999999999999993</v>
      </c>
      <c r="G372">
        <v>0.91999999999999993</v>
      </c>
      <c r="H372">
        <v>0</v>
      </c>
      <c r="I372">
        <v>1</v>
      </c>
      <c r="J372">
        <v>0</v>
      </c>
      <c r="K372" t="s">
        <v>34</v>
      </c>
      <c r="L372" t="s">
        <v>45</v>
      </c>
    </row>
    <row r="373" spans="1:12">
      <c r="A373" t="s">
        <v>265</v>
      </c>
      <c r="B373" t="s">
        <v>30</v>
      </c>
      <c r="C373" t="s">
        <v>125</v>
      </c>
      <c r="D373">
        <v>2</v>
      </c>
      <c r="E373">
        <v>2</v>
      </c>
      <c r="F373">
        <v>0</v>
      </c>
      <c r="G373">
        <v>0</v>
      </c>
      <c r="H373">
        <v>0</v>
      </c>
      <c r="I373">
        <v>1</v>
      </c>
      <c r="J373">
        <v>0</v>
      </c>
      <c r="K373" t="s">
        <v>34</v>
      </c>
      <c r="L373" t="s">
        <v>45</v>
      </c>
    </row>
    <row r="374" spans="1:12">
      <c r="A374" t="s">
        <v>265</v>
      </c>
      <c r="B374" t="s">
        <v>30</v>
      </c>
      <c r="C374" t="s">
        <v>126</v>
      </c>
      <c r="D374">
        <v>2</v>
      </c>
      <c r="E374">
        <v>2</v>
      </c>
      <c r="F374">
        <v>0</v>
      </c>
      <c r="G374">
        <v>0</v>
      </c>
      <c r="H374">
        <v>0</v>
      </c>
      <c r="I374">
        <v>1</v>
      </c>
      <c r="J374">
        <v>0</v>
      </c>
      <c r="K374" t="s">
        <v>34</v>
      </c>
      <c r="L374" t="s">
        <v>45</v>
      </c>
    </row>
    <row r="375" spans="1:12">
      <c r="A375" t="s">
        <v>265</v>
      </c>
      <c r="B375" t="s">
        <v>30</v>
      </c>
      <c r="C375" t="s">
        <v>127</v>
      </c>
      <c r="D375">
        <v>2</v>
      </c>
      <c r="E375">
        <v>2</v>
      </c>
      <c r="F375">
        <v>0</v>
      </c>
      <c r="G375">
        <v>0</v>
      </c>
      <c r="H375">
        <v>0</v>
      </c>
      <c r="I375">
        <v>1</v>
      </c>
      <c r="J375">
        <v>0</v>
      </c>
      <c r="K375" t="s">
        <v>34</v>
      </c>
      <c r="L375" t="s">
        <v>45</v>
      </c>
    </row>
    <row r="376" spans="1:12">
      <c r="A376" t="s">
        <v>265</v>
      </c>
      <c r="B376" t="s">
        <v>30</v>
      </c>
      <c r="C376" t="s">
        <v>128</v>
      </c>
      <c r="D376">
        <v>2</v>
      </c>
      <c r="E376">
        <v>2</v>
      </c>
      <c r="F376">
        <v>0</v>
      </c>
      <c r="G376">
        <v>0</v>
      </c>
      <c r="H376">
        <v>0</v>
      </c>
      <c r="I376">
        <v>1</v>
      </c>
      <c r="J376">
        <v>0</v>
      </c>
      <c r="K376" t="s">
        <v>34</v>
      </c>
      <c r="L376" t="s">
        <v>45</v>
      </c>
    </row>
    <row r="377" spans="1:12">
      <c r="A377" t="s">
        <v>265</v>
      </c>
      <c r="B377" t="s">
        <v>30</v>
      </c>
      <c r="C377" t="s">
        <v>129</v>
      </c>
      <c r="D377">
        <v>2</v>
      </c>
      <c r="E377">
        <v>2</v>
      </c>
      <c r="F377">
        <v>0</v>
      </c>
      <c r="G377">
        <v>0</v>
      </c>
      <c r="H377">
        <v>0</v>
      </c>
      <c r="I377">
        <v>1</v>
      </c>
      <c r="J377">
        <v>0</v>
      </c>
      <c r="K377" t="s">
        <v>34</v>
      </c>
      <c r="L377" t="s">
        <v>46</v>
      </c>
    </row>
    <row r="378" spans="1:12">
      <c r="A378" t="s">
        <v>265</v>
      </c>
      <c r="B378" t="s">
        <v>30</v>
      </c>
      <c r="C378" t="s">
        <v>130</v>
      </c>
      <c r="D378">
        <v>2</v>
      </c>
      <c r="E378">
        <v>2</v>
      </c>
      <c r="F378">
        <v>0</v>
      </c>
      <c r="G378">
        <v>0</v>
      </c>
      <c r="H378">
        <v>0</v>
      </c>
      <c r="I378">
        <v>1</v>
      </c>
      <c r="J378">
        <v>0</v>
      </c>
      <c r="K378" t="s">
        <v>34</v>
      </c>
      <c r="L378" t="s">
        <v>46</v>
      </c>
    </row>
    <row r="379" spans="1:12">
      <c r="A379" t="s">
        <v>265</v>
      </c>
      <c r="B379" t="s">
        <v>30</v>
      </c>
      <c r="C379" t="s">
        <v>131</v>
      </c>
      <c r="D379">
        <v>2</v>
      </c>
      <c r="E379">
        <v>1.61</v>
      </c>
      <c r="F379">
        <v>-0.3899999999999999</v>
      </c>
      <c r="G379">
        <v>0.3899999999999999</v>
      </c>
      <c r="H379">
        <v>0</v>
      </c>
      <c r="I379">
        <v>1</v>
      </c>
      <c r="J379">
        <v>0</v>
      </c>
      <c r="K379" t="s">
        <v>34</v>
      </c>
      <c r="L379" t="s">
        <v>46</v>
      </c>
    </row>
    <row r="380" spans="1:12">
      <c r="A380" t="s">
        <v>265</v>
      </c>
      <c r="B380" t="s">
        <v>30</v>
      </c>
      <c r="C380" t="s">
        <v>132</v>
      </c>
      <c r="D380">
        <v>1</v>
      </c>
      <c r="E380">
        <v>1.61</v>
      </c>
      <c r="F380">
        <v>0.6100000000000001</v>
      </c>
      <c r="G380">
        <v>0.6100000000000001</v>
      </c>
      <c r="H380">
        <v>0</v>
      </c>
      <c r="I380">
        <v>1</v>
      </c>
      <c r="J380">
        <v>0</v>
      </c>
      <c r="K380" t="s">
        <v>34</v>
      </c>
      <c r="L380" t="s">
        <v>46</v>
      </c>
    </row>
    <row r="381" spans="1:12">
      <c r="A381" t="s">
        <v>265</v>
      </c>
      <c r="B381" t="s">
        <v>30</v>
      </c>
      <c r="C381" t="s">
        <v>133</v>
      </c>
      <c r="D381">
        <v>1</v>
      </c>
      <c r="E381">
        <v>1.61</v>
      </c>
      <c r="F381">
        <v>0.6100000000000001</v>
      </c>
      <c r="G381">
        <v>0.6100000000000001</v>
      </c>
      <c r="H381">
        <v>0</v>
      </c>
      <c r="I381">
        <v>1</v>
      </c>
      <c r="J381">
        <v>0</v>
      </c>
      <c r="K381" t="s">
        <v>34</v>
      </c>
      <c r="L381" t="s">
        <v>46</v>
      </c>
    </row>
    <row r="382" spans="1:12">
      <c r="A382" t="s">
        <v>265</v>
      </c>
      <c r="B382" t="s">
        <v>30</v>
      </c>
      <c r="C382" t="s">
        <v>134</v>
      </c>
      <c r="D382">
        <v>2</v>
      </c>
      <c r="E382">
        <v>1.61</v>
      </c>
      <c r="F382">
        <v>-0.3899999999999999</v>
      </c>
      <c r="G382">
        <v>0.3899999999999999</v>
      </c>
      <c r="H382">
        <v>0</v>
      </c>
      <c r="I382">
        <v>1</v>
      </c>
      <c r="J382">
        <v>0</v>
      </c>
      <c r="K382" t="s">
        <v>34</v>
      </c>
      <c r="L382" t="s">
        <v>47</v>
      </c>
    </row>
    <row r="383" spans="1:12">
      <c r="A383" t="s">
        <v>265</v>
      </c>
      <c r="B383" t="s">
        <v>30</v>
      </c>
      <c r="C383" t="s">
        <v>135</v>
      </c>
      <c r="D383">
        <v>2</v>
      </c>
      <c r="E383">
        <v>1.61</v>
      </c>
      <c r="F383">
        <v>-0.3899999999999999</v>
      </c>
      <c r="G383">
        <v>0.3899999999999999</v>
      </c>
      <c r="H383">
        <v>0</v>
      </c>
      <c r="I383">
        <v>1</v>
      </c>
      <c r="J383">
        <v>0</v>
      </c>
      <c r="K383" t="s">
        <v>34</v>
      </c>
      <c r="L383" t="s">
        <v>47</v>
      </c>
    </row>
    <row r="384" spans="1:12">
      <c r="A384" t="s">
        <v>265</v>
      </c>
      <c r="B384" t="s">
        <v>30</v>
      </c>
      <c r="C384" t="s">
        <v>136</v>
      </c>
      <c r="D384">
        <v>2</v>
      </c>
      <c r="E384">
        <v>1.61</v>
      </c>
      <c r="F384">
        <v>-0.3899999999999999</v>
      </c>
      <c r="G384">
        <v>0.3899999999999999</v>
      </c>
      <c r="H384">
        <v>0</v>
      </c>
      <c r="I384">
        <v>1</v>
      </c>
      <c r="J384">
        <v>0</v>
      </c>
      <c r="K384" t="s">
        <v>34</v>
      </c>
      <c r="L384" t="s">
        <v>47</v>
      </c>
    </row>
    <row r="385" spans="1:12">
      <c r="A385" t="s">
        <v>265</v>
      </c>
      <c r="B385" t="s">
        <v>30</v>
      </c>
      <c r="C385" t="s">
        <v>137</v>
      </c>
      <c r="D385">
        <v>2</v>
      </c>
      <c r="E385">
        <v>0.72</v>
      </c>
      <c r="F385">
        <v>-1.28</v>
      </c>
      <c r="G385">
        <v>1.28</v>
      </c>
      <c r="H385">
        <v>1</v>
      </c>
      <c r="I385">
        <v>0</v>
      </c>
      <c r="J385">
        <v>1</v>
      </c>
      <c r="K385" t="s">
        <v>33</v>
      </c>
      <c r="L385" t="s">
        <v>47</v>
      </c>
    </row>
    <row r="386" spans="1:12">
      <c r="A386" t="s">
        <v>265</v>
      </c>
      <c r="B386" t="s">
        <v>30</v>
      </c>
      <c r="C386" t="s">
        <v>138</v>
      </c>
      <c r="D386">
        <v>2</v>
      </c>
      <c r="E386">
        <v>0.72</v>
      </c>
      <c r="F386">
        <v>-1.28</v>
      </c>
      <c r="G386">
        <v>1.28</v>
      </c>
      <c r="H386">
        <v>1</v>
      </c>
      <c r="I386">
        <v>0</v>
      </c>
      <c r="J386">
        <v>1</v>
      </c>
      <c r="K386" t="s">
        <v>33</v>
      </c>
      <c r="L386" t="s">
        <v>47</v>
      </c>
    </row>
    <row r="387" spans="1:12">
      <c r="A387" t="s">
        <v>265</v>
      </c>
      <c r="B387" t="s">
        <v>30</v>
      </c>
      <c r="C387" t="s">
        <v>139</v>
      </c>
      <c r="D387">
        <v>2</v>
      </c>
      <c r="E387">
        <v>1.61</v>
      </c>
      <c r="F387">
        <v>-0.3899999999999999</v>
      </c>
      <c r="G387">
        <v>0.3899999999999999</v>
      </c>
      <c r="H387">
        <v>0</v>
      </c>
      <c r="I387">
        <v>1</v>
      </c>
      <c r="J387">
        <v>0</v>
      </c>
      <c r="K387" t="s">
        <v>34</v>
      </c>
      <c r="L387" t="s">
        <v>42</v>
      </c>
    </row>
    <row r="388" spans="1:12">
      <c r="A388" t="s">
        <v>265</v>
      </c>
      <c r="B388" t="s">
        <v>30</v>
      </c>
      <c r="C388" t="s">
        <v>140</v>
      </c>
      <c r="D388">
        <v>1</v>
      </c>
      <c r="E388">
        <v>1.61</v>
      </c>
      <c r="F388">
        <v>0.6100000000000001</v>
      </c>
      <c r="G388">
        <v>0.6100000000000001</v>
      </c>
      <c r="H388">
        <v>0</v>
      </c>
      <c r="I388">
        <v>1</v>
      </c>
      <c r="J388">
        <v>0</v>
      </c>
      <c r="K388" t="s">
        <v>34</v>
      </c>
      <c r="L388" t="s">
        <v>42</v>
      </c>
    </row>
    <row r="389" spans="1:12">
      <c r="A389" t="s">
        <v>265</v>
      </c>
      <c r="B389" t="s">
        <v>30</v>
      </c>
      <c r="C389" t="s">
        <v>141</v>
      </c>
      <c r="D389">
        <v>2</v>
      </c>
      <c r="E389">
        <v>1.61</v>
      </c>
      <c r="F389">
        <v>-0.3899999999999999</v>
      </c>
      <c r="G389">
        <v>0.3899999999999999</v>
      </c>
      <c r="H389">
        <v>0</v>
      </c>
      <c r="I389">
        <v>1</v>
      </c>
      <c r="J389">
        <v>0</v>
      </c>
      <c r="K389" t="s">
        <v>34</v>
      </c>
      <c r="L389" t="s">
        <v>42</v>
      </c>
    </row>
    <row r="390" spans="1:12">
      <c r="A390" t="s">
        <v>265</v>
      </c>
      <c r="B390" t="s">
        <v>30</v>
      </c>
      <c r="C390" t="s">
        <v>142</v>
      </c>
      <c r="D390">
        <v>3</v>
      </c>
      <c r="E390">
        <v>1.61</v>
      </c>
      <c r="F390">
        <v>-1.39</v>
      </c>
      <c r="G390">
        <v>1.39</v>
      </c>
      <c r="H390">
        <v>1</v>
      </c>
      <c r="I390">
        <v>0</v>
      </c>
      <c r="J390">
        <v>1</v>
      </c>
      <c r="K390" t="s">
        <v>33</v>
      </c>
      <c r="L390" t="s">
        <v>42</v>
      </c>
    </row>
    <row r="391" spans="1:12">
      <c r="A391" t="s">
        <v>265</v>
      </c>
      <c r="B391" t="s">
        <v>30</v>
      </c>
      <c r="C391" t="s">
        <v>143</v>
      </c>
      <c r="D391">
        <v>4</v>
      </c>
      <c r="E391">
        <v>1.61</v>
      </c>
      <c r="F391">
        <v>-2.3899999999999997</v>
      </c>
      <c r="G391">
        <v>2.3899999999999997</v>
      </c>
      <c r="H391">
        <v>1</v>
      </c>
      <c r="I391">
        <v>0</v>
      </c>
      <c r="J391">
        <v>1</v>
      </c>
      <c r="K391" t="s">
        <v>36</v>
      </c>
      <c r="L391" t="s">
        <v>42</v>
      </c>
    </row>
    <row r="392" spans="1:12">
      <c r="A392" t="s">
        <v>265</v>
      </c>
      <c r="B392" t="s">
        <v>30</v>
      </c>
      <c r="C392" t="s">
        <v>144</v>
      </c>
      <c r="D392">
        <v>4</v>
      </c>
      <c r="E392">
        <v>1.61</v>
      </c>
      <c r="F392">
        <v>-2.3899999999999997</v>
      </c>
      <c r="G392">
        <v>2.3899999999999997</v>
      </c>
      <c r="H392">
        <v>1</v>
      </c>
      <c r="I392">
        <v>0</v>
      </c>
      <c r="J392">
        <v>1</v>
      </c>
      <c r="K392" t="s">
        <v>36</v>
      </c>
      <c r="L392" t="s">
        <v>43</v>
      </c>
    </row>
    <row r="393" spans="1:12">
      <c r="A393" t="s">
        <v>265</v>
      </c>
      <c r="B393" t="s">
        <v>30</v>
      </c>
      <c r="C393" t="s">
        <v>145</v>
      </c>
      <c r="D393">
        <v>4</v>
      </c>
      <c r="E393">
        <v>1.61</v>
      </c>
      <c r="F393">
        <v>-2.3899999999999997</v>
      </c>
      <c r="G393">
        <v>2.3899999999999997</v>
      </c>
      <c r="H393">
        <v>1</v>
      </c>
      <c r="I393">
        <v>0</v>
      </c>
      <c r="J393">
        <v>1</v>
      </c>
      <c r="K393" t="s">
        <v>36</v>
      </c>
      <c r="L393" t="s">
        <v>43</v>
      </c>
    </row>
    <row r="394" spans="1:12">
      <c r="A394" t="s">
        <v>265</v>
      </c>
      <c r="B394" t="s">
        <v>30</v>
      </c>
      <c r="C394" t="s">
        <v>146</v>
      </c>
      <c r="D394">
        <v>4</v>
      </c>
      <c r="E394">
        <v>1.61</v>
      </c>
      <c r="F394">
        <v>-2.3899999999999997</v>
      </c>
      <c r="G394">
        <v>2.3899999999999997</v>
      </c>
      <c r="H394">
        <v>1</v>
      </c>
      <c r="I394">
        <v>0</v>
      </c>
      <c r="J394">
        <v>1</v>
      </c>
      <c r="K394" t="s">
        <v>36</v>
      </c>
      <c r="L394" t="s">
        <v>43</v>
      </c>
    </row>
    <row r="395" spans="1:12">
      <c r="A395" t="s">
        <v>265</v>
      </c>
      <c r="B395" t="s">
        <v>30</v>
      </c>
      <c r="C395" t="s">
        <v>147</v>
      </c>
      <c r="D395">
        <v>4</v>
      </c>
      <c r="E395">
        <v>1.61</v>
      </c>
      <c r="F395">
        <v>-2.3899999999999997</v>
      </c>
      <c r="G395">
        <v>2.3899999999999997</v>
      </c>
      <c r="H395">
        <v>1</v>
      </c>
      <c r="I395">
        <v>0</v>
      </c>
      <c r="J395">
        <v>1</v>
      </c>
      <c r="K395" t="s">
        <v>36</v>
      </c>
      <c r="L395" t="s">
        <v>43</v>
      </c>
    </row>
    <row r="396" spans="1:12">
      <c r="A396" t="s">
        <v>265</v>
      </c>
      <c r="B396" t="s">
        <v>30</v>
      </c>
      <c r="C396" t="s">
        <v>148</v>
      </c>
      <c r="D396">
        <v>5</v>
      </c>
      <c r="E396">
        <v>1.61</v>
      </c>
      <c r="F396">
        <v>-3.3899999999999997</v>
      </c>
      <c r="G396">
        <v>3.3899999999999997</v>
      </c>
      <c r="H396">
        <v>1</v>
      </c>
      <c r="I396">
        <v>0</v>
      </c>
      <c r="J396">
        <v>1</v>
      </c>
      <c r="K396" t="s">
        <v>36</v>
      </c>
      <c r="L396" t="s">
        <v>43</v>
      </c>
    </row>
    <row r="397" spans="1:12">
      <c r="A397" t="s">
        <v>265</v>
      </c>
      <c r="B397" t="s">
        <v>30</v>
      </c>
      <c r="C397" t="s">
        <v>149</v>
      </c>
      <c r="D397">
        <v>5</v>
      </c>
      <c r="E397">
        <v>1.61</v>
      </c>
      <c r="F397">
        <v>-3.3899999999999997</v>
      </c>
      <c r="G397">
        <v>3.3899999999999997</v>
      </c>
      <c r="H397">
        <v>1</v>
      </c>
      <c r="I397">
        <v>0</v>
      </c>
      <c r="J397">
        <v>1</v>
      </c>
      <c r="K397" t="s">
        <v>36</v>
      </c>
      <c r="L397" t="s">
        <v>48</v>
      </c>
    </row>
    <row r="398" spans="1:12">
      <c r="A398" t="s">
        <v>265</v>
      </c>
      <c r="B398" t="s">
        <v>30</v>
      </c>
      <c r="C398" t="s">
        <v>150</v>
      </c>
      <c r="D398">
        <v>5</v>
      </c>
      <c r="E398">
        <v>1.61</v>
      </c>
      <c r="F398">
        <v>-3.3899999999999997</v>
      </c>
      <c r="G398">
        <v>3.3899999999999997</v>
      </c>
      <c r="H398">
        <v>1</v>
      </c>
      <c r="I398">
        <v>0</v>
      </c>
      <c r="J398">
        <v>1</v>
      </c>
      <c r="K398" t="s">
        <v>36</v>
      </c>
      <c r="L398" t="s">
        <v>48</v>
      </c>
    </row>
    <row r="399" spans="1:12">
      <c r="A399" t="s">
        <v>265</v>
      </c>
      <c r="B399" t="s">
        <v>30</v>
      </c>
      <c r="C399" t="s">
        <v>151</v>
      </c>
      <c r="D399">
        <v>5</v>
      </c>
      <c r="E399">
        <v>1.61</v>
      </c>
      <c r="F399">
        <v>-3.3899999999999997</v>
      </c>
      <c r="G399">
        <v>3.3899999999999997</v>
      </c>
      <c r="H399">
        <v>1</v>
      </c>
      <c r="I399">
        <v>0</v>
      </c>
      <c r="J399">
        <v>1</v>
      </c>
      <c r="K399" t="s">
        <v>36</v>
      </c>
      <c r="L399" t="s">
        <v>48</v>
      </c>
    </row>
    <row r="400" spans="1:12">
      <c r="A400" t="s">
        <v>265</v>
      </c>
      <c r="B400" t="s">
        <v>30</v>
      </c>
      <c r="C400" t="s">
        <v>152</v>
      </c>
      <c r="D400">
        <v>5</v>
      </c>
      <c r="E400">
        <v>1.61</v>
      </c>
      <c r="F400">
        <v>-3.3899999999999997</v>
      </c>
      <c r="G400">
        <v>3.3899999999999997</v>
      </c>
      <c r="H400">
        <v>1</v>
      </c>
      <c r="I400">
        <v>0</v>
      </c>
      <c r="J400">
        <v>1</v>
      </c>
      <c r="K400" t="s">
        <v>36</v>
      </c>
      <c r="L400" t="s">
        <v>48</v>
      </c>
    </row>
    <row r="401" spans="1:12">
      <c r="A401" t="s">
        <v>265</v>
      </c>
      <c r="B401" t="s">
        <v>30</v>
      </c>
      <c r="C401" t="s">
        <v>153</v>
      </c>
      <c r="D401">
        <v>5</v>
      </c>
      <c r="E401">
        <v>1.61</v>
      </c>
      <c r="F401">
        <v>-3.3899999999999997</v>
      </c>
      <c r="G401">
        <v>3.3899999999999997</v>
      </c>
      <c r="H401">
        <v>1</v>
      </c>
      <c r="I401">
        <v>0</v>
      </c>
      <c r="J401">
        <v>1</v>
      </c>
      <c r="K401" t="s">
        <v>36</v>
      </c>
      <c r="L401" t="s">
        <v>48</v>
      </c>
    </row>
    <row r="402" spans="1:12">
      <c r="A402" t="s">
        <v>269</v>
      </c>
      <c r="B402" t="s">
        <v>26</v>
      </c>
      <c r="C402" t="s">
        <v>76</v>
      </c>
      <c r="D402">
        <v>1</v>
      </c>
      <c r="E402">
        <v>0.18</v>
      </c>
      <c r="F402">
        <v>-0.82000000000000006</v>
      </c>
      <c r="G402">
        <v>0.82000000000000006</v>
      </c>
      <c r="H402">
        <v>0</v>
      </c>
      <c r="I402">
        <v>1</v>
      </c>
      <c r="J402">
        <v>0</v>
      </c>
      <c r="K402" t="s">
        <v>34</v>
      </c>
      <c r="L402" t="s">
        <v>49</v>
      </c>
    </row>
    <row r="403" spans="1:12">
      <c r="A403" t="s">
        <v>269</v>
      </c>
      <c r="B403" t="s">
        <v>26</v>
      </c>
      <c r="C403" t="s">
        <v>77</v>
      </c>
      <c r="D403">
        <v>5</v>
      </c>
      <c r="E403">
        <v>5</v>
      </c>
      <c r="F403">
        <v>0</v>
      </c>
      <c r="G403">
        <v>0</v>
      </c>
      <c r="H403">
        <v>0</v>
      </c>
      <c r="I403">
        <v>1</v>
      </c>
      <c r="J403">
        <v>0</v>
      </c>
      <c r="K403" t="s">
        <v>34</v>
      </c>
      <c r="L403" t="s">
        <v>49</v>
      </c>
    </row>
    <row r="404" spans="1:12">
      <c r="A404" t="s">
        <v>269</v>
      </c>
      <c r="B404" t="s">
        <v>26</v>
      </c>
      <c r="C404" t="s">
        <v>78</v>
      </c>
      <c r="D404">
        <v>2</v>
      </c>
      <c r="E404">
        <v>5</v>
      </c>
      <c r="F404">
        <v>3</v>
      </c>
      <c r="G404">
        <v>3</v>
      </c>
      <c r="H404">
        <v>0</v>
      </c>
      <c r="I404">
        <v>1</v>
      </c>
      <c r="J404">
        <v>1</v>
      </c>
      <c r="K404" t="s">
        <v>35</v>
      </c>
      <c r="L404" t="s">
        <v>49</v>
      </c>
    </row>
    <row r="405" spans="1:12">
      <c r="A405" t="s">
        <v>269</v>
      </c>
      <c r="B405" t="s">
        <v>26</v>
      </c>
      <c r="C405" t="s">
        <v>79</v>
      </c>
      <c r="D405">
        <v>5</v>
      </c>
      <c r="E405">
        <v>0.47</v>
      </c>
      <c r="F405">
        <v>-4.53</v>
      </c>
      <c r="G405">
        <v>4.53</v>
      </c>
      <c r="H405">
        <v>1</v>
      </c>
      <c r="I405">
        <v>0</v>
      </c>
      <c r="J405">
        <v>1</v>
      </c>
      <c r="K405" t="s">
        <v>36</v>
      </c>
      <c r="L405" t="s">
        <v>49</v>
      </c>
    </row>
    <row r="406" spans="1:12">
      <c r="A406" t="s">
        <v>269</v>
      </c>
      <c r="B406" t="s">
        <v>26</v>
      </c>
      <c r="C406" t="s">
        <v>80</v>
      </c>
      <c r="D406">
        <v>5</v>
      </c>
      <c r="E406">
        <v>0.47</v>
      </c>
      <c r="F406">
        <v>-4.53</v>
      </c>
      <c r="G406">
        <v>4.53</v>
      </c>
      <c r="H406">
        <v>1</v>
      </c>
      <c r="I406">
        <v>0</v>
      </c>
      <c r="J406">
        <v>1</v>
      </c>
      <c r="K406" t="s">
        <v>36</v>
      </c>
      <c r="L406" t="s">
        <v>49</v>
      </c>
    </row>
    <row r="407" spans="1:12">
      <c r="A407" t="s">
        <v>269</v>
      </c>
      <c r="B407" t="s">
        <v>26</v>
      </c>
      <c r="C407" t="s">
        <v>81</v>
      </c>
      <c r="D407">
        <v>5</v>
      </c>
      <c r="E407">
        <v>5</v>
      </c>
      <c r="F407">
        <v>0</v>
      </c>
      <c r="G407">
        <v>0</v>
      </c>
      <c r="H407">
        <v>0</v>
      </c>
      <c r="I407">
        <v>1</v>
      </c>
      <c r="J407">
        <v>0</v>
      </c>
      <c r="K407" t="s">
        <v>34</v>
      </c>
      <c r="L407" t="s">
        <v>49</v>
      </c>
    </row>
    <row r="408" spans="1:12">
      <c r="A408" t="s">
        <v>269</v>
      </c>
      <c r="B408" t="s">
        <v>26</v>
      </c>
      <c r="C408" t="s">
        <v>82</v>
      </c>
      <c r="D408">
        <v>5</v>
      </c>
      <c r="E408">
        <v>5</v>
      </c>
      <c r="F408">
        <v>0</v>
      </c>
      <c r="G408">
        <v>0</v>
      </c>
      <c r="H408">
        <v>0</v>
      </c>
      <c r="I408">
        <v>1</v>
      </c>
      <c r="J408">
        <v>0</v>
      </c>
      <c r="K408" t="s">
        <v>34</v>
      </c>
      <c r="L408" t="s">
        <v>49</v>
      </c>
    </row>
    <row r="409" spans="1:12">
      <c r="A409" t="s">
        <v>269</v>
      </c>
      <c r="B409" t="s">
        <v>26</v>
      </c>
      <c r="C409" t="s">
        <v>83</v>
      </c>
      <c r="D409">
        <v>4</v>
      </c>
      <c r="E409">
        <v>5</v>
      </c>
      <c r="F409">
        <v>1</v>
      </c>
      <c r="G409">
        <v>1</v>
      </c>
      <c r="H409">
        <v>0</v>
      </c>
      <c r="I409">
        <v>1</v>
      </c>
      <c r="J409">
        <v>1</v>
      </c>
      <c r="K409" t="s">
        <v>37</v>
      </c>
      <c r="L409" t="s">
        <v>49</v>
      </c>
    </row>
    <row r="410" spans="1:12">
      <c r="A410" t="s">
        <v>269</v>
      </c>
      <c r="B410" t="s">
        <v>26</v>
      </c>
      <c r="C410" t="s">
        <v>84</v>
      </c>
      <c r="D410">
        <v>4</v>
      </c>
      <c r="E410">
        <v>5</v>
      </c>
      <c r="F410">
        <v>1</v>
      </c>
      <c r="G410">
        <v>1</v>
      </c>
      <c r="H410">
        <v>0</v>
      </c>
      <c r="I410">
        <v>1</v>
      </c>
      <c r="J410">
        <v>1</v>
      </c>
      <c r="K410" t="s">
        <v>37</v>
      </c>
      <c r="L410" t="s">
        <v>49</v>
      </c>
    </row>
    <row r="411" spans="1:12">
      <c r="A411" t="s">
        <v>269</v>
      </c>
      <c r="B411" t="s">
        <v>26</v>
      </c>
      <c r="C411" t="s">
        <v>85</v>
      </c>
      <c r="D411">
        <v>4</v>
      </c>
      <c r="E411">
        <v>5</v>
      </c>
      <c r="F411">
        <v>1</v>
      </c>
      <c r="G411">
        <v>1</v>
      </c>
      <c r="H411">
        <v>0</v>
      </c>
      <c r="I411">
        <v>1</v>
      </c>
      <c r="J411">
        <v>1</v>
      </c>
      <c r="K411" t="s">
        <v>37</v>
      </c>
      <c r="L411" t="s">
        <v>49</v>
      </c>
    </row>
    <row r="412" spans="1:12">
      <c r="A412" t="s">
        <v>269</v>
      </c>
      <c r="B412" t="s">
        <v>26</v>
      </c>
      <c r="C412" t="s">
        <v>86</v>
      </c>
      <c r="D412">
        <v>4</v>
      </c>
      <c r="E412">
        <v>5</v>
      </c>
      <c r="F412">
        <v>1</v>
      </c>
      <c r="G412">
        <v>1</v>
      </c>
      <c r="H412">
        <v>0</v>
      </c>
      <c r="I412">
        <v>1</v>
      </c>
      <c r="J412">
        <v>1</v>
      </c>
      <c r="K412" t="s">
        <v>37</v>
      </c>
      <c r="L412" t="s">
        <v>50</v>
      </c>
    </row>
    <row r="413" spans="1:12">
      <c r="A413" t="s">
        <v>269</v>
      </c>
      <c r="B413" t="s">
        <v>26</v>
      </c>
      <c r="C413" t="s">
        <v>87</v>
      </c>
      <c r="D413">
        <v>4</v>
      </c>
      <c r="E413">
        <v>5</v>
      </c>
      <c r="F413">
        <v>1</v>
      </c>
      <c r="G413">
        <v>1</v>
      </c>
      <c r="H413">
        <v>0</v>
      </c>
      <c r="I413">
        <v>1</v>
      </c>
      <c r="J413">
        <v>1</v>
      </c>
      <c r="K413" t="s">
        <v>37</v>
      </c>
      <c r="L413" t="s">
        <v>50</v>
      </c>
    </row>
    <row r="414" spans="1:12">
      <c r="A414" t="s">
        <v>269</v>
      </c>
      <c r="B414" t="s">
        <v>26</v>
      </c>
      <c r="C414" t="s">
        <v>88</v>
      </c>
      <c r="D414">
        <v>3</v>
      </c>
      <c r="E414">
        <v>5</v>
      </c>
      <c r="F414">
        <v>2</v>
      </c>
      <c r="G414">
        <v>2</v>
      </c>
      <c r="H414">
        <v>0</v>
      </c>
      <c r="I414">
        <v>1</v>
      </c>
      <c r="J414">
        <v>1</v>
      </c>
      <c r="K414" t="s">
        <v>35</v>
      </c>
      <c r="L414" t="s">
        <v>50</v>
      </c>
    </row>
    <row r="415" spans="1:12">
      <c r="A415" t="s">
        <v>269</v>
      </c>
      <c r="B415" t="s">
        <v>26</v>
      </c>
      <c r="C415" t="s">
        <v>89</v>
      </c>
      <c r="D415">
        <v>3</v>
      </c>
      <c r="E415">
        <v>2.69</v>
      </c>
      <c r="F415">
        <v>-0.31000000000000005</v>
      </c>
      <c r="G415">
        <v>0.31000000000000005</v>
      </c>
      <c r="H415">
        <v>0</v>
      </c>
      <c r="I415">
        <v>1</v>
      </c>
      <c r="J415">
        <v>0</v>
      </c>
      <c r="K415" t="s">
        <v>34</v>
      </c>
      <c r="L415" t="s">
        <v>50</v>
      </c>
    </row>
    <row r="416" spans="1:12">
      <c r="A416" t="s">
        <v>269</v>
      </c>
      <c r="B416" t="s">
        <v>26</v>
      </c>
      <c r="C416" t="s">
        <v>90</v>
      </c>
      <c r="D416">
        <v>3</v>
      </c>
      <c r="E416">
        <v>2.69</v>
      </c>
      <c r="F416">
        <v>-0.31000000000000005</v>
      </c>
      <c r="G416">
        <v>0.31000000000000005</v>
      </c>
      <c r="H416">
        <v>0</v>
      </c>
      <c r="I416">
        <v>1</v>
      </c>
      <c r="J416">
        <v>0</v>
      </c>
      <c r="K416" t="s">
        <v>34</v>
      </c>
      <c r="L416" t="s">
        <v>50</v>
      </c>
    </row>
    <row r="417" spans="1:12">
      <c r="A417" t="s">
        <v>269</v>
      </c>
      <c r="B417" t="s">
        <v>26</v>
      </c>
      <c r="C417" t="s">
        <v>91</v>
      </c>
      <c r="D417">
        <v>3</v>
      </c>
      <c r="E417">
        <v>2.69</v>
      </c>
      <c r="F417">
        <v>-0.31000000000000005</v>
      </c>
      <c r="G417">
        <v>0.31000000000000005</v>
      </c>
      <c r="H417">
        <v>0</v>
      </c>
      <c r="I417">
        <v>1</v>
      </c>
      <c r="J417">
        <v>0</v>
      </c>
      <c r="K417" t="s">
        <v>34</v>
      </c>
      <c r="L417" t="s">
        <v>50</v>
      </c>
    </row>
    <row r="418" spans="1:12">
      <c r="A418" t="s">
        <v>269</v>
      </c>
      <c r="B418" t="s">
        <v>26</v>
      </c>
      <c r="C418" t="s">
        <v>92</v>
      </c>
      <c r="D418">
        <v>3</v>
      </c>
      <c r="E418">
        <v>2.69</v>
      </c>
      <c r="F418">
        <v>-0.31000000000000005</v>
      </c>
      <c r="G418">
        <v>0.31000000000000005</v>
      </c>
      <c r="H418">
        <v>0</v>
      </c>
      <c r="I418">
        <v>1</v>
      </c>
      <c r="J418">
        <v>0</v>
      </c>
      <c r="K418" t="s">
        <v>34</v>
      </c>
      <c r="L418" t="s">
        <v>50</v>
      </c>
    </row>
    <row r="419" spans="1:12">
      <c r="A419" t="s">
        <v>269</v>
      </c>
      <c r="B419" t="s">
        <v>26</v>
      </c>
      <c r="C419" t="s">
        <v>93</v>
      </c>
      <c r="D419">
        <v>3</v>
      </c>
      <c r="E419">
        <v>2.69</v>
      </c>
      <c r="F419">
        <v>-0.31000000000000005</v>
      </c>
      <c r="G419">
        <v>0.31000000000000005</v>
      </c>
      <c r="H419">
        <v>0</v>
      </c>
      <c r="I419">
        <v>1</v>
      </c>
      <c r="J419">
        <v>0</v>
      </c>
      <c r="K419" t="s">
        <v>34</v>
      </c>
      <c r="L419" t="s">
        <v>50</v>
      </c>
    </row>
    <row r="420" spans="1:12">
      <c r="A420" t="s">
        <v>269</v>
      </c>
      <c r="B420" t="s">
        <v>26</v>
      </c>
      <c r="C420" t="s">
        <v>94</v>
      </c>
      <c r="D420">
        <v>2</v>
      </c>
      <c r="E420">
        <v>2.69</v>
      </c>
      <c r="F420">
        <v>0.69</v>
      </c>
      <c r="G420">
        <v>0.69</v>
      </c>
      <c r="H420">
        <v>0</v>
      </c>
      <c r="I420">
        <v>1</v>
      </c>
      <c r="J420">
        <v>0</v>
      </c>
      <c r="K420" t="s">
        <v>34</v>
      </c>
      <c r="L420" t="s">
        <v>50</v>
      </c>
    </row>
    <row r="421" spans="1:12">
      <c r="A421" t="s">
        <v>269</v>
      </c>
      <c r="B421" t="s">
        <v>26</v>
      </c>
      <c r="C421" t="s">
        <v>95</v>
      </c>
      <c r="D421">
        <v>2</v>
      </c>
      <c r="E421">
        <v>2.69</v>
      </c>
      <c r="F421">
        <v>0.69</v>
      </c>
      <c r="G421">
        <v>0.69</v>
      </c>
      <c r="H421">
        <v>0</v>
      </c>
      <c r="I421">
        <v>1</v>
      </c>
      <c r="J421">
        <v>0</v>
      </c>
      <c r="K421" t="s">
        <v>34</v>
      </c>
      <c r="L421" t="s">
        <v>50</v>
      </c>
    </row>
    <row r="422" spans="1:12">
      <c r="A422" t="s">
        <v>269</v>
      </c>
      <c r="B422" t="s">
        <v>26</v>
      </c>
      <c r="C422" t="s">
        <v>96</v>
      </c>
      <c r="D422">
        <v>2</v>
      </c>
      <c r="E422">
        <v>2.69</v>
      </c>
      <c r="F422">
        <v>0.69</v>
      </c>
      <c r="G422">
        <v>0.69</v>
      </c>
      <c r="H422">
        <v>0</v>
      </c>
      <c r="I422">
        <v>1</v>
      </c>
      <c r="J422">
        <v>0</v>
      </c>
      <c r="K422" t="s">
        <v>34</v>
      </c>
      <c r="L422" t="s">
        <v>40</v>
      </c>
    </row>
    <row r="423" spans="1:12">
      <c r="A423" t="s">
        <v>269</v>
      </c>
      <c r="B423" t="s">
        <v>26</v>
      </c>
      <c r="C423" t="s">
        <v>31</v>
      </c>
      <c r="D423">
        <v>2</v>
      </c>
      <c r="E423">
        <v>2.69</v>
      </c>
      <c r="F423">
        <v>0.69</v>
      </c>
      <c r="G423">
        <v>0.69</v>
      </c>
      <c r="H423">
        <v>0</v>
      </c>
      <c r="I423">
        <v>1</v>
      </c>
      <c r="J423">
        <v>0</v>
      </c>
      <c r="K423" t="s">
        <v>34</v>
      </c>
      <c r="L423" t="s">
        <v>40</v>
      </c>
    </row>
    <row r="424" spans="1:12">
      <c r="A424" t="s">
        <v>269</v>
      </c>
      <c r="B424" t="s">
        <v>26</v>
      </c>
      <c r="C424" t="s">
        <v>30</v>
      </c>
      <c r="D424">
        <v>2</v>
      </c>
      <c r="E424">
        <v>2.69</v>
      </c>
      <c r="F424">
        <v>0.69</v>
      </c>
      <c r="G424">
        <v>0.69</v>
      </c>
      <c r="H424">
        <v>0</v>
      </c>
      <c r="I424">
        <v>1</v>
      </c>
      <c r="J424">
        <v>0</v>
      </c>
      <c r="K424" t="s">
        <v>34</v>
      </c>
      <c r="L424" t="s">
        <v>40</v>
      </c>
    </row>
    <row r="425" spans="1:12">
      <c r="A425" t="s">
        <v>269</v>
      </c>
      <c r="B425" t="s">
        <v>26</v>
      </c>
      <c r="C425" t="s">
        <v>97</v>
      </c>
      <c r="D425">
        <v>3</v>
      </c>
      <c r="E425">
        <v>1.19</v>
      </c>
      <c r="F425">
        <v>-1.81</v>
      </c>
      <c r="G425">
        <v>1.81</v>
      </c>
      <c r="H425">
        <v>1</v>
      </c>
      <c r="I425">
        <v>0</v>
      </c>
      <c r="J425">
        <v>1</v>
      </c>
      <c r="K425" t="s">
        <v>33</v>
      </c>
      <c r="L425" t="s">
        <v>40</v>
      </c>
    </row>
    <row r="426" spans="1:12">
      <c r="A426" t="s">
        <v>269</v>
      </c>
      <c r="B426" t="s">
        <v>26</v>
      </c>
      <c r="C426" t="s">
        <v>98</v>
      </c>
      <c r="D426">
        <v>3</v>
      </c>
      <c r="E426">
        <v>1.19</v>
      </c>
      <c r="F426">
        <v>-1.81</v>
      </c>
      <c r="G426">
        <v>1.81</v>
      </c>
      <c r="H426">
        <v>1</v>
      </c>
      <c r="I426">
        <v>0</v>
      </c>
      <c r="J426">
        <v>1</v>
      </c>
      <c r="K426" t="s">
        <v>33</v>
      </c>
      <c r="L426" t="s">
        <v>40</v>
      </c>
    </row>
    <row r="427" spans="1:12">
      <c r="A427" t="s">
        <v>269</v>
      </c>
      <c r="B427" t="s">
        <v>26</v>
      </c>
      <c r="C427" t="s">
        <v>99</v>
      </c>
      <c r="D427">
        <v>3</v>
      </c>
      <c r="E427">
        <v>1.19</v>
      </c>
      <c r="F427">
        <v>-1.81</v>
      </c>
      <c r="G427">
        <v>1.81</v>
      </c>
      <c r="H427">
        <v>1</v>
      </c>
      <c r="I427">
        <v>0</v>
      </c>
      <c r="J427">
        <v>1</v>
      </c>
      <c r="K427" t="s">
        <v>33</v>
      </c>
      <c r="L427" t="s">
        <v>39</v>
      </c>
    </row>
    <row r="428" spans="1:12">
      <c r="A428" t="s">
        <v>269</v>
      </c>
      <c r="B428" t="s">
        <v>26</v>
      </c>
      <c r="C428" t="s">
        <v>100</v>
      </c>
      <c r="D428">
        <v>3</v>
      </c>
      <c r="E428">
        <v>1.19</v>
      </c>
      <c r="F428">
        <v>-1.81</v>
      </c>
      <c r="G428">
        <v>1.81</v>
      </c>
      <c r="H428">
        <v>1</v>
      </c>
      <c r="I428">
        <v>0</v>
      </c>
      <c r="J428">
        <v>1</v>
      </c>
      <c r="K428" t="s">
        <v>33</v>
      </c>
      <c r="L428" t="s">
        <v>39</v>
      </c>
    </row>
    <row r="429" spans="1:12">
      <c r="A429" t="s">
        <v>269</v>
      </c>
      <c r="B429" t="s">
        <v>26</v>
      </c>
      <c r="C429" t="s">
        <v>101</v>
      </c>
      <c r="D429">
        <v>2</v>
      </c>
      <c r="E429">
        <v>1.19</v>
      </c>
      <c r="F429">
        <v>-0.81</v>
      </c>
      <c r="G429">
        <v>0.81</v>
      </c>
      <c r="H429">
        <v>0</v>
      </c>
      <c r="I429">
        <v>1</v>
      </c>
      <c r="J429">
        <v>0</v>
      </c>
      <c r="K429" t="s">
        <v>34</v>
      </c>
      <c r="L429" t="s">
        <v>39</v>
      </c>
    </row>
    <row r="430" spans="1:12">
      <c r="A430" t="s">
        <v>269</v>
      </c>
      <c r="B430" t="s">
        <v>26</v>
      </c>
      <c r="C430" t="s">
        <v>102</v>
      </c>
      <c r="D430">
        <v>2</v>
      </c>
      <c r="E430">
        <v>1.19</v>
      </c>
      <c r="F430">
        <v>-0.81</v>
      </c>
      <c r="G430">
        <v>0.81</v>
      </c>
      <c r="H430">
        <v>0</v>
      </c>
      <c r="I430">
        <v>1</v>
      </c>
      <c r="J430">
        <v>0</v>
      </c>
      <c r="K430" t="s">
        <v>34</v>
      </c>
      <c r="L430" t="s">
        <v>39</v>
      </c>
    </row>
    <row r="431" spans="1:12">
      <c r="A431" t="s">
        <v>269</v>
      </c>
      <c r="B431" t="s">
        <v>26</v>
      </c>
      <c r="C431" t="s">
        <v>103</v>
      </c>
      <c r="D431">
        <v>2</v>
      </c>
      <c r="E431">
        <v>1.19</v>
      </c>
      <c r="F431">
        <v>-0.81</v>
      </c>
      <c r="G431">
        <v>0.81</v>
      </c>
      <c r="H431">
        <v>0</v>
      </c>
      <c r="I431">
        <v>1</v>
      </c>
      <c r="J431">
        <v>0</v>
      </c>
      <c r="K431" t="s">
        <v>34</v>
      </c>
      <c r="L431" t="s">
        <v>39</v>
      </c>
    </row>
    <row r="432" spans="1:12">
      <c r="A432" t="s">
        <v>269</v>
      </c>
      <c r="B432" t="s">
        <v>26</v>
      </c>
      <c r="C432" t="s">
        <v>104</v>
      </c>
      <c r="D432">
        <v>2</v>
      </c>
      <c r="E432">
        <v>1.19</v>
      </c>
      <c r="F432">
        <v>-0.81</v>
      </c>
      <c r="G432">
        <v>0.81</v>
      </c>
      <c r="H432">
        <v>0</v>
      </c>
      <c r="I432">
        <v>1</v>
      </c>
      <c r="J432">
        <v>0</v>
      </c>
      <c r="K432" t="s">
        <v>34</v>
      </c>
      <c r="L432" t="s">
        <v>41</v>
      </c>
    </row>
    <row r="433" spans="1:12">
      <c r="A433" t="s">
        <v>269</v>
      </c>
      <c r="B433" t="s">
        <v>26</v>
      </c>
      <c r="C433" t="s">
        <v>105</v>
      </c>
      <c r="D433">
        <v>2</v>
      </c>
      <c r="E433">
        <v>1.19</v>
      </c>
      <c r="F433">
        <v>-0.81</v>
      </c>
      <c r="G433">
        <v>0.81</v>
      </c>
      <c r="H433">
        <v>0</v>
      </c>
      <c r="I433">
        <v>1</v>
      </c>
      <c r="J433">
        <v>0</v>
      </c>
      <c r="K433" t="s">
        <v>34</v>
      </c>
      <c r="L433" t="s">
        <v>41</v>
      </c>
    </row>
    <row r="434" spans="1:12">
      <c r="A434" t="s">
        <v>269</v>
      </c>
      <c r="B434" t="s">
        <v>26</v>
      </c>
      <c r="C434" t="s">
        <v>106</v>
      </c>
      <c r="D434">
        <v>2</v>
      </c>
      <c r="E434">
        <v>1.19</v>
      </c>
      <c r="F434">
        <v>-0.81</v>
      </c>
      <c r="G434">
        <v>0.81</v>
      </c>
      <c r="H434">
        <v>0</v>
      </c>
      <c r="I434">
        <v>1</v>
      </c>
      <c r="J434">
        <v>0</v>
      </c>
      <c r="K434" t="s">
        <v>34</v>
      </c>
      <c r="L434" t="s">
        <v>41</v>
      </c>
    </row>
    <row r="435" spans="1:12">
      <c r="A435" t="s">
        <v>269</v>
      </c>
      <c r="B435" t="s">
        <v>26</v>
      </c>
      <c r="C435" t="s">
        <v>107</v>
      </c>
      <c r="D435">
        <v>2</v>
      </c>
      <c r="E435">
        <v>1.19</v>
      </c>
      <c r="F435">
        <v>-0.81</v>
      </c>
      <c r="G435">
        <v>0.81</v>
      </c>
      <c r="H435">
        <v>0</v>
      </c>
      <c r="I435">
        <v>1</v>
      </c>
      <c r="J435">
        <v>0</v>
      </c>
      <c r="K435" t="s">
        <v>34</v>
      </c>
      <c r="L435" t="s">
        <v>41</v>
      </c>
    </row>
    <row r="436" spans="1:12">
      <c r="A436" t="s">
        <v>269</v>
      </c>
      <c r="B436" t="s">
        <v>26</v>
      </c>
      <c r="C436" t="s">
        <v>108</v>
      </c>
      <c r="D436">
        <v>2</v>
      </c>
      <c r="E436">
        <v>1.19</v>
      </c>
      <c r="F436">
        <v>-0.81</v>
      </c>
      <c r="G436">
        <v>0.81</v>
      </c>
      <c r="H436">
        <v>0</v>
      </c>
      <c r="I436">
        <v>1</v>
      </c>
      <c r="J436">
        <v>0</v>
      </c>
      <c r="K436" t="s">
        <v>34</v>
      </c>
      <c r="L436" t="s">
        <v>41</v>
      </c>
    </row>
    <row r="437" spans="1:12">
      <c r="A437" t="s">
        <v>269</v>
      </c>
      <c r="B437" t="s">
        <v>26</v>
      </c>
      <c r="C437" t="s">
        <v>109</v>
      </c>
      <c r="D437">
        <v>2</v>
      </c>
      <c r="E437">
        <v>0.47</v>
      </c>
      <c r="F437">
        <v>-1.53</v>
      </c>
      <c r="G437">
        <v>1.53</v>
      </c>
      <c r="H437">
        <v>1</v>
      </c>
      <c r="I437">
        <v>0</v>
      </c>
      <c r="J437">
        <v>1</v>
      </c>
      <c r="K437" t="s">
        <v>33</v>
      </c>
      <c r="L437" t="s">
        <v>38</v>
      </c>
    </row>
    <row r="438" spans="1:12">
      <c r="A438" t="s">
        <v>269</v>
      </c>
      <c r="B438" t="s">
        <v>26</v>
      </c>
      <c r="C438" t="s">
        <v>110</v>
      </c>
      <c r="D438">
        <v>2</v>
      </c>
      <c r="E438">
        <v>0.47</v>
      </c>
      <c r="F438">
        <v>-1.53</v>
      </c>
      <c r="G438">
        <v>1.53</v>
      </c>
      <c r="H438">
        <v>1</v>
      </c>
      <c r="I438">
        <v>0</v>
      </c>
      <c r="J438">
        <v>1</v>
      </c>
      <c r="K438" t="s">
        <v>33</v>
      </c>
      <c r="L438" t="s">
        <v>38</v>
      </c>
    </row>
    <row r="439" spans="1:12">
      <c r="A439" t="s">
        <v>269</v>
      </c>
      <c r="B439" t="s">
        <v>26</v>
      </c>
      <c r="C439" t="s">
        <v>111</v>
      </c>
      <c r="D439">
        <v>2</v>
      </c>
      <c r="E439">
        <v>0.47</v>
      </c>
      <c r="F439">
        <v>-1.53</v>
      </c>
      <c r="G439">
        <v>1.53</v>
      </c>
      <c r="H439">
        <v>1</v>
      </c>
      <c r="I439">
        <v>0</v>
      </c>
      <c r="J439">
        <v>1</v>
      </c>
      <c r="K439" t="s">
        <v>33</v>
      </c>
      <c r="L439" t="s">
        <v>38</v>
      </c>
    </row>
    <row r="440" spans="1:12">
      <c r="A440" t="s">
        <v>269</v>
      </c>
      <c r="B440" t="s">
        <v>26</v>
      </c>
      <c r="C440" t="s">
        <v>112</v>
      </c>
      <c r="D440">
        <v>2</v>
      </c>
      <c r="E440">
        <v>0.47</v>
      </c>
      <c r="F440">
        <v>-1.53</v>
      </c>
      <c r="G440">
        <v>1.53</v>
      </c>
      <c r="H440">
        <v>1</v>
      </c>
      <c r="I440">
        <v>0</v>
      </c>
      <c r="J440">
        <v>1</v>
      </c>
      <c r="K440" t="s">
        <v>33</v>
      </c>
      <c r="L440" t="s">
        <v>38</v>
      </c>
    </row>
    <row r="441" spans="1:12">
      <c r="A441" t="s">
        <v>269</v>
      </c>
      <c r="B441" t="s">
        <v>26</v>
      </c>
      <c r="C441" t="s">
        <v>113</v>
      </c>
      <c r="D441">
        <v>2</v>
      </c>
      <c r="E441">
        <v>0.47</v>
      </c>
      <c r="F441">
        <v>-1.53</v>
      </c>
      <c r="G441">
        <v>1.53</v>
      </c>
      <c r="H441">
        <v>1</v>
      </c>
      <c r="I441">
        <v>0</v>
      </c>
      <c r="J441">
        <v>1</v>
      </c>
      <c r="K441" t="s">
        <v>33</v>
      </c>
      <c r="L441" t="s">
        <v>38</v>
      </c>
    </row>
    <row r="442" spans="1:12">
      <c r="A442" t="s">
        <v>269</v>
      </c>
      <c r="B442" t="s">
        <v>26</v>
      </c>
      <c r="C442" t="s">
        <v>114</v>
      </c>
      <c r="D442">
        <v>2</v>
      </c>
      <c r="E442">
        <v>0.47</v>
      </c>
      <c r="F442">
        <v>-1.53</v>
      </c>
      <c r="G442">
        <v>1.53</v>
      </c>
      <c r="H442">
        <v>1</v>
      </c>
      <c r="I442">
        <v>0</v>
      </c>
      <c r="J442">
        <v>1</v>
      </c>
      <c r="K442" t="s">
        <v>33</v>
      </c>
      <c r="L442" t="s">
        <v>38</v>
      </c>
    </row>
    <row r="443" spans="1:12">
      <c r="A443" t="s">
        <v>269</v>
      </c>
      <c r="B443" t="s">
        <v>26</v>
      </c>
      <c r="C443" t="s">
        <v>115</v>
      </c>
      <c r="D443">
        <v>1</v>
      </c>
      <c r="E443">
        <v>0.47</v>
      </c>
      <c r="F443">
        <v>-0.53</v>
      </c>
      <c r="G443">
        <v>0.53</v>
      </c>
      <c r="H443">
        <v>0</v>
      </c>
      <c r="I443">
        <v>1</v>
      </c>
      <c r="J443">
        <v>0</v>
      </c>
      <c r="K443" t="s">
        <v>34</v>
      </c>
      <c r="L443" t="s">
        <v>38</v>
      </c>
    </row>
    <row r="444" spans="1:12">
      <c r="A444" t="s">
        <v>269</v>
      </c>
      <c r="B444" t="s">
        <v>26</v>
      </c>
      <c r="C444" t="s">
        <v>116</v>
      </c>
      <c r="D444">
        <v>1</v>
      </c>
      <c r="E444">
        <v>0.47</v>
      </c>
      <c r="F444">
        <v>-0.53</v>
      </c>
      <c r="G444">
        <v>0.53</v>
      </c>
      <c r="H444">
        <v>0</v>
      </c>
      <c r="I444">
        <v>1</v>
      </c>
      <c r="J444">
        <v>0</v>
      </c>
      <c r="K444" t="s">
        <v>34</v>
      </c>
      <c r="L444" t="s">
        <v>38</v>
      </c>
    </row>
    <row r="445" spans="1:12">
      <c r="A445" t="s">
        <v>269</v>
      </c>
      <c r="B445" t="s">
        <v>26</v>
      </c>
      <c r="C445" t="s">
        <v>117</v>
      </c>
      <c r="D445">
        <v>2</v>
      </c>
      <c r="E445">
        <v>0.47</v>
      </c>
      <c r="F445">
        <v>-1.53</v>
      </c>
      <c r="G445">
        <v>1.53</v>
      </c>
      <c r="H445">
        <v>1</v>
      </c>
      <c r="I445">
        <v>0</v>
      </c>
      <c r="J445">
        <v>1</v>
      </c>
      <c r="K445" t="s">
        <v>33</v>
      </c>
      <c r="L445" t="s">
        <v>38</v>
      </c>
    </row>
    <row r="446" spans="1:12">
      <c r="A446" t="s">
        <v>269</v>
      </c>
      <c r="B446" t="s">
        <v>26</v>
      </c>
      <c r="C446" t="s">
        <v>118</v>
      </c>
      <c r="D446">
        <v>2</v>
      </c>
      <c r="E446">
        <v>0.47</v>
      </c>
      <c r="F446">
        <v>-1.53</v>
      </c>
      <c r="G446">
        <v>1.53</v>
      </c>
      <c r="H446">
        <v>1</v>
      </c>
      <c r="I446">
        <v>0</v>
      </c>
      <c r="J446">
        <v>1</v>
      </c>
      <c r="K446" t="s">
        <v>33</v>
      </c>
      <c r="L446" t="s">
        <v>38</v>
      </c>
    </row>
    <row r="447" spans="1:12">
      <c r="A447" t="s">
        <v>269</v>
      </c>
      <c r="B447" t="s">
        <v>26</v>
      </c>
      <c r="C447" t="s">
        <v>119</v>
      </c>
      <c r="D447">
        <v>2</v>
      </c>
      <c r="E447">
        <v>1.19</v>
      </c>
      <c r="F447">
        <v>-0.81</v>
      </c>
      <c r="G447">
        <v>0.81</v>
      </c>
      <c r="H447">
        <v>0</v>
      </c>
      <c r="I447">
        <v>1</v>
      </c>
      <c r="J447">
        <v>0</v>
      </c>
      <c r="K447" t="s">
        <v>34</v>
      </c>
      <c r="L447" t="s">
        <v>44</v>
      </c>
    </row>
    <row r="448" spans="1:12">
      <c r="A448" t="s">
        <v>269</v>
      </c>
      <c r="B448" t="s">
        <v>26</v>
      </c>
      <c r="C448" t="s">
        <v>120</v>
      </c>
      <c r="D448">
        <v>2</v>
      </c>
      <c r="E448">
        <v>1.19</v>
      </c>
      <c r="F448">
        <v>-0.81</v>
      </c>
      <c r="G448">
        <v>0.81</v>
      </c>
      <c r="H448">
        <v>0</v>
      </c>
      <c r="I448">
        <v>1</v>
      </c>
      <c r="J448">
        <v>0</v>
      </c>
      <c r="K448" t="s">
        <v>34</v>
      </c>
      <c r="L448" t="s">
        <v>44</v>
      </c>
    </row>
    <row r="449" spans="1:12">
      <c r="A449" t="s">
        <v>269</v>
      </c>
      <c r="B449" t="s">
        <v>26</v>
      </c>
      <c r="C449" t="s">
        <v>121</v>
      </c>
      <c r="D449">
        <v>2</v>
      </c>
      <c r="E449">
        <v>1.19</v>
      </c>
      <c r="F449">
        <v>-0.81</v>
      </c>
      <c r="G449">
        <v>0.81</v>
      </c>
      <c r="H449">
        <v>0</v>
      </c>
      <c r="I449">
        <v>1</v>
      </c>
      <c r="J449">
        <v>0</v>
      </c>
      <c r="K449" t="s">
        <v>34</v>
      </c>
      <c r="L449" t="s">
        <v>44</v>
      </c>
    </row>
    <row r="450" spans="1:12">
      <c r="A450" t="s">
        <v>269</v>
      </c>
      <c r="B450" t="s">
        <v>26</v>
      </c>
      <c r="C450" t="s">
        <v>122</v>
      </c>
      <c r="D450">
        <v>2</v>
      </c>
      <c r="E450">
        <v>1.19</v>
      </c>
      <c r="F450">
        <v>-0.81</v>
      </c>
      <c r="G450">
        <v>0.81</v>
      </c>
      <c r="H450">
        <v>0</v>
      </c>
      <c r="I450">
        <v>1</v>
      </c>
      <c r="J450">
        <v>0</v>
      </c>
      <c r="K450" t="s">
        <v>34</v>
      </c>
      <c r="L450" t="s">
        <v>44</v>
      </c>
    </row>
    <row r="451" spans="1:12">
      <c r="A451" t="s">
        <v>269</v>
      </c>
      <c r="B451" t="s">
        <v>26</v>
      </c>
      <c r="C451" t="s">
        <v>123</v>
      </c>
      <c r="D451">
        <v>1</v>
      </c>
      <c r="E451">
        <v>1.19</v>
      </c>
      <c r="F451">
        <v>0.18999999999999995</v>
      </c>
      <c r="G451">
        <v>0.18999999999999995</v>
      </c>
      <c r="H451">
        <v>0</v>
      </c>
      <c r="I451">
        <v>1</v>
      </c>
      <c r="J451">
        <v>0</v>
      </c>
      <c r="K451" t="s">
        <v>34</v>
      </c>
      <c r="L451" t="s">
        <v>44</v>
      </c>
    </row>
    <row r="452" spans="1:12">
      <c r="A452" t="s">
        <v>269</v>
      </c>
      <c r="B452" t="s">
        <v>26</v>
      </c>
      <c r="C452" t="s">
        <v>124</v>
      </c>
      <c r="D452">
        <v>2</v>
      </c>
      <c r="E452">
        <v>1.19</v>
      </c>
      <c r="F452">
        <v>-0.81</v>
      </c>
      <c r="G452">
        <v>0.81</v>
      </c>
      <c r="H452">
        <v>0</v>
      </c>
      <c r="I452">
        <v>1</v>
      </c>
      <c r="J452">
        <v>0</v>
      </c>
      <c r="K452" t="s">
        <v>34</v>
      </c>
      <c r="L452" t="s">
        <v>45</v>
      </c>
    </row>
    <row r="453" spans="1:12">
      <c r="A453" t="s">
        <v>269</v>
      </c>
      <c r="B453" t="s">
        <v>26</v>
      </c>
      <c r="C453" t="s">
        <v>125</v>
      </c>
      <c r="D453">
        <v>2</v>
      </c>
      <c r="E453">
        <v>1.19</v>
      </c>
      <c r="F453">
        <v>-0.81</v>
      </c>
      <c r="G453">
        <v>0.81</v>
      </c>
      <c r="H453">
        <v>0</v>
      </c>
      <c r="I453">
        <v>1</v>
      </c>
      <c r="J453">
        <v>0</v>
      </c>
      <c r="K453" t="s">
        <v>34</v>
      </c>
      <c r="L453" t="s">
        <v>45</v>
      </c>
    </row>
    <row r="454" spans="1:12">
      <c r="A454" t="s">
        <v>269</v>
      </c>
      <c r="B454" t="s">
        <v>26</v>
      </c>
      <c r="C454" t="s">
        <v>126</v>
      </c>
      <c r="D454">
        <v>2</v>
      </c>
      <c r="E454">
        <v>1.19</v>
      </c>
      <c r="F454">
        <v>-0.81</v>
      </c>
      <c r="G454">
        <v>0.81</v>
      </c>
      <c r="H454">
        <v>0</v>
      </c>
      <c r="I454">
        <v>1</v>
      </c>
      <c r="J454">
        <v>0</v>
      </c>
      <c r="K454" t="s">
        <v>34</v>
      </c>
      <c r="L454" t="s">
        <v>45</v>
      </c>
    </row>
    <row r="455" spans="1:12">
      <c r="A455" t="s">
        <v>269</v>
      </c>
      <c r="B455" t="s">
        <v>26</v>
      </c>
      <c r="C455" t="s">
        <v>127</v>
      </c>
      <c r="D455">
        <v>2</v>
      </c>
      <c r="E455">
        <v>0.47</v>
      </c>
      <c r="F455">
        <v>-1.53</v>
      </c>
      <c r="G455">
        <v>1.53</v>
      </c>
      <c r="H455">
        <v>1</v>
      </c>
      <c r="I455">
        <v>0</v>
      </c>
      <c r="J455">
        <v>1</v>
      </c>
      <c r="K455" t="s">
        <v>33</v>
      </c>
      <c r="L455" t="s">
        <v>45</v>
      </c>
    </row>
    <row r="456" spans="1:12">
      <c r="A456" t="s">
        <v>269</v>
      </c>
      <c r="B456" t="s">
        <v>26</v>
      </c>
      <c r="C456" t="s">
        <v>128</v>
      </c>
      <c r="D456">
        <v>2</v>
      </c>
      <c r="E456">
        <v>0.47</v>
      </c>
      <c r="F456">
        <v>-1.53</v>
      </c>
      <c r="G456">
        <v>1.53</v>
      </c>
      <c r="H456">
        <v>1</v>
      </c>
      <c r="I456">
        <v>0</v>
      </c>
      <c r="J456">
        <v>1</v>
      </c>
      <c r="K456" t="s">
        <v>33</v>
      </c>
      <c r="L456" t="s">
        <v>45</v>
      </c>
    </row>
    <row r="457" spans="1:12">
      <c r="A457" t="s">
        <v>269</v>
      </c>
      <c r="B457" t="s">
        <v>26</v>
      </c>
      <c r="C457" t="s">
        <v>129</v>
      </c>
      <c r="D457">
        <v>2</v>
      </c>
      <c r="E457">
        <v>0.47</v>
      </c>
      <c r="F457">
        <v>-1.53</v>
      </c>
      <c r="G457">
        <v>1.53</v>
      </c>
      <c r="H457">
        <v>1</v>
      </c>
      <c r="I457">
        <v>0</v>
      </c>
      <c r="J457">
        <v>1</v>
      </c>
      <c r="K457" t="s">
        <v>33</v>
      </c>
      <c r="L457" t="s">
        <v>46</v>
      </c>
    </row>
    <row r="458" spans="1:12">
      <c r="A458" t="s">
        <v>269</v>
      </c>
      <c r="B458" t="s">
        <v>26</v>
      </c>
      <c r="C458" t="s">
        <v>130</v>
      </c>
      <c r="D458">
        <v>2</v>
      </c>
      <c r="E458">
        <v>0.47</v>
      </c>
      <c r="F458">
        <v>-1.53</v>
      </c>
      <c r="G458">
        <v>1.53</v>
      </c>
      <c r="H458">
        <v>1</v>
      </c>
      <c r="I458">
        <v>0</v>
      </c>
      <c r="J458">
        <v>1</v>
      </c>
      <c r="K458" t="s">
        <v>33</v>
      </c>
      <c r="L458" t="s">
        <v>46</v>
      </c>
    </row>
    <row r="459" spans="1:12">
      <c r="A459" t="s">
        <v>269</v>
      </c>
      <c r="B459" t="s">
        <v>26</v>
      </c>
      <c r="C459" t="s">
        <v>131</v>
      </c>
      <c r="D459">
        <v>2</v>
      </c>
      <c r="E459">
        <v>0.47</v>
      </c>
      <c r="F459">
        <v>-1.53</v>
      </c>
      <c r="G459">
        <v>1.53</v>
      </c>
      <c r="H459">
        <v>1</v>
      </c>
      <c r="I459">
        <v>0</v>
      </c>
      <c r="J459">
        <v>1</v>
      </c>
      <c r="K459" t="s">
        <v>33</v>
      </c>
      <c r="L459" t="s">
        <v>46</v>
      </c>
    </row>
    <row r="460" spans="1:12">
      <c r="A460" t="s">
        <v>269</v>
      </c>
      <c r="B460" t="s">
        <v>26</v>
      </c>
      <c r="C460" t="s">
        <v>132</v>
      </c>
      <c r="D460">
        <v>1</v>
      </c>
      <c r="E460">
        <v>0.47</v>
      </c>
      <c r="F460">
        <v>-0.53</v>
      </c>
      <c r="G460">
        <v>0.53</v>
      </c>
      <c r="H460">
        <v>0</v>
      </c>
      <c r="I460">
        <v>1</v>
      </c>
      <c r="J460">
        <v>0</v>
      </c>
      <c r="K460" t="s">
        <v>34</v>
      </c>
      <c r="L460" t="s">
        <v>46</v>
      </c>
    </row>
    <row r="461" spans="1:12">
      <c r="A461" t="s">
        <v>269</v>
      </c>
      <c r="B461" t="s">
        <v>26</v>
      </c>
      <c r="C461" t="s">
        <v>133</v>
      </c>
      <c r="D461">
        <v>1</v>
      </c>
      <c r="E461">
        <v>0.47</v>
      </c>
      <c r="F461">
        <v>-0.53</v>
      </c>
      <c r="G461">
        <v>0.53</v>
      </c>
      <c r="H461">
        <v>0</v>
      </c>
      <c r="I461">
        <v>1</v>
      </c>
      <c r="J461">
        <v>0</v>
      </c>
      <c r="K461" t="s">
        <v>34</v>
      </c>
      <c r="L461" t="s">
        <v>46</v>
      </c>
    </row>
    <row r="462" spans="1:12">
      <c r="A462" t="s">
        <v>269</v>
      </c>
      <c r="B462" t="s">
        <v>26</v>
      </c>
      <c r="C462" t="s">
        <v>134</v>
      </c>
      <c r="D462">
        <v>2</v>
      </c>
      <c r="E462">
        <v>0.47</v>
      </c>
      <c r="F462">
        <v>-1.53</v>
      </c>
      <c r="G462">
        <v>1.53</v>
      </c>
      <c r="H462">
        <v>1</v>
      </c>
      <c r="I462">
        <v>0</v>
      </c>
      <c r="J462">
        <v>1</v>
      </c>
      <c r="K462" t="s">
        <v>33</v>
      </c>
      <c r="L462" t="s">
        <v>47</v>
      </c>
    </row>
    <row r="463" spans="1:12">
      <c r="A463" t="s">
        <v>269</v>
      </c>
      <c r="B463" t="s">
        <v>26</v>
      </c>
      <c r="C463" t="s">
        <v>135</v>
      </c>
      <c r="D463">
        <v>2</v>
      </c>
      <c r="E463">
        <v>0.47</v>
      </c>
      <c r="F463">
        <v>-1.53</v>
      </c>
      <c r="G463">
        <v>1.53</v>
      </c>
      <c r="H463">
        <v>1</v>
      </c>
      <c r="I463">
        <v>0</v>
      </c>
      <c r="J463">
        <v>1</v>
      </c>
      <c r="K463" t="s">
        <v>33</v>
      </c>
      <c r="L463" t="s">
        <v>47</v>
      </c>
    </row>
    <row r="464" spans="1:12">
      <c r="A464" t="s">
        <v>269</v>
      </c>
      <c r="B464" t="s">
        <v>26</v>
      </c>
      <c r="C464" t="s">
        <v>136</v>
      </c>
      <c r="D464">
        <v>2</v>
      </c>
      <c r="E464">
        <v>0.47</v>
      </c>
      <c r="F464">
        <v>-1.53</v>
      </c>
      <c r="G464">
        <v>1.53</v>
      </c>
      <c r="H464">
        <v>1</v>
      </c>
      <c r="I464">
        <v>0</v>
      </c>
      <c r="J464">
        <v>1</v>
      </c>
      <c r="K464" t="s">
        <v>33</v>
      </c>
      <c r="L464" t="s">
        <v>47</v>
      </c>
    </row>
    <row r="465" spans="1:12">
      <c r="A465" t="s">
        <v>269</v>
      </c>
      <c r="B465" t="s">
        <v>26</v>
      </c>
      <c r="C465" t="s">
        <v>137</v>
      </c>
      <c r="D465">
        <v>2</v>
      </c>
      <c r="E465">
        <v>0.47</v>
      </c>
      <c r="F465">
        <v>-1.53</v>
      </c>
      <c r="G465">
        <v>1.53</v>
      </c>
      <c r="H465">
        <v>1</v>
      </c>
      <c r="I465">
        <v>0</v>
      </c>
      <c r="J465">
        <v>1</v>
      </c>
      <c r="K465" t="s">
        <v>33</v>
      </c>
      <c r="L465" t="s">
        <v>47</v>
      </c>
    </row>
    <row r="466" spans="1:12">
      <c r="A466" t="s">
        <v>269</v>
      </c>
      <c r="B466" t="s">
        <v>26</v>
      </c>
      <c r="C466" t="s">
        <v>138</v>
      </c>
      <c r="D466">
        <v>2</v>
      </c>
      <c r="E466">
        <v>0.47</v>
      </c>
      <c r="F466">
        <v>-1.53</v>
      </c>
      <c r="G466">
        <v>1.53</v>
      </c>
      <c r="H466">
        <v>1</v>
      </c>
      <c r="I466">
        <v>0</v>
      </c>
      <c r="J466">
        <v>1</v>
      </c>
      <c r="K466" t="s">
        <v>33</v>
      </c>
      <c r="L466" t="s">
        <v>47</v>
      </c>
    </row>
    <row r="467" spans="1:12">
      <c r="A467" t="s">
        <v>269</v>
      </c>
      <c r="B467" t="s">
        <v>26</v>
      </c>
      <c r="C467" t="s">
        <v>139</v>
      </c>
      <c r="D467">
        <v>2</v>
      </c>
      <c r="E467">
        <v>0.47</v>
      </c>
      <c r="F467">
        <v>-1.53</v>
      </c>
      <c r="G467">
        <v>1.53</v>
      </c>
      <c r="H467">
        <v>1</v>
      </c>
      <c r="I467">
        <v>0</v>
      </c>
      <c r="J467">
        <v>1</v>
      </c>
      <c r="K467" t="s">
        <v>33</v>
      </c>
      <c r="L467" t="s">
        <v>42</v>
      </c>
    </row>
    <row r="468" spans="1:12">
      <c r="A468" t="s">
        <v>269</v>
      </c>
      <c r="B468" t="s">
        <v>26</v>
      </c>
      <c r="C468" t="s">
        <v>140</v>
      </c>
      <c r="D468">
        <v>1</v>
      </c>
      <c r="E468">
        <v>0.47</v>
      </c>
      <c r="F468">
        <v>-0.53</v>
      </c>
      <c r="G468">
        <v>0.53</v>
      </c>
      <c r="H468">
        <v>0</v>
      </c>
      <c r="I468">
        <v>1</v>
      </c>
      <c r="J468">
        <v>0</v>
      </c>
      <c r="K468" t="s">
        <v>34</v>
      </c>
      <c r="L468" t="s">
        <v>42</v>
      </c>
    </row>
    <row r="469" spans="1:12">
      <c r="A469" t="s">
        <v>269</v>
      </c>
      <c r="B469" t="s">
        <v>26</v>
      </c>
      <c r="C469" t="s">
        <v>141</v>
      </c>
      <c r="D469">
        <v>2</v>
      </c>
      <c r="E469">
        <v>0.47</v>
      </c>
      <c r="F469">
        <v>-1.53</v>
      </c>
      <c r="G469">
        <v>1.53</v>
      </c>
      <c r="H469">
        <v>1</v>
      </c>
      <c r="I469">
        <v>0</v>
      </c>
      <c r="J469">
        <v>1</v>
      </c>
      <c r="K469" t="s">
        <v>33</v>
      </c>
      <c r="L469" t="s">
        <v>42</v>
      </c>
    </row>
    <row r="470" spans="1:12">
      <c r="A470" t="s">
        <v>269</v>
      </c>
      <c r="B470" t="s">
        <v>26</v>
      </c>
      <c r="C470" t="s">
        <v>142</v>
      </c>
      <c r="D470">
        <v>3</v>
      </c>
      <c r="E470">
        <v>0.47</v>
      </c>
      <c r="F470">
        <v>-2.5300000000000002</v>
      </c>
      <c r="G470">
        <v>2.5300000000000002</v>
      </c>
      <c r="H470">
        <v>1</v>
      </c>
      <c r="I470">
        <v>0</v>
      </c>
      <c r="J470">
        <v>1</v>
      </c>
      <c r="K470" t="s">
        <v>36</v>
      </c>
      <c r="L470" t="s">
        <v>42</v>
      </c>
    </row>
    <row r="471" spans="1:12">
      <c r="A471" t="s">
        <v>269</v>
      </c>
      <c r="B471" t="s">
        <v>26</v>
      </c>
      <c r="C471" t="s">
        <v>143</v>
      </c>
      <c r="D471">
        <v>4</v>
      </c>
      <c r="E471">
        <v>0.47</v>
      </c>
      <c r="F471">
        <v>-3.5300000000000002</v>
      </c>
      <c r="G471">
        <v>3.5300000000000002</v>
      </c>
      <c r="H471">
        <v>1</v>
      </c>
      <c r="I471">
        <v>0</v>
      </c>
      <c r="J471">
        <v>1</v>
      </c>
      <c r="K471" t="s">
        <v>36</v>
      </c>
      <c r="L471" t="s">
        <v>42</v>
      </c>
    </row>
    <row r="472" spans="1:12">
      <c r="A472" t="s">
        <v>269</v>
      </c>
      <c r="B472" t="s">
        <v>26</v>
      </c>
      <c r="C472" t="s">
        <v>144</v>
      </c>
      <c r="D472">
        <v>4</v>
      </c>
      <c r="E472">
        <v>0.47</v>
      </c>
      <c r="F472">
        <v>-3.5300000000000002</v>
      </c>
      <c r="G472">
        <v>3.5300000000000002</v>
      </c>
      <c r="H472">
        <v>1</v>
      </c>
      <c r="I472">
        <v>0</v>
      </c>
      <c r="J472">
        <v>1</v>
      </c>
      <c r="K472" t="s">
        <v>36</v>
      </c>
      <c r="L472" t="s">
        <v>43</v>
      </c>
    </row>
    <row r="473" spans="1:12">
      <c r="A473" t="s">
        <v>269</v>
      </c>
      <c r="B473" t="s">
        <v>26</v>
      </c>
      <c r="C473" t="s">
        <v>145</v>
      </c>
      <c r="D473">
        <v>4</v>
      </c>
      <c r="E473">
        <v>0.47</v>
      </c>
      <c r="F473">
        <v>-3.5300000000000002</v>
      </c>
      <c r="G473">
        <v>3.5300000000000002</v>
      </c>
      <c r="H473">
        <v>1</v>
      </c>
      <c r="I473">
        <v>0</v>
      </c>
      <c r="J473">
        <v>1</v>
      </c>
      <c r="K473" t="s">
        <v>36</v>
      </c>
      <c r="L473" t="s">
        <v>43</v>
      </c>
    </row>
    <row r="474" spans="1:12">
      <c r="A474" t="s">
        <v>269</v>
      </c>
      <c r="B474" t="s">
        <v>26</v>
      </c>
      <c r="C474" t="s">
        <v>146</v>
      </c>
      <c r="D474">
        <v>4</v>
      </c>
      <c r="E474">
        <v>0.47</v>
      </c>
      <c r="F474">
        <v>-3.5300000000000002</v>
      </c>
      <c r="G474">
        <v>3.5300000000000002</v>
      </c>
      <c r="H474">
        <v>1</v>
      </c>
      <c r="I474">
        <v>0</v>
      </c>
      <c r="J474">
        <v>1</v>
      </c>
      <c r="K474" t="s">
        <v>36</v>
      </c>
      <c r="L474" t="s">
        <v>43</v>
      </c>
    </row>
    <row r="475" spans="1:12">
      <c r="A475" t="s">
        <v>269</v>
      </c>
      <c r="B475" t="s">
        <v>26</v>
      </c>
      <c r="C475" t="s">
        <v>147</v>
      </c>
      <c r="D475">
        <v>4</v>
      </c>
      <c r="E475">
        <v>0.47</v>
      </c>
      <c r="F475">
        <v>-3.5300000000000002</v>
      </c>
      <c r="G475">
        <v>3.5300000000000002</v>
      </c>
      <c r="H475">
        <v>1</v>
      </c>
      <c r="I475">
        <v>0</v>
      </c>
      <c r="J475">
        <v>1</v>
      </c>
      <c r="K475" t="s">
        <v>36</v>
      </c>
      <c r="L475" t="s">
        <v>43</v>
      </c>
    </row>
    <row r="476" spans="1:12">
      <c r="A476" t="s">
        <v>269</v>
      </c>
      <c r="B476" t="s">
        <v>26</v>
      </c>
      <c r="C476" t="s">
        <v>148</v>
      </c>
      <c r="D476">
        <v>5</v>
      </c>
      <c r="E476">
        <v>0.47</v>
      </c>
      <c r="F476">
        <v>-4.53</v>
      </c>
      <c r="G476">
        <v>4.53</v>
      </c>
      <c r="H476">
        <v>1</v>
      </c>
      <c r="I476">
        <v>0</v>
      </c>
      <c r="J476">
        <v>1</v>
      </c>
      <c r="K476" t="s">
        <v>36</v>
      </c>
      <c r="L476" t="s">
        <v>43</v>
      </c>
    </row>
    <row r="477" spans="1:12">
      <c r="A477" t="s">
        <v>269</v>
      </c>
      <c r="B477" t="s">
        <v>26</v>
      </c>
      <c r="C477" t="s">
        <v>149</v>
      </c>
      <c r="D477">
        <v>5</v>
      </c>
      <c r="E477">
        <v>0.47</v>
      </c>
      <c r="F477">
        <v>-4.53</v>
      </c>
      <c r="G477">
        <v>4.53</v>
      </c>
      <c r="H477">
        <v>1</v>
      </c>
      <c r="I477">
        <v>0</v>
      </c>
      <c r="J477">
        <v>1</v>
      </c>
      <c r="K477" t="s">
        <v>36</v>
      </c>
      <c r="L477" t="s">
        <v>48</v>
      </c>
    </row>
    <row r="478" spans="1:12">
      <c r="A478" t="s">
        <v>269</v>
      </c>
      <c r="B478" t="s">
        <v>26</v>
      </c>
      <c r="C478" t="s">
        <v>150</v>
      </c>
      <c r="D478">
        <v>5</v>
      </c>
      <c r="E478">
        <v>0.47</v>
      </c>
      <c r="F478">
        <v>-4.53</v>
      </c>
      <c r="G478">
        <v>4.53</v>
      </c>
      <c r="H478">
        <v>1</v>
      </c>
      <c r="I478">
        <v>0</v>
      </c>
      <c r="J478">
        <v>1</v>
      </c>
      <c r="K478" t="s">
        <v>36</v>
      </c>
      <c r="L478" t="s">
        <v>48</v>
      </c>
    </row>
    <row r="479" spans="1:12">
      <c r="A479" t="s">
        <v>269</v>
      </c>
      <c r="B479" t="s">
        <v>26</v>
      </c>
      <c r="C479" t="s">
        <v>151</v>
      </c>
      <c r="D479">
        <v>5</v>
      </c>
      <c r="E479">
        <v>0.47</v>
      </c>
      <c r="F479">
        <v>-4.53</v>
      </c>
      <c r="G479">
        <v>4.53</v>
      </c>
      <c r="H479">
        <v>1</v>
      </c>
      <c r="I479">
        <v>0</v>
      </c>
      <c r="J479">
        <v>1</v>
      </c>
      <c r="K479" t="s">
        <v>36</v>
      </c>
      <c r="L479" t="s">
        <v>48</v>
      </c>
    </row>
    <row r="480" spans="1:12">
      <c r="A480" t="s">
        <v>269</v>
      </c>
      <c r="B480" t="s">
        <v>26</v>
      </c>
      <c r="C480" t="s">
        <v>152</v>
      </c>
      <c r="D480">
        <v>5</v>
      </c>
      <c r="E480">
        <v>0.47</v>
      </c>
      <c r="F480">
        <v>-4.53</v>
      </c>
      <c r="G480">
        <v>4.53</v>
      </c>
      <c r="H480">
        <v>1</v>
      </c>
      <c r="I480">
        <v>0</v>
      </c>
      <c r="J480">
        <v>1</v>
      </c>
      <c r="K480" t="s">
        <v>36</v>
      </c>
      <c r="L480" t="s">
        <v>48</v>
      </c>
    </row>
    <row r="481" spans="1:12">
      <c r="A481" t="s">
        <v>269</v>
      </c>
      <c r="B481" t="s">
        <v>26</v>
      </c>
      <c r="C481" t="s">
        <v>153</v>
      </c>
      <c r="D481">
        <v>5</v>
      </c>
      <c r="E481">
        <v>0.47</v>
      </c>
      <c r="F481">
        <v>-4.53</v>
      </c>
      <c r="G481">
        <v>4.53</v>
      </c>
      <c r="H481">
        <v>1</v>
      </c>
      <c r="I481">
        <v>0</v>
      </c>
      <c r="J481">
        <v>1</v>
      </c>
      <c r="K481" t="s">
        <v>36</v>
      </c>
      <c r="L481" t="s">
        <v>48</v>
      </c>
    </row>
    <row r="482" spans="1:12">
      <c r="A482" t="s">
        <v>275</v>
      </c>
      <c r="B482" t="s">
        <v>31</v>
      </c>
      <c r="C482" t="s">
        <v>76</v>
      </c>
      <c r="D482">
        <v>2</v>
      </c>
      <c r="E482">
        <v>2</v>
      </c>
      <c r="F482">
        <v>0</v>
      </c>
      <c r="G482">
        <v>0</v>
      </c>
      <c r="H482">
        <v>0</v>
      </c>
      <c r="I482">
        <v>1</v>
      </c>
      <c r="J482">
        <v>0</v>
      </c>
      <c r="K482" t="s">
        <v>34</v>
      </c>
      <c r="L482" t="s">
        <v>49</v>
      </c>
    </row>
    <row r="483" spans="1:12">
      <c r="A483" t="s">
        <v>275</v>
      </c>
      <c r="B483" t="s">
        <v>31</v>
      </c>
      <c r="C483" t="s">
        <v>77</v>
      </c>
      <c r="D483">
        <v>2</v>
      </c>
      <c r="E483">
        <v>2</v>
      </c>
      <c r="F483">
        <v>0</v>
      </c>
      <c r="G483">
        <v>0</v>
      </c>
      <c r="H483">
        <v>0</v>
      </c>
      <c r="I483">
        <v>1</v>
      </c>
      <c r="J483">
        <v>0</v>
      </c>
      <c r="K483" t="s">
        <v>34</v>
      </c>
      <c r="L483" t="s">
        <v>49</v>
      </c>
    </row>
    <row r="484" spans="1:12">
      <c r="A484" t="s">
        <v>275</v>
      </c>
      <c r="B484" t="s">
        <v>31</v>
      </c>
      <c r="C484" t="s">
        <v>78</v>
      </c>
      <c r="D484">
        <v>2</v>
      </c>
      <c r="E484">
        <v>2</v>
      </c>
      <c r="F484">
        <v>0</v>
      </c>
      <c r="G484">
        <v>0</v>
      </c>
      <c r="H484">
        <v>0</v>
      </c>
      <c r="I484">
        <v>1</v>
      </c>
      <c r="J484">
        <v>0</v>
      </c>
      <c r="K484" t="s">
        <v>34</v>
      </c>
      <c r="L484" t="s">
        <v>49</v>
      </c>
    </row>
    <row r="485" spans="1:12">
      <c r="A485" t="s">
        <v>275</v>
      </c>
      <c r="B485" t="s">
        <v>31</v>
      </c>
      <c r="C485" t="s">
        <v>79</v>
      </c>
      <c r="D485">
        <v>2</v>
      </c>
      <c r="E485">
        <v>2</v>
      </c>
      <c r="F485">
        <v>0</v>
      </c>
      <c r="G485">
        <v>0</v>
      </c>
      <c r="H485">
        <v>0</v>
      </c>
      <c r="I485">
        <v>1</v>
      </c>
      <c r="J485">
        <v>0</v>
      </c>
      <c r="K485" t="s">
        <v>34</v>
      </c>
      <c r="L485" t="s">
        <v>49</v>
      </c>
    </row>
    <row r="486" spans="1:12">
      <c r="A486" t="s">
        <v>275</v>
      </c>
      <c r="B486" t="s">
        <v>31</v>
      </c>
      <c r="C486" t="s">
        <v>80</v>
      </c>
      <c r="D486">
        <v>2</v>
      </c>
      <c r="E486">
        <v>2</v>
      </c>
      <c r="F486">
        <v>0</v>
      </c>
      <c r="G486">
        <v>0</v>
      </c>
      <c r="H486">
        <v>0</v>
      </c>
      <c r="I486">
        <v>1</v>
      </c>
      <c r="J486">
        <v>0</v>
      </c>
      <c r="K486" t="s">
        <v>34</v>
      </c>
      <c r="L486" t="s">
        <v>49</v>
      </c>
    </row>
    <row r="487" spans="1:12">
      <c r="A487" t="s">
        <v>275</v>
      </c>
      <c r="B487" t="s">
        <v>31</v>
      </c>
      <c r="C487" t="s">
        <v>81</v>
      </c>
      <c r="D487">
        <v>2</v>
      </c>
      <c r="E487">
        <v>2</v>
      </c>
      <c r="F487">
        <v>0</v>
      </c>
      <c r="G487">
        <v>0</v>
      </c>
      <c r="H487">
        <v>0</v>
      </c>
      <c r="I487">
        <v>1</v>
      </c>
      <c r="J487">
        <v>0</v>
      </c>
      <c r="K487" t="s">
        <v>34</v>
      </c>
      <c r="L487" t="s">
        <v>49</v>
      </c>
    </row>
    <row r="488" spans="1:12">
      <c r="A488" t="s">
        <v>275</v>
      </c>
      <c r="B488" t="s">
        <v>31</v>
      </c>
      <c r="C488" t="s">
        <v>82</v>
      </c>
      <c r="D488">
        <v>2</v>
      </c>
      <c r="E488">
        <v>2</v>
      </c>
      <c r="F488">
        <v>0</v>
      </c>
      <c r="G488">
        <v>0</v>
      </c>
      <c r="H488">
        <v>0</v>
      </c>
      <c r="I488">
        <v>1</v>
      </c>
      <c r="J488">
        <v>0</v>
      </c>
      <c r="K488" t="s">
        <v>34</v>
      </c>
      <c r="L488" t="s">
        <v>49</v>
      </c>
    </row>
    <row r="489" spans="1:12">
      <c r="A489" t="s">
        <v>275</v>
      </c>
      <c r="B489" t="s">
        <v>31</v>
      </c>
      <c r="C489" t="s">
        <v>83</v>
      </c>
      <c r="D489">
        <v>1</v>
      </c>
      <c r="E489">
        <v>2</v>
      </c>
      <c r="F489">
        <v>1</v>
      </c>
      <c r="G489">
        <v>1</v>
      </c>
      <c r="H489">
        <v>0</v>
      </c>
      <c r="I489">
        <v>1</v>
      </c>
      <c r="J489">
        <v>1</v>
      </c>
      <c r="K489" t="s">
        <v>37</v>
      </c>
      <c r="L489" t="s">
        <v>49</v>
      </c>
    </row>
    <row r="490" spans="1:12">
      <c r="A490" t="s">
        <v>275</v>
      </c>
      <c r="B490" t="s">
        <v>31</v>
      </c>
      <c r="C490" t="s">
        <v>84</v>
      </c>
      <c r="D490">
        <v>1</v>
      </c>
      <c r="E490">
        <v>2</v>
      </c>
      <c r="F490">
        <v>1</v>
      </c>
      <c r="G490">
        <v>1</v>
      </c>
      <c r="H490">
        <v>0</v>
      </c>
      <c r="I490">
        <v>1</v>
      </c>
      <c r="J490">
        <v>1</v>
      </c>
      <c r="K490" t="s">
        <v>37</v>
      </c>
      <c r="L490" t="s">
        <v>49</v>
      </c>
    </row>
    <row r="491" spans="1:12">
      <c r="A491" t="s">
        <v>275</v>
      </c>
      <c r="B491" t="s">
        <v>31</v>
      </c>
      <c r="C491" t="s">
        <v>85</v>
      </c>
      <c r="D491">
        <v>2</v>
      </c>
      <c r="E491">
        <v>2</v>
      </c>
      <c r="F491">
        <v>0</v>
      </c>
      <c r="G491">
        <v>0</v>
      </c>
      <c r="H491">
        <v>0</v>
      </c>
      <c r="I491">
        <v>1</v>
      </c>
      <c r="J491">
        <v>0</v>
      </c>
      <c r="K491" t="s">
        <v>34</v>
      </c>
      <c r="L491" t="s">
        <v>49</v>
      </c>
    </row>
    <row r="492" spans="1:12">
      <c r="A492" t="s">
        <v>275</v>
      </c>
      <c r="B492" t="s">
        <v>31</v>
      </c>
      <c r="C492" t="s">
        <v>86</v>
      </c>
      <c r="D492">
        <v>2</v>
      </c>
      <c r="E492">
        <v>2</v>
      </c>
      <c r="F492">
        <v>0</v>
      </c>
      <c r="G492">
        <v>0</v>
      </c>
      <c r="H492">
        <v>0</v>
      </c>
      <c r="I492">
        <v>1</v>
      </c>
      <c r="J492">
        <v>0</v>
      </c>
      <c r="K492" t="s">
        <v>34</v>
      </c>
      <c r="L492" t="s">
        <v>50</v>
      </c>
    </row>
    <row r="493" spans="1:12">
      <c r="A493" t="s">
        <v>275</v>
      </c>
      <c r="B493" t="s">
        <v>31</v>
      </c>
      <c r="C493" t="s">
        <v>87</v>
      </c>
      <c r="D493">
        <v>2</v>
      </c>
      <c r="E493">
        <v>2</v>
      </c>
      <c r="F493">
        <v>0</v>
      </c>
      <c r="G493">
        <v>0</v>
      </c>
      <c r="H493">
        <v>0</v>
      </c>
      <c r="I493">
        <v>1</v>
      </c>
      <c r="J493">
        <v>0</v>
      </c>
      <c r="K493" t="s">
        <v>34</v>
      </c>
      <c r="L493" t="s">
        <v>50</v>
      </c>
    </row>
    <row r="494" spans="1:12">
      <c r="A494" t="s">
        <v>275</v>
      </c>
      <c r="B494" t="s">
        <v>31</v>
      </c>
      <c r="C494" t="s">
        <v>88</v>
      </c>
      <c r="D494">
        <v>2</v>
      </c>
      <c r="E494">
        <v>2</v>
      </c>
      <c r="F494">
        <v>0</v>
      </c>
      <c r="G494">
        <v>0</v>
      </c>
      <c r="H494">
        <v>0</v>
      </c>
      <c r="I494">
        <v>1</v>
      </c>
      <c r="J494">
        <v>0</v>
      </c>
      <c r="K494" t="s">
        <v>34</v>
      </c>
      <c r="L494" t="s">
        <v>50</v>
      </c>
    </row>
    <row r="495" spans="1:12">
      <c r="A495" t="s">
        <v>275</v>
      </c>
      <c r="B495" t="s">
        <v>31</v>
      </c>
      <c r="C495" t="s">
        <v>89</v>
      </c>
      <c r="D495">
        <v>2</v>
      </c>
      <c r="E495">
        <v>1.08</v>
      </c>
      <c r="F495">
        <v>-0.91999999999999993</v>
      </c>
      <c r="G495">
        <v>0.91999999999999993</v>
      </c>
      <c r="H495">
        <v>0</v>
      </c>
      <c r="I495">
        <v>1</v>
      </c>
      <c r="J495">
        <v>0</v>
      </c>
      <c r="K495" t="s">
        <v>34</v>
      </c>
      <c r="L495" t="s">
        <v>50</v>
      </c>
    </row>
    <row r="496" spans="1:12">
      <c r="A496" t="s">
        <v>275</v>
      </c>
      <c r="B496" t="s">
        <v>31</v>
      </c>
      <c r="C496" t="s">
        <v>90</v>
      </c>
      <c r="D496">
        <v>2</v>
      </c>
      <c r="E496">
        <v>1.08</v>
      </c>
      <c r="F496">
        <v>-0.91999999999999993</v>
      </c>
      <c r="G496">
        <v>0.91999999999999993</v>
      </c>
      <c r="H496">
        <v>0</v>
      </c>
      <c r="I496">
        <v>1</v>
      </c>
      <c r="J496">
        <v>0</v>
      </c>
      <c r="K496" t="s">
        <v>34</v>
      </c>
      <c r="L496" t="s">
        <v>50</v>
      </c>
    </row>
    <row r="497" spans="1:12">
      <c r="A497" t="s">
        <v>275</v>
      </c>
      <c r="B497" t="s">
        <v>31</v>
      </c>
      <c r="C497" t="s">
        <v>91</v>
      </c>
      <c r="D497">
        <v>1</v>
      </c>
      <c r="E497">
        <v>1.08</v>
      </c>
      <c r="F497">
        <v>8.0000000000000071E-2</v>
      </c>
      <c r="G497">
        <v>8.0000000000000071E-2</v>
      </c>
      <c r="H497">
        <v>0</v>
      </c>
      <c r="I497">
        <v>1</v>
      </c>
      <c r="J497">
        <v>0</v>
      </c>
      <c r="K497" t="s">
        <v>34</v>
      </c>
      <c r="L497" t="s">
        <v>50</v>
      </c>
    </row>
    <row r="498" spans="1:12">
      <c r="A498" t="s">
        <v>275</v>
      </c>
      <c r="B498" t="s">
        <v>31</v>
      </c>
      <c r="C498" t="s">
        <v>92</v>
      </c>
      <c r="D498">
        <v>2</v>
      </c>
      <c r="E498">
        <v>1.08</v>
      </c>
      <c r="F498">
        <v>-0.91999999999999993</v>
      </c>
      <c r="G498">
        <v>0.91999999999999993</v>
      </c>
      <c r="H498">
        <v>0</v>
      </c>
      <c r="I498">
        <v>1</v>
      </c>
      <c r="J498">
        <v>0</v>
      </c>
      <c r="K498" t="s">
        <v>34</v>
      </c>
      <c r="L498" t="s">
        <v>50</v>
      </c>
    </row>
    <row r="499" spans="1:12">
      <c r="A499" t="s">
        <v>275</v>
      </c>
      <c r="B499" t="s">
        <v>31</v>
      </c>
      <c r="C499" t="s">
        <v>93</v>
      </c>
      <c r="D499">
        <v>2</v>
      </c>
      <c r="E499">
        <v>2</v>
      </c>
      <c r="F499">
        <v>0</v>
      </c>
      <c r="G499">
        <v>0</v>
      </c>
      <c r="H499">
        <v>0</v>
      </c>
      <c r="I499">
        <v>1</v>
      </c>
      <c r="J499">
        <v>0</v>
      </c>
      <c r="K499" t="s">
        <v>34</v>
      </c>
      <c r="L499" t="s">
        <v>50</v>
      </c>
    </row>
    <row r="500" spans="1:12">
      <c r="A500" t="s">
        <v>275</v>
      </c>
      <c r="B500" t="s">
        <v>31</v>
      </c>
      <c r="C500" t="s">
        <v>94</v>
      </c>
      <c r="D500">
        <v>2</v>
      </c>
      <c r="E500">
        <v>2</v>
      </c>
      <c r="F500">
        <v>0</v>
      </c>
      <c r="G500">
        <v>0</v>
      </c>
      <c r="H500">
        <v>0</v>
      </c>
      <c r="I500">
        <v>1</v>
      </c>
      <c r="J500">
        <v>0</v>
      </c>
      <c r="K500" t="s">
        <v>34</v>
      </c>
      <c r="L500" t="s">
        <v>50</v>
      </c>
    </row>
    <row r="501" spans="1:12">
      <c r="A501" t="s">
        <v>275</v>
      </c>
      <c r="B501" t="s">
        <v>31</v>
      </c>
      <c r="C501" t="s">
        <v>95</v>
      </c>
      <c r="D501">
        <v>2</v>
      </c>
      <c r="E501">
        <v>2</v>
      </c>
      <c r="F501">
        <v>0</v>
      </c>
      <c r="G501">
        <v>0</v>
      </c>
      <c r="H501">
        <v>0</v>
      </c>
      <c r="I501">
        <v>1</v>
      </c>
      <c r="J501">
        <v>0</v>
      </c>
      <c r="K501" t="s">
        <v>34</v>
      </c>
      <c r="L501" t="s">
        <v>50</v>
      </c>
    </row>
    <row r="502" spans="1:12">
      <c r="A502" t="s">
        <v>275</v>
      </c>
      <c r="B502" t="s">
        <v>31</v>
      </c>
      <c r="C502" t="s">
        <v>96</v>
      </c>
      <c r="D502">
        <v>2</v>
      </c>
      <c r="E502">
        <v>2</v>
      </c>
      <c r="F502">
        <v>0</v>
      </c>
      <c r="G502">
        <v>0</v>
      </c>
      <c r="H502">
        <v>0</v>
      </c>
      <c r="I502">
        <v>1</v>
      </c>
      <c r="J502">
        <v>0</v>
      </c>
      <c r="K502" t="s">
        <v>34</v>
      </c>
      <c r="L502" t="s">
        <v>40</v>
      </c>
    </row>
    <row r="503" spans="1:12">
      <c r="A503" t="s">
        <v>275</v>
      </c>
      <c r="B503" t="s">
        <v>31</v>
      </c>
      <c r="C503" t="s">
        <v>31</v>
      </c>
      <c r="D503">
        <v>2</v>
      </c>
      <c r="E503">
        <v>2</v>
      </c>
      <c r="F503">
        <v>0</v>
      </c>
      <c r="G503">
        <v>0</v>
      </c>
      <c r="H503">
        <v>0</v>
      </c>
      <c r="I503">
        <v>1</v>
      </c>
      <c r="J503">
        <v>0</v>
      </c>
      <c r="K503" t="s">
        <v>34</v>
      </c>
      <c r="L503" t="s">
        <v>40</v>
      </c>
    </row>
    <row r="504" spans="1:12">
      <c r="A504" t="s">
        <v>275</v>
      </c>
      <c r="B504" t="s">
        <v>31</v>
      </c>
      <c r="C504" t="s">
        <v>30</v>
      </c>
      <c r="D504">
        <v>2</v>
      </c>
      <c r="E504">
        <v>2</v>
      </c>
      <c r="F504">
        <v>0</v>
      </c>
      <c r="G504">
        <v>0</v>
      </c>
      <c r="H504">
        <v>0</v>
      </c>
      <c r="I504">
        <v>1</v>
      </c>
      <c r="J504">
        <v>0</v>
      </c>
      <c r="K504" t="s">
        <v>34</v>
      </c>
      <c r="L504" t="s">
        <v>40</v>
      </c>
    </row>
    <row r="505" spans="1:12">
      <c r="A505" t="s">
        <v>275</v>
      </c>
      <c r="B505" t="s">
        <v>31</v>
      </c>
      <c r="C505" t="s">
        <v>97</v>
      </c>
      <c r="D505">
        <v>2</v>
      </c>
      <c r="E505">
        <v>2</v>
      </c>
      <c r="F505">
        <v>0</v>
      </c>
      <c r="G505">
        <v>0</v>
      </c>
      <c r="H505">
        <v>0</v>
      </c>
      <c r="I505">
        <v>1</v>
      </c>
      <c r="J505">
        <v>0</v>
      </c>
      <c r="K505" t="s">
        <v>34</v>
      </c>
      <c r="L505" t="s">
        <v>40</v>
      </c>
    </row>
    <row r="506" spans="1:12">
      <c r="A506" t="s">
        <v>275</v>
      </c>
      <c r="B506" t="s">
        <v>31</v>
      </c>
      <c r="C506" t="s">
        <v>98</v>
      </c>
      <c r="D506">
        <v>1</v>
      </c>
      <c r="E506">
        <v>2</v>
      </c>
      <c r="F506">
        <v>1</v>
      </c>
      <c r="G506">
        <v>1</v>
      </c>
      <c r="H506">
        <v>0</v>
      </c>
      <c r="I506">
        <v>1</v>
      </c>
      <c r="J506">
        <v>1</v>
      </c>
      <c r="K506" t="s">
        <v>37</v>
      </c>
      <c r="L506" t="s">
        <v>40</v>
      </c>
    </row>
    <row r="507" spans="1:12">
      <c r="A507" t="s">
        <v>275</v>
      </c>
      <c r="B507" t="s">
        <v>31</v>
      </c>
      <c r="C507" t="s">
        <v>99</v>
      </c>
      <c r="D507">
        <v>1</v>
      </c>
      <c r="E507">
        <v>2</v>
      </c>
      <c r="F507">
        <v>1</v>
      </c>
      <c r="G507">
        <v>1</v>
      </c>
      <c r="H507">
        <v>0</v>
      </c>
      <c r="I507">
        <v>1</v>
      </c>
      <c r="J507">
        <v>1</v>
      </c>
      <c r="K507" t="s">
        <v>37</v>
      </c>
      <c r="L507" t="s">
        <v>39</v>
      </c>
    </row>
    <row r="508" spans="1:12">
      <c r="A508" t="s">
        <v>275</v>
      </c>
      <c r="B508" t="s">
        <v>31</v>
      </c>
      <c r="C508" t="s">
        <v>100</v>
      </c>
      <c r="D508">
        <v>2</v>
      </c>
      <c r="E508">
        <v>2</v>
      </c>
      <c r="F508">
        <v>0</v>
      </c>
      <c r="G508">
        <v>0</v>
      </c>
      <c r="H508">
        <v>0</v>
      </c>
      <c r="I508">
        <v>1</v>
      </c>
      <c r="J508">
        <v>0</v>
      </c>
      <c r="K508" t="s">
        <v>34</v>
      </c>
      <c r="L508" t="s">
        <v>39</v>
      </c>
    </row>
    <row r="509" spans="1:12">
      <c r="A509" t="s">
        <v>275</v>
      </c>
      <c r="B509" t="s">
        <v>31</v>
      </c>
      <c r="C509" t="s">
        <v>101</v>
      </c>
      <c r="D509">
        <v>2</v>
      </c>
      <c r="E509">
        <v>2</v>
      </c>
      <c r="F509">
        <v>0</v>
      </c>
      <c r="G509">
        <v>0</v>
      </c>
      <c r="H509">
        <v>0</v>
      </c>
      <c r="I509">
        <v>1</v>
      </c>
      <c r="J509">
        <v>0</v>
      </c>
      <c r="K509" t="s">
        <v>34</v>
      </c>
      <c r="L509" t="s">
        <v>39</v>
      </c>
    </row>
    <row r="510" spans="1:12">
      <c r="A510" t="s">
        <v>275</v>
      </c>
      <c r="B510" t="s">
        <v>31</v>
      </c>
      <c r="C510" t="s">
        <v>102</v>
      </c>
      <c r="D510">
        <v>2</v>
      </c>
      <c r="E510">
        <v>2</v>
      </c>
      <c r="F510">
        <v>0</v>
      </c>
      <c r="G510">
        <v>0</v>
      </c>
      <c r="H510">
        <v>0</v>
      </c>
      <c r="I510">
        <v>1</v>
      </c>
      <c r="J510">
        <v>0</v>
      </c>
      <c r="K510" t="s">
        <v>34</v>
      </c>
      <c r="L510" t="s">
        <v>39</v>
      </c>
    </row>
    <row r="511" spans="1:12">
      <c r="A511" t="s">
        <v>275</v>
      </c>
      <c r="B511" t="s">
        <v>31</v>
      </c>
      <c r="C511" t="s">
        <v>103</v>
      </c>
      <c r="D511">
        <v>2</v>
      </c>
      <c r="E511">
        <v>1.08</v>
      </c>
      <c r="F511">
        <v>-0.91999999999999993</v>
      </c>
      <c r="G511">
        <v>0.91999999999999993</v>
      </c>
      <c r="H511">
        <v>0</v>
      </c>
      <c r="I511">
        <v>1</v>
      </c>
      <c r="J511">
        <v>0</v>
      </c>
      <c r="K511" t="s">
        <v>34</v>
      </c>
      <c r="L511" t="s">
        <v>39</v>
      </c>
    </row>
    <row r="512" spans="1:12">
      <c r="A512" t="s">
        <v>275</v>
      </c>
      <c r="B512" t="s">
        <v>31</v>
      </c>
      <c r="C512" t="s">
        <v>104</v>
      </c>
      <c r="D512">
        <v>2</v>
      </c>
      <c r="E512">
        <v>1.08</v>
      </c>
      <c r="F512">
        <v>-0.91999999999999993</v>
      </c>
      <c r="G512">
        <v>0.91999999999999993</v>
      </c>
      <c r="H512">
        <v>0</v>
      </c>
      <c r="I512">
        <v>1</v>
      </c>
      <c r="J512">
        <v>0</v>
      </c>
      <c r="K512" t="s">
        <v>34</v>
      </c>
      <c r="L512" t="s">
        <v>41</v>
      </c>
    </row>
    <row r="513" spans="1:12">
      <c r="A513" t="s">
        <v>275</v>
      </c>
      <c r="B513" t="s">
        <v>31</v>
      </c>
      <c r="C513" t="s">
        <v>105</v>
      </c>
      <c r="D513">
        <v>2</v>
      </c>
      <c r="E513">
        <v>2</v>
      </c>
      <c r="F513">
        <v>0</v>
      </c>
      <c r="G513">
        <v>0</v>
      </c>
      <c r="H513">
        <v>0</v>
      </c>
      <c r="I513">
        <v>1</v>
      </c>
      <c r="J513">
        <v>0</v>
      </c>
      <c r="K513" t="s">
        <v>34</v>
      </c>
      <c r="L513" t="s">
        <v>41</v>
      </c>
    </row>
    <row r="514" spans="1:12">
      <c r="A514" t="s">
        <v>275</v>
      </c>
      <c r="B514" t="s">
        <v>31</v>
      </c>
      <c r="C514" t="s">
        <v>106</v>
      </c>
      <c r="D514">
        <v>1</v>
      </c>
      <c r="E514">
        <v>2</v>
      </c>
      <c r="F514">
        <v>1</v>
      </c>
      <c r="G514">
        <v>1</v>
      </c>
      <c r="H514">
        <v>0</v>
      </c>
      <c r="I514">
        <v>1</v>
      </c>
      <c r="J514">
        <v>1</v>
      </c>
      <c r="K514" t="s">
        <v>37</v>
      </c>
      <c r="L514" t="s">
        <v>41</v>
      </c>
    </row>
    <row r="515" spans="1:12">
      <c r="A515" t="s">
        <v>275</v>
      </c>
      <c r="B515" t="s">
        <v>31</v>
      </c>
      <c r="C515" t="s">
        <v>107</v>
      </c>
      <c r="D515">
        <v>2</v>
      </c>
      <c r="E515">
        <v>2</v>
      </c>
      <c r="F515">
        <v>0</v>
      </c>
      <c r="G515">
        <v>0</v>
      </c>
      <c r="H515">
        <v>0</v>
      </c>
      <c r="I515">
        <v>1</v>
      </c>
      <c r="J515">
        <v>0</v>
      </c>
      <c r="K515" t="s">
        <v>34</v>
      </c>
      <c r="L515" t="s">
        <v>41</v>
      </c>
    </row>
    <row r="516" spans="1:12">
      <c r="A516" t="s">
        <v>275</v>
      </c>
      <c r="B516" t="s">
        <v>31</v>
      </c>
      <c r="C516" t="s">
        <v>108</v>
      </c>
      <c r="D516">
        <v>2</v>
      </c>
      <c r="E516">
        <v>2</v>
      </c>
      <c r="F516">
        <v>0</v>
      </c>
      <c r="G516">
        <v>0</v>
      </c>
      <c r="H516">
        <v>0</v>
      </c>
      <c r="I516">
        <v>1</v>
      </c>
      <c r="J516">
        <v>0</v>
      </c>
      <c r="K516" t="s">
        <v>34</v>
      </c>
      <c r="L516" t="s">
        <v>41</v>
      </c>
    </row>
    <row r="517" spans="1:12">
      <c r="A517" t="s">
        <v>275</v>
      </c>
      <c r="B517" t="s">
        <v>31</v>
      </c>
      <c r="C517" t="s">
        <v>109</v>
      </c>
      <c r="D517">
        <v>2</v>
      </c>
      <c r="E517">
        <v>2</v>
      </c>
      <c r="F517">
        <v>0</v>
      </c>
      <c r="G517">
        <v>0</v>
      </c>
      <c r="H517">
        <v>0</v>
      </c>
      <c r="I517">
        <v>1</v>
      </c>
      <c r="J517">
        <v>0</v>
      </c>
      <c r="K517" t="s">
        <v>34</v>
      </c>
      <c r="L517" t="s">
        <v>38</v>
      </c>
    </row>
    <row r="518" spans="1:12">
      <c r="A518" t="s">
        <v>275</v>
      </c>
      <c r="B518" t="s">
        <v>31</v>
      </c>
      <c r="C518" t="s">
        <v>110</v>
      </c>
      <c r="D518">
        <v>2</v>
      </c>
      <c r="E518">
        <v>2</v>
      </c>
      <c r="F518">
        <v>0</v>
      </c>
      <c r="G518">
        <v>0</v>
      </c>
      <c r="H518">
        <v>0</v>
      </c>
      <c r="I518">
        <v>1</v>
      </c>
      <c r="J518">
        <v>0</v>
      </c>
      <c r="K518" t="s">
        <v>34</v>
      </c>
      <c r="L518" t="s">
        <v>38</v>
      </c>
    </row>
    <row r="519" spans="1:12">
      <c r="A519" t="s">
        <v>275</v>
      </c>
      <c r="B519" t="s">
        <v>31</v>
      </c>
      <c r="C519" t="s">
        <v>111</v>
      </c>
      <c r="D519">
        <v>2</v>
      </c>
      <c r="E519">
        <v>2</v>
      </c>
      <c r="F519">
        <v>0</v>
      </c>
      <c r="G519">
        <v>0</v>
      </c>
      <c r="H519">
        <v>0</v>
      </c>
      <c r="I519">
        <v>1</v>
      </c>
      <c r="J519">
        <v>0</v>
      </c>
      <c r="K519" t="s">
        <v>34</v>
      </c>
      <c r="L519" t="s">
        <v>38</v>
      </c>
    </row>
    <row r="520" spans="1:12">
      <c r="A520" t="s">
        <v>275</v>
      </c>
      <c r="B520" t="s">
        <v>31</v>
      </c>
      <c r="C520" t="s">
        <v>112</v>
      </c>
      <c r="D520">
        <v>2</v>
      </c>
      <c r="E520">
        <v>2</v>
      </c>
      <c r="F520">
        <v>0</v>
      </c>
      <c r="G520">
        <v>0</v>
      </c>
      <c r="H520">
        <v>0</v>
      </c>
      <c r="I520">
        <v>1</v>
      </c>
      <c r="J520">
        <v>0</v>
      </c>
      <c r="K520" t="s">
        <v>34</v>
      </c>
      <c r="L520" t="s">
        <v>38</v>
      </c>
    </row>
    <row r="521" spans="1:12">
      <c r="A521" t="s">
        <v>275</v>
      </c>
      <c r="B521" t="s">
        <v>31</v>
      </c>
      <c r="C521" t="s">
        <v>113</v>
      </c>
      <c r="D521">
        <v>2</v>
      </c>
      <c r="E521">
        <v>2</v>
      </c>
      <c r="F521">
        <v>0</v>
      </c>
      <c r="G521">
        <v>0</v>
      </c>
      <c r="H521">
        <v>0</v>
      </c>
      <c r="I521">
        <v>1</v>
      </c>
      <c r="J521">
        <v>0</v>
      </c>
      <c r="K521" t="s">
        <v>34</v>
      </c>
      <c r="L521" t="s">
        <v>38</v>
      </c>
    </row>
    <row r="522" spans="1:12">
      <c r="A522" t="s">
        <v>275</v>
      </c>
      <c r="B522" t="s">
        <v>31</v>
      </c>
      <c r="C522" t="s">
        <v>114</v>
      </c>
      <c r="D522">
        <v>2</v>
      </c>
      <c r="E522">
        <v>2</v>
      </c>
      <c r="F522">
        <v>0</v>
      </c>
      <c r="G522">
        <v>0</v>
      </c>
      <c r="H522">
        <v>0</v>
      </c>
      <c r="I522">
        <v>1</v>
      </c>
      <c r="J522">
        <v>0</v>
      </c>
      <c r="K522" t="s">
        <v>34</v>
      </c>
      <c r="L522" t="s">
        <v>38</v>
      </c>
    </row>
    <row r="523" spans="1:12">
      <c r="A523" t="s">
        <v>275</v>
      </c>
      <c r="B523" t="s">
        <v>31</v>
      </c>
      <c r="C523" t="s">
        <v>115</v>
      </c>
      <c r="D523">
        <v>1</v>
      </c>
      <c r="E523">
        <v>2</v>
      </c>
      <c r="F523">
        <v>1</v>
      </c>
      <c r="G523">
        <v>1</v>
      </c>
      <c r="H523">
        <v>0</v>
      </c>
      <c r="I523">
        <v>1</v>
      </c>
      <c r="J523">
        <v>1</v>
      </c>
      <c r="K523" t="s">
        <v>37</v>
      </c>
      <c r="L523" t="s">
        <v>38</v>
      </c>
    </row>
    <row r="524" spans="1:12">
      <c r="A524" t="s">
        <v>275</v>
      </c>
      <c r="B524" t="s">
        <v>31</v>
      </c>
      <c r="C524" t="s">
        <v>116</v>
      </c>
      <c r="D524">
        <v>1</v>
      </c>
      <c r="E524">
        <v>2</v>
      </c>
      <c r="F524">
        <v>1</v>
      </c>
      <c r="G524">
        <v>1</v>
      </c>
      <c r="H524">
        <v>0</v>
      </c>
      <c r="I524">
        <v>1</v>
      </c>
      <c r="J524">
        <v>1</v>
      </c>
      <c r="K524" t="s">
        <v>37</v>
      </c>
      <c r="L524" t="s">
        <v>38</v>
      </c>
    </row>
    <row r="525" spans="1:12">
      <c r="A525" t="s">
        <v>275</v>
      </c>
      <c r="B525" t="s">
        <v>31</v>
      </c>
      <c r="C525" t="s">
        <v>117</v>
      </c>
      <c r="D525">
        <v>2</v>
      </c>
      <c r="E525">
        <v>2</v>
      </c>
      <c r="F525">
        <v>0</v>
      </c>
      <c r="G525">
        <v>0</v>
      </c>
      <c r="H525">
        <v>0</v>
      </c>
      <c r="I525">
        <v>1</v>
      </c>
      <c r="J525">
        <v>0</v>
      </c>
      <c r="K525" t="s">
        <v>34</v>
      </c>
      <c r="L525" t="s">
        <v>38</v>
      </c>
    </row>
    <row r="526" spans="1:12">
      <c r="A526" t="s">
        <v>275</v>
      </c>
      <c r="B526" t="s">
        <v>31</v>
      </c>
      <c r="C526" t="s">
        <v>118</v>
      </c>
      <c r="D526">
        <v>2</v>
      </c>
      <c r="E526">
        <v>2</v>
      </c>
      <c r="F526">
        <v>0</v>
      </c>
      <c r="G526">
        <v>0</v>
      </c>
      <c r="H526">
        <v>0</v>
      </c>
      <c r="I526">
        <v>1</v>
      </c>
      <c r="J526">
        <v>0</v>
      </c>
      <c r="K526" t="s">
        <v>34</v>
      </c>
      <c r="L526" t="s">
        <v>38</v>
      </c>
    </row>
    <row r="527" spans="1:12">
      <c r="A527" t="s">
        <v>275</v>
      </c>
      <c r="B527" t="s">
        <v>31</v>
      </c>
      <c r="C527" t="s">
        <v>119</v>
      </c>
      <c r="D527">
        <v>2</v>
      </c>
      <c r="E527">
        <v>2</v>
      </c>
      <c r="F527">
        <v>0</v>
      </c>
      <c r="G527">
        <v>0</v>
      </c>
      <c r="H527">
        <v>0</v>
      </c>
      <c r="I527">
        <v>1</v>
      </c>
      <c r="J527">
        <v>0</v>
      </c>
      <c r="K527" t="s">
        <v>34</v>
      </c>
      <c r="L527" t="s">
        <v>44</v>
      </c>
    </row>
    <row r="528" spans="1:12">
      <c r="A528" t="s">
        <v>275</v>
      </c>
      <c r="B528" t="s">
        <v>31</v>
      </c>
      <c r="C528" t="s">
        <v>120</v>
      </c>
      <c r="D528">
        <v>2</v>
      </c>
      <c r="E528">
        <v>2</v>
      </c>
      <c r="F528">
        <v>0</v>
      </c>
      <c r="G528">
        <v>0</v>
      </c>
      <c r="H528">
        <v>0</v>
      </c>
      <c r="I528">
        <v>1</v>
      </c>
      <c r="J528">
        <v>0</v>
      </c>
      <c r="K528" t="s">
        <v>34</v>
      </c>
      <c r="L528" t="s">
        <v>44</v>
      </c>
    </row>
    <row r="529" spans="1:12">
      <c r="A529" t="s">
        <v>275</v>
      </c>
      <c r="B529" t="s">
        <v>31</v>
      </c>
      <c r="C529" t="s">
        <v>121</v>
      </c>
      <c r="D529">
        <v>2</v>
      </c>
      <c r="E529">
        <v>1.08</v>
      </c>
      <c r="F529">
        <v>-0.91999999999999993</v>
      </c>
      <c r="G529">
        <v>0.91999999999999993</v>
      </c>
      <c r="H529">
        <v>0</v>
      </c>
      <c r="I529">
        <v>1</v>
      </c>
      <c r="J529">
        <v>0</v>
      </c>
      <c r="K529" t="s">
        <v>34</v>
      </c>
      <c r="L529" t="s">
        <v>44</v>
      </c>
    </row>
    <row r="530" spans="1:12">
      <c r="A530" t="s">
        <v>275</v>
      </c>
      <c r="B530" t="s">
        <v>31</v>
      </c>
      <c r="C530" t="s">
        <v>122</v>
      </c>
      <c r="D530">
        <v>2</v>
      </c>
      <c r="E530">
        <v>1.08</v>
      </c>
      <c r="F530">
        <v>-0.91999999999999993</v>
      </c>
      <c r="G530">
        <v>0.91999999999999993</v>
      </c>
      <c r="H530">
        <v>0</v>
      </c>
      <c r="I530">
        <v>1</v>
      </c>
      <c r="J530">
        <v>0</v>
      </c>
      <c r="K530" t="s">
        <v>34</v>
      </c>
      <c r="L530" t="s">
        <v>44</v>
      </c>
    </row>
    <row r="531" spans="1:12">
      <c r="A531" t="s">
        <v>275</v>
      </c>
      <c r="B531" t="s">
        <v>31</v>
      </c>
      <c r="C531" t="s">
        <v>123</v>
      </c>
      <c r="D531">
        <v>1</v>
      </c>
      <c r="E531">
        <v>1.08</v>
      </c>
      <c r="F531">
        <v>8.0000000000000071E-2</v>
      </c>
      <c r="G531">
        <v>8.0000000000000071E-2</v>
      </c>
      <c r="H531">
        <v>0</v>
      </c>
      <c r="I531">
        <v>1</v>
      </c>
      <c r="J531">
        <v>0</v>
      </c>
      <c r="K531" t="s">
        <v>34</v>
      </c>
      <c r="L531" t="s">
        <v>44</v>
      </c>
    </row>
    <row r="532" spans="1:12">
      <c r="A532" t="s">
        <v>275</v>
      </c>
      <c r="B532" t="s">
        <v>31</v>
      </c>
      <c r="C532" t="s">
        <v>124</v>
      </c>
      <c r="D532">
        <v>2</v>
      </c>
      <c r="E532">
        <v>1.08</v>
      </c>
      <c r="F532">
        <v>-0.91999999999999993</v>
      </c>
      <c r="G532">
        <v>0.91999999999999993</v>
      </c>
      <c r="H532">
        <v>0</v>
      </c>
      <c r="I532">
        <v>1</v>
      </c>
      <c r="J532">
        <v>0</v>
      </c>
      <c r="K532" t="s">
        <v>34</v>
      </c>
      <c r="L532" t="s">
        <v>45</v>
      </c>
    </row>
    <row r="533" spans="1:12">
      <c r="A533" t="s">
        <v>275</v>
      </c>
      <c r="B533" t="s">
        <v>31</v>
      </c>
      <c r="C533" t="s">
        <v>125</v>
      </c>
      <c r="D533">
        <v>2</v>
      </c>
      <c r="E533">
        <v>2</v>
      </c>
      <c r="F533">
        <v>0</v>
      </c>
      <c r="G533">
        <v>0</v>
      </c>
      <c r="H533">
        <v>0</v>
      </c>
      <c r="I533">
        <v>1</v>
      </c>
      <c r="J533">
        <v>0</v>
      </c>
      <c r="K533" t="s">
        <v>34</v>
      </c>
      <c r="L533" t="s">
        <v>45</v>
      </c>
    </row>
    <row r="534" spans="1:12">
      <c r="A534" t="s">
        <v>275</v>
      </c>
      <c r="B534" t="s">
        <v>31</v>
      </c>
      <c r="C534" t="s">
        <v>126</v>
      </c>
      <c r="D534">
        <v>2</v>
      </c>
      <c r="E534">
        <v>2</v>
      </c>
      <c r="F534">
        <v>0</v>
      </c>
      <c r="G534">
        <v>0</v>
      </c>
      <c r="H534">
        <v>0</v>
      </c>
      <c r="I534">
        <v>1</v>
      </c>
      <c r="J534">
        <v>0</v>
      </c>
      <c r="K534" t="s">
        <v>34</v>
      </c>
      <c r="L534" t="s">
        <v>45</v>
      </c>
    </row>
    <row r="535" spans="1:12">
      <c r="A535" t="s">
        <v>275</v>
      </c>
      <c r="B535" t="s">
        <v>31</v>
      </c>
      <c r="C535" t="s">
        <v>127</v>
      </c>
      <c r="D535">
        <v>2</v>
      </c>
      <c r="E535">
        <v>2</v>
      </c>
      <c r="F535">
        <v>0</v>
      </c>
      <c r="G535">
        <v>0</v>
      </c>
      <c r="H535">
        <v>0</v>
      </c>
      <c r="I535">
        <v>1</v>
      </c>
      <c r="J535">
        <v>0</v>
      </c>
      <c r="K535" t="s">
        <v>34</v>
      </c>
      <c r="L535" t="s">
        <v>45</v>
      </c>
    </row>
    <row r="536" spans="1:12">
      <c r="A536" t="s">
        <v>275</v>
      </c>
      <c r="B536" t="s">
        <v>31</v>
      </c>
      <c r="C536" t="s">
        <v>128</v>
      </c>
      <c r="D536">
        <v>2</v>
      </c>
      <c r="E536">
        <v>2</v>
      </c>
      <c r="F536">
        <v>0</v>
      </c>
      <c r="G536">
        <v>0</v>
      </c>
      <c r="H536">
        <v>0</v>
      </c>
      <c r="I536">
        <v>1</v>
      </c>
      <c r="J536">
        <v>0</v>
      </c>
      <c r="K536" t="s">
        <v>34</v>
      </c>
      <c r="L536" t="s">
        <v>45</v>
      </c>
    </row>
    <row r="537" spans="1:12">
      <c r="A537" t="s">
        <v>275</v>
      </c>
      <c r="B537" t="s">
        <v>31</v>
      </c>
      <c r="C537" t="s">
        <v>129</v>
      </c>
      <c r="D537">
        <v>2</v>
      </c>
      <c r="E537">
        <v>2</v>
      </c>
      <c r="F537">
        <v>0</v>
      </c>
      <c r="G537">
        <v>0</v>
      </c>
      <c r="H537">
        <v>0</v>
      </c>
      <c r="I537">
        <v>1</v>
      </c>
      <c r="J537">
        <v>0</v>
      </c>
      <c r="K537" t="s">
        <v>34</v>
      </c>
      <c r="L537" t="s">
        <v>46</v>
      </c>
    </row>
    <row r="538" spans="1:12">
      <c r="A538" t="s">
        <v>275</v>
      </c>
      <c r="B538" t="s">
        <v>31</v>
      </c>
      <c r="C538" t="s">
        <v>130</v>
      </c>
      <c r="D538">
        <v>2</v>
      </c>
      <c r="E538">
        <v>2</v>
      </c>
      <c r="F538">
        <v>0</v>
      </c>
      <c r="G538">
        <v>0</v>
      </c>
      <c r="H538">
        <v>0</v>
      </c>
      <c r="I538">
        <v>1</v>
      </c>
      <c r="J538">
        <v>0</v>
      </c>
      <c r="K538" t="s">
        <v>34</v>
      </c>
      <c r="L538" t="s">
        <v>46</v>
      </c>
    </row>
    <row r="539" spans="1:12">
      <c r="A539" t="s">
        <v>275</v>
      </c>
      <c r="B539" t="s">
        <v>31</v>
      </c>
      <c r="C539" t="s">
        <v>131</v>
      </c>
      <c r="D539">
        <v>2</v>
      </c>
      <c r="E539">
        <v>2</v>
      </c>
      <c r="F539">
        <v>0</v>
      </c>
      <c r="G539">
        <v>0</v>
      </c>
      <c r="H539">
        <v>0</v>
      </c>
      <c r="I539">
        <v>1</v>
      </c>
      <c r="J539">
        <v>0</v>
      </c>
      <c r="K539" t="s">
        <v>34</v>
      </c>
      <c r="L539" t="s">
        <v>46</v>
      </c>
    </row>
    <row r="540" spans="1:12">
      <c r="A540" t="s">
        <v>275</v>
      </c>
      <c r="B540" t="s">
        <v>31</v>
      </c>
      <c r="C540" t="s">
        <v>132</v>
      </c>
      <c r="D540">
        <v>1</v>
      </c>
      <c r="E540">
        <v>2</v>
      </c>
      <c r="F540">
        <v>1</v>
      </c>
      <c r="G540">
        <v>1</v>
      </c>
      <c r="H540">
        <v>0</v>
      </c>
      <c r="I540">
        <v>1</v>
      </c>
      <c r="J540">
        <v>1</v>
      </c>
      <c r="K540" t="s">
        <v>37</v>
      </c>
      <c r="L540" t="s">
        <v>46</v>
      </c>
    </row>
    <row r="541" spans="1:12">
      <c r="A541" t="s">
        <v>275</v>
      </c>
      <c r="B541" t="s">
        <v>31</v>
      </c>
      <c r="C541" t="s">
        <v>133</v>
      </c>
      <c r="D541">
        <v>1</v>
      </c>
      <c r="E541">
        <v>2</v>
      </c>
      <c r="F541">
        <v>1</v>
      </c>
      <c r="G541">
        <v>1</v>
      </c>
      <c r="H541">
        <v>0</v>
      </c>
      <c r="I541">
        <v>1</v>
      </c>
      <c r="J541">
        <v>1</v>
      </c>
      <c r="K541" t="s">
        <v>37</v>
      </c>
      <c r="L541" t="s">
        <v>46</v>
      </c>
    </row>
    <row r="542" spans="1:12">
      <c r="A542" t="s">
        <v>275</v>
      </c>
      <c r="B542" t="s">
        <v>31</v>
      </c>
      <c r="C542" t="s">
        <v>134</v>
      </c>
      <c r="D542">
        <v>2</v>
      </c>
      <c r="E542">
        <v>2</v>
      </c>
      <c r="F542">
        <v>0</v>
      </c>
      <c r="G542">
        <v>0</v>
      </c>
      <c r="H542">
        <v>0</v>
      </c>
      <c r="I542">
        <v>1</v>
      </c>
      <c r="J542">
        <v>0</v>
      </c>
      <c r="K542" t="s">
        <v>34</v>
      </c>
      <c r="L542" t="s">
        <v>47</v>
      </c>
    </row>
    <row r="543" spans="1:12">
      <c r="A543" t="s">
        <v>275</v>
      </c>
      <c r="B543" t="s">
        <v>31</v>
      </c>
      <c r="C543" t="s">
        <v>135</v>
      </c>
      <c r="D543">
        <v>2</v>
      </c>
      <c r="E543">
        <v>2</v>
      </c>
      <c r="F543">
        <v>0</v>
      </c>
      <c r="G543">
        <v>0</v>
      </c>
      <c r="H543">
        <v>0</v>
      </c>
      <c r="I543">
        <v>1</v>
      </c>
      <c r="J543">
        <v>0</v>
      </c>
      <c r="K543" t="s">
        <v>34</v>
      </c>
      <c r="L543" t="s">
        <v>47</v>
      </c>
    </row>
    <row r="544" spans="1:12">
      <c r="A544" t="s">
        <v>275</v>
      </c>
      <c r="B544" t="s">
        <v>31</v>
      </c>
      <c r="C544" t="s">
        <v>136</v>
      </c>
      <c r="D544">
        <v>2</v>
      </c>
      <c r="E544">
        <v>2</v>
      </c>
      <c r="F544">
        <v>0</v>
      </c>
      <c r="G544">
        <v>0</v>
      </c>
      <c r="H544">
        <v>0</v>
      </c>
      <c r="I544">
        <v>1</v>
      </c>
      <c r="J544">
        <v>0</v>
      </c>
      <c r="K544" t="s">
        <v>34</v>
      </c>
      <c r="L544" t="s">
        <v>47</v>
      </c>
    </row>
    <row r="545" spans="1:12">
      <c r="A545" t="s">
        <v>275</v>
      </c>
      <c r="B545" t="s">
        <v>31</v>
      </c>
      <c r="C545" t="s">
        <v>137</v>
      </c>
      <c r="D545">
        <v>2</v>
      </c>
      <c r="E545">
        <v>1.08</v>
      </c>
      <c r="F545">
        <v>-0.91999999999999993</v>
      </c>
      <c r="G545">
        <v>0.91999999999999993</v>
      </c>
      <c r="H545">
        <v>0</v>
      </c>
      <c r="I545">
        <v>1</v>
      </c>
      <c r="J545">
        <v>0</v>
      </c>
      <c r="K545" t="s">
        <v>34</v>
      </c>
      <c r="L545" t="s">
        <v>47</v>
      </c>
    </row>
    <row r="546" spans="1:12">
      <c r="A546" t="s">
        <v>275</v>
      </c>
      <c r="B546" t="s">
        <v>31</v>
      </c>
      <c r="C546" t="s">
        <v>138</v>
      </c>
      <c r="D546">
        <v>2</v>
      </c>
      <c r="E546">
        <v>1.08</v>
      </c>
      <c r="F546">
        <v>-0.91999999999999993</v>
      </c>
      <c r="G546">
        <v>0.91999999999999993</v>
      </c>
      <c r="H546">
        <v>0</v>
      </c>
      <c r="I546">
        <v>1</v>
      </c>
      <c r="J546">
        <v>0</v>
      </c>
      <c r="K546" t="s">
        <v>34</v>
      </c>
      <c r="L546" t="s">
        <v>47</v>
      </c>
    </row>
    <row r="547" spans="1:12">
      <c r="A547" t="s">
        <v>275</v>
      </c>
      <c r="B547" t="s">
        <v>31</v>
      </c>
      <c r="C547" t="s">
        <v>139</v>
      </c>
      <c r="D547">
        <v>2</v>
      </c>
      <c r="E547">
        <v>2</v>
      </c>
      <c r="F547">
        <v>0</v>
      </c>
      <c r="G547">
        <v>0</v>
      </c>
      <c r="H547">
        <v>0</v>
      </c>
      <c r="I547">
        <v>1</v>
      </c>
      <c r="J547">
        <v>0</v>
      </c>
      <c r="K547" t="s">
        <v>34</v>
      </c>
      <c r="L547" t="s">
        <v>42</v>
      </c>
    </row>
    <row r="548" spans="1:12">
      <c r="A548" t="s">
        <v>275</v>
      </c>
      <c r="B548" t="s">
        <v>31</v>
      </c>
      <c r="C548" t="s">
        <v>140</v>
      </c>
      <c r="D548">
        <v>1</v>
      </c>
      <c r="E548">
        <v>2</v>
      </c>
      <c r="F548">
        <v>1</v>
      </c>
      <c r="G548">
        <v>1</v>
      </c>
      <c r="H548">
        <v>0</v>
      </c>
      <c r="I548">
        <v>1</v>
      </c>
      <c r="J548">
        <v>1</v>
      </c>
      <c r="K548" t="s">
        <v>37</v>
      </c>
      <c r="L548" t="s">
        <v>42</v>
      </c>
    </row>
    <row r="549" spans="1:12">
      <c r="A549" t="s">
        <v>275</v>
      </c>
      <c r="B549" t="s">
        <v>31</v>
      </c>
      <c r="C549" t="s">
        <v>141</v>
      </c>
      <c r="D549">
        <v>2</v>
      </c>
      <c r="E549">
        <v>2</v>
      </c>
      <c r="F549">
        <v>0</v>
      </c>
      <c r="G549">
        <v>0</v>
      </c>
      <c r="H549">
        <v>0</v>
      </c>
      <c r="I549">
        <v>1</v>
      </c>
      <c r="J549">
        <v>0</v>
      </c>
      <c r="K549" t="s">
        <v>34</v>
      </c>
      <c r="L549" t="s">
        <v>42</v>
      </c>
    </row>
    <row r="550" spans="1:12">
      <c r="A550" t="s">
        <v>275</v>
      </c>
      <c r="B550" t="s">
        <v>31</v>
      </c>
      <c r="C550" t="s">
        <v>142</v>
      </c>
      <c r="D550">
        <v>3</v>
      </c>
      <c r="E550">
        <v>2</v>
      </c>
      <c r="F550">
        <v>-1</v>
      </c>
      <c r="G550">
        <v>1</v>
      </c>
      <c r="H550">
        <v>1</v>
      </c>
      <c r="I550">
        <v>1</v>
      </c>
      <c r="J550">
        <v>1</v>
      </c>
      <c r="K550" t="s">
        <v>33</v>
      </c>
      <c r="L550" t="s">
        <v>42</v>
      </c>
    </row>
    <row r="551" spans="1:12">
      <c r="A551" t="s">
        <v>275</v>
      </c>
      <c r="B551" t="s">
        <v>31</v>
      </c>
      <c r="C551" t="s">
        <v>143</v>
      </c>
      <c r="D551">
        <v>4</v>
      </c>
      <c r="E551">
        <v>2</v>
      </c>
      <c r="F551">
        <v>-2</v>
      </c>
      <c r="G551">
        <v>2</v>
      </c>
      <c r="H551">
        <v>1</v>
      </c>
      <c r="I551">
        <v>0</v>
      </c>
      <c r="J551">
        <v>1</v>
      </c>
      <c r="K551" t="s">
        <v>36</v>
      </c>
      <c r="L551" t="s">
        <v>42</v>
      </c>
    </row>
    <row r="552" spans="1:12">
      <c r="A552" t="s">
        <v>275</v>
      </c>
      <c r="B552" t="s">
        <v>31</v>
      </c>
      <c r="C552" t="s">
        <v>144</v>
      </c>
      <c r="D552">
        <v>4</v>
      </c>
      <c r="E552">
        <v>2</v>
      </c>
      <c r="F552">
        <v>-2</v>
      </c>
      <c r="G552">
        <v>2</v>
      </c>
      <c r="H552">
        <v>1</v>
      </c>
      <c r="I552">
        <v>0</v>
      </c>
      <c r="J552">
        <v>1</v>
      </c>
      <c r="K552" t="s">
        <v>36</v>
      </c>
      <c r="L552" t="s">
        <v>43</v>
      </c>
    </row>
    <row r="553" spans="1:12">
      <c r="A553" t="s">
        <v>275</v>
      </c>
      <c r="B553" t="s">
        <v>31</v>
      </c>
      <c r="C553" t="s">
        <v>145</v>
      </c>
      <c r="D553">
        <v>4</v>
      </c>
      <c r="E553">
        <v>2</v>
      </c>
      <c r="F553">
        <v>-2</v>
      </c>
      <c r="G553">
        <v>2</v>
      </c>
      <c r="H553">
        <v>1</v>
      </c>
      <c r="I553">
        <v>0</v>
      </c>
      <c r="J553">
        <v>1</v>
      </c>
      <c r="K553" t="s">
        <v>36</v>
      </c>
      <c r="L553" t="s">
        <v>43</v>
      </c>
    </row>
    <row r="554" spans="1:12">
      <c r="A554" t="s">
        <v>275</v>
      </c>
      <c r="B554" t="s">
        <v>31</v>
      </c>
      <c r="C554" t="s">
        <v>146</v>
      </c>
      <c r="D554">
        <v>4</v>
      </c>
      <c r="E554">
        <v>2</v>
      </c>
      <c r="F554">
        <v>-2</v>
      </c>
      <c r="G554">
        <v>2</v>
      </c>
      <c r="H554">
        <v>1</v>
      </c>
      <c r="I554">
        <v>0</v>
      </c>
      <c r="J554">
        <v>1</v>
      </c>
      <c r="K554" t="s">
        <v>36</v>
      </c>
      <c r="L554" t="s">
        <v>43</v>
      </c>
    </row>
    <row r="555" spans="1:12">
      <c r="A555" t="s">
        <v>275</v>
      </c>
      <c r="B555" t="s">
        <v>31</v>
      </c>
      <c r="C555" t="s">
        <v>147</v>
      </c>
      <c r="D555">
        <v>4</v>
      </c>
      <c r="E555">
        <v>2</v>
      </c>
      <c r="F555">
        <v>-2</v>
      </c>
      <c r="G555">
        <v>2</v>
      </c>
      <c r="H555">
        <v>1</v>
      </c>
      <c r="I555">
        <v>0</v>
      </c>
      <c r="J555">
        <v>1</v>
      </c>
      <c r="K555" t="s">
        <v>36</v>
      </c>
      <c r="L555" t="s">
        <v>43</v>
      </c>
    </row>
    <row r="556" spans="1:12">
      <c r="A556" t="s">
        <v>275</v>
      </c>
      <c r="B556" t="s">
        <v>31</v>
      </c>
      <c r="C556" t="s">
        <v>148</v>
      </c>
      <c r="D556">
        <v>5</v>
      </c>
      <c r="E556">
        <v>2</v>
      </c>
      <c r="F556">
        <v>-3</v>
      </c>
      <c r="G556">
        <v>3</v>
      </c>
      <c r="H556">
        <v>1</v>
      </c>
      <c r="I556">
        <v>0</v>
      </c>
      <c r="J556">
        <v>1</v>
      </c>
      <c r="K556" t="s">
        <v>36</v>
      </c>
      <c r="L556" t="s">
        <v>43</v>
      </c>
    </row>
    <row r="557" spans="1:12">
      <c r="A557" t="s">
        <v>275</v>
      </c>
      <c r="B557" t="s">
        <v>31</v>
      </c>
      <c r="C557" t="s">
        <v>149</v>
      </c>
      <c r="D557">
        <v>5</v>
      </c>
      <c r="E557">
        <v>2</v>
      </c>
      <c r="F557">
        <v>-3</v>
      </c>
      <c r="G557">
        <v>3</v>
      </c>
      <c r="H557">
        <v>1</v>
      </c>
      <c r="I557">
        <v>0</v>
      </c>
      <c r="J557">
        <v>1</v>
      </c>
      <c r="K557" t="s">
        <v>36</v>
      </c>
      <c r="L557" t="s">
        <v>48</v>
      </c>
    </row>
    <row r="558" spans="1:12">
      <c r="A558" t="s">
        <v>275</v>
      </c>
      <c r="B558" t="s">
        <v>31</v>
      </c>
      <c r="C558" t="s">
        <v>150</v>
      </c>
      <c r="D558">
        <v>5</v>
      </c>
      <c r="E558">
        <v>2</v>
      </c>
      <c r="F558">
        <v>-3</v>
      </c>
      <c r="G558">
        <v>3</v>
      </c>
      <c r="H558">
        <v>1</v>
      </c>
      <c r="I558">
        <v>0</v>
      </c>
      <c r="J558">
        <v>1</v>
      </c>
      <c r="K558" t="s">
        <v>36</v>
      </c>
      <c r="L558" t="s">
        <v>48</v>
      </c>
    </row>
    <row r="559" spans="1:12">
      <c r="A559" t="s">
        <v>275</v>
      </c>
      <c r="B559" t="s">
        <v>31</v>
      </c>
      <c r="C559" t="s">
        <v>151</v>
      </c>
      <c r="D559">
        <v>5</v>
      </c>
      <c r="E559">
        <v>2</v>
      </c>
      <c r="F559">
        <v>-3</v>
      </c>
      <c r="G559">
        <v>3</v>
      </c>
      <c r="H559">
        <v>1</v>
      </c>
      <c r="I559">
        <v>0</v>
      </c>
      <c r="J559">
        <v>1</v>
      </c>
      <c r="K559" t="s">
        <v>36</v>
      </c>
      <c r="L559" t="s">
        <v>48</v>
      </c>
    </row>
    <row r="560" spans="1:12">
      <c r="A560" t="s">
        <v>275</v>
      </c>
      <c r="B560" t="s">
        <v>31</v>
      </c>
      <c r="C560" t="s">
        <v>152</v>
      </c>
      <c r="D560">
        <v>5</v>
      </c>
      <c r="E560">
        <v>2</v>
      </c>
      <c r="F560">
        <v>-3</v>
      </c>
      <c r="G560">
        <v>3</v>
      </c>
      <c r="H560">
        <v>1</v>
      </c>
      <c r="I560">
        <v>0</v>
      </c>
      <c r="J560">
        <v>1</v>
      </c>
      <c r="K560" t="s">
        <v>36</v>
      </c>
      <c r="L560" t="s">
        <v>48</v>
      </c>
    </row>
    <row r="561" spans="1:12">
      <c r="A561" t="s">
        <v>275</v>
      </c>
      <c r="B561" t="s">
        <v>31</v>
      </c>
      <c r="C561" t="s">
        <v>153</v>
      </c>
      <c r="D561">
        <v>5</v>
      </c>
      <c r="E561">
        <v>2</v>
      </c>
      <c r="F561">
        <v>-3</v>
      </c>
      <c r="G561">
        <v>3</v>
      </c>
      <c r="H561">
        <v>1</v>
      </c>
      <c r="I561">
        <v>0</v>
      </c>
      <c r="J561">
        <v>1</v>
      </c>
      <c r="K561" t="s">
        <v>36</v>
      </c>
      <c r="L561" t="s">
        <v>48</v>
      </c>
    </row>
    <row r="562" spans="1:12">
      <c r="A562" t="s">
        <v>272</v>
      </c>
      <c r="B562" t="s">
        <v>30</v>
      </c>
      <c r="C562" t="s">
        <v>76</v>
      </c>
      <c r="D562">
        <v>1</v>
      </c>
      <c r="E562">
        <v>0.72</v>
      </c>
      <c r="F562">
        <v>-0.28000000000000003</v>
      </c>
      <c r="G562">
        <v>0.28000000000000003</v>
      </c>
      <c r="H562">
        <v>0</v>
      </c>
      <c r="I562">
        <v>1</v>
      </c>
      <c r="J562">
        <v>0</v>
      </c>
      <c r="K562" t="s">
        <v>34</v>
      </c>
      <c r="L562" t="s">
        <v>49</v>
      </c>
    </row>
    <row r="563" spans="1:12">
      <c r="A563" t="s">
        <v>272</v>
      </c>
      <c r="B563" t="s">
        <v>30</v>
      </c>
      <c r="C563" t="s">
        <v>77</v>
      </c>
      <c r="D563">
        <v>5</v>
      </c>
      <c r="E563">
        <v>5</v>
      </c>
      <c r="F563">
        <v>0</v>
      </c>
      <c r="G563">
        <v>0</v>
      </c>
      <c r="H563">
        <v>0</v>
      </c>
      <c r="I563">
        <v>1</v>
      </c>
      <c r="J563">
        <v>0</v>
      </c>
      <c r="K563" t="s">
        <v>34</v>
      </c>
      <c r="L563" t="s">
        <v>49</v>
      </c>
    </row>
    <row r="564" spans="1:12">
      <c r="A564" t="s">
        <v>272</v>
      </c>
      <c r="B564" t="s">
        <v>30</v>
      </c>
      <c r="C564" t="s">
        <v>78</v>
      </c>
      <c r="D564">
        <v>2</v>
      </c>
      <c r="E564">
        <v>5</v>
      </c>
      <c r="F564">
        <v>3</v>
      </c>
      <c r="G564">
        <v>3</v>
      </c>
      <c r="H564">
        <v>0</v>
      </c>
      <c r="I564">
        <v>1</v>
      </c>
      <c r="J564">
        <v>1</v>
      </c>
      <c r="K564" t="s">
        <v>35</v>
      </c>
      <c r="L564" t="s">
        <v>49</v>
      </c>
    </row>
    <row r="565" spans="1:12">
      <c r="A565" t="s">
        <v>272</v>
      </c>
      <c r="B565" t="s">
        <v>30</v>
      </c>
      <c r="C565" t="s">
        <v>79</v>
      </c>
      <c r="D565">
        <v>5</v>
      </c>
      <c r="E565">
        <v>1.61</v>
      </c>
      <c r="F565">
        <v>-3.3899999999999997</v>
      </c>
      <c r="G565">
        <v>3.3899999999999997</v>
      </c>
      <c r="H565">
        <v>1</v>
      </c>
      <c r="I565">
        <v>0</v>
      </c>
      <c r="J565">
        <v>1</v>
      </c>
      <c r="K565" t="s">
        <v>36</v>
      </c>
      <c r="L565" t="s">
        <v>49</v>
      </c>
    </row>
    <row r="566" spans="1:12">
      <c r="A566" t="s">
        <v>272</v>
      </c>
      <c r="B566" t="s">
        <v>30</v>
      </c>
      <c r="C566" t="s">
        <v>80</v>
      </c>
      <c r="D566">
        <v>5</v>
      </c>
      <c r="E566">
        <v>1.61</v>
      </c>
      <c r="F566">
        <v>-3.3899999999999997</v>
      </c>
      <c r="G566">
        <v>3.3899999999999997</v>
      </c>
      <c r="H566">
        <v>1</v>
      </c>
      <c r="I566">
        <v>0</v>
      </c>
      <c r="J566">
        <v>1</v>
      </c>
      <c r="K566" t="s">
        <v>36</v>
      </c>
      <c r="L566" t="s">
        <v>49</v>
      </c>
    </row>
    <row r="567" spans="1:12">
      <c r="A567" t="s">
        <v>272</v>
      </c>
      <c r="B567" t="s">
        <v>30</v>
      </c>
      <c r="C567" t="s">
        <v>81</v>
      </c>
      <c r="D567">
        <v>5</v>
      </c>
      <c r="E567">
        <v>5</v>
      </c>
      <c r="F567">
        <v>0</v>
      </c>
      <c r="G567">
        <v>0</v>
      </c>
      <c r="H567">
        <v>0</v>
      </c>
      <c r="I567">
        <v>1</v>
      </c>
      <c r="J567">
        <v>0</v>
      </c>
      <c r="K567" t="s">
        <v>34</v>
      </c>
      <c r="L567" t="s">
        <v>49</v>
      </c>
    </row>
    <row r="568" spans="1:12">
      <c r="A568" t="s">
        <v>272</v>
      </c>
      <c r="B568" t="s">
        <v>30</v>
      </c>
      <c r="C568" t="s">
        <v>82</v>
      </c>
      <c r="D568">
        <v>5</v>
      </c>
      <c r="E568">
        <v>5</v>
      </c>
      <c r="F568">
        <v>0</v>
      </c>
      <c r="G568">
        <v>0</v>
      </c>
      <c r="H568">
        <v>0</v>
      </c>
      <c r="I568">
        <v>1</v>
      </c>
      <c r="J568">
        <v>0</v>
      </c>
      <c r="K568" t="s">
        <v>34</v>
      </c>
      <c r="L568" t="s">
        <v>49</v>
      </c>
    </row>
    <row r="569" spans="1:12">
      <c r="A569" t="s">
        <v>272</v>
      </c>
      <c r="B569" t="s">
        <v>30</v>
      </c>
      <c r="C569" t="s">
        <v>83</v>
      </c>
      <c r="D569">
        <v>5</v>
      </c>
      <c r="E569">
        <v>5</v>
      </c>
      <c r="F569">
        <v>0</v>
      </c>
      <c r="G569">
        <v>0</v>
      </c>
      <c r="H569">
        <v>0</v>
      </c>
      <c r="I569">
        <v>1</v>
      </c>
      <c r="J569">
        <v>0</v>
      </c>
      <c r="K569" t="s">
        <v>34</v>
      </c>
      <c r="L569" t="s">
        <v>49</v>
      </c>
    </row>
    <row r="570" spans="1:12">
      <c r="A570" t="s">
        <v>272</v>
      </c>
      <c r="B570" t="s">
        <v>30</v>
      </c>
      <c r="C570" t="s">
        <v>84</v>
      </c>
      <c r="D570">
        <v>5</v>
      </c>
      <c r="E570">
        <v>5</v>
      </c>
      <c r="F570">
        <v>0</v>
      </c>
      <c r="G570">
        <v>0</v>
      </c>
      <c r="H570">
        <v>0</v>
      </c>
      <c r="I570">
        <v>1</v>
      </c>
      <c r="J570">
        <v>0</v>
      </c>
      <c r="K570" t="s">
        <v>34</v>
      </c>
      <c r="L570" t="s">
        <v>49</v>
      </c>
    </row>
    <row r="571" spans="1:12">
      <c r="A571" t="s">
        <v>272</v>
      </c>
      <c r="B571" t="s">
        <v>30</v>
      </c>
      <c r="C571" t="s">
        <v>85</v>
      </c>
      <c r="D571">
        <v>5</v>
      </c>
      <c r="E571">
        <v>5</v>
      </c>
      <c r="F571">
        <v>0</v>
      </c>
      <c r="G571">
        <v>0</v>
      </c>
      <c r="H571">
        <v>0</v>
      </c>
      <c r="I571">
        <v>1</v>
      </c>
      <c r="J571">
        <v>0</v>
      </c>
      <c r="K571" t="s">
        <v>34</v>
      </c>
      <c r="L571" t="s">
        <v>49</v>
      </c>
    </row>
    <row r="572" spans="1:12">
      <c r="A572" t="s">
        <v>272</v>
      </c>
      <c r="B572" t="s">
        <v>30</v>
      </c>
      <c r="C572" t="s">
        <v>86</v>
      </c>
      <c r="D572">
        <v>5</v>
      </c>
      <c r="E572">
        <v>5</v>
      </c>
      <c r="F572">
        <v>0</v>
      </c>
      <c r="G572">
        <v>0</v>
      </c>
      <c r="H572">
        <v>0</v>
      </c>
      <c r="I572">
        <v>1</v>
      </c>
      <c r="J572">
        <v>0</v>
      </c>
      <c r="K572" t="s">
        <v>34</v>
      </c>
      <c r="L572" t="s">
        <v>50</v>
      </c>
    </row>
    <row r="573" spans="1:12">
      <c r="A573" t="s">
        <v>272</v>
      </c>
      <c r="B573" t="s">
        <v>30</v>
      </c>
      <c r="C573" t="s">
        <v>87</v>
      </c>
      <c r="D573">
        <v>5</v>
      </c>
      <c r="E573">
        <v>5</v>
      </c>
      <c r="F573">
        <v>0</v>
      </c>
      <c r="G573">
        <v>0</v>
      </c>
      <c r="H573">
        <v>0</v>
      </c>
      <c r="I573">
        <v>1</v>
      </c>
      <c r="J573">
        <v>0</v>
      </c>
      <c r="K573" t="s">
        <v>34</v>
      </c>
      <c r="L573" t="s">
        <v>50</v>
      </c>
    </row>
    <row r="574" spans="1:12">
      <c r="A574" t="s">
        <v>272</v>
      </c>
      <c r="B574" t="s">
        <v>30</v>
      </c>
      <c r="C574" t="s">
        <v>88</v>
      </c>
      <c r="D574">
        <v>5</v>
      </c>
      <c r="E574">
        <v>5</v>
      </c>
      <c r="F574">
        <v>0</v>
      </c>
      <c r="G574">
        <v>0</v>
      </c>
      <c r="H574">
        <v>0</v>
      </c>
      <c r="I574">
        <v>1</v>
      </c>
      <c r="J574">
        <v>0</v>
      </c>
      <c r="K574" t="s">
        <v>34</v>
      </c>
      <c r="L574" t="s">
        <v>50</v>
      </c>
    </row>
    <row r="575" spans="1:12">
      <c r="A575" t="s">
        <v>272</v>
      </c>
      <c r="B575" t="s">
        <v>30</v>
      </c>
      <c r="C575" t="s">
        <v>89</v>
      </c>
      <c r="D575">
        <v>5</v>
      </c>
      <c r="E575">
        <v>5</v>
      </c>
      <c r="F575">
        <v>0</v>
      </c>
      <c r="G575">
        <v>0</v>
      </c>
      <c r="H575">
        <v>0</v>
      </c>
      <c r="I575">
        <v>1</v>
      </c>
      <c r="J575">
        <v>0</v>
      </c>
      <c r="K575" t="s">
        <v>34</v>
      </c>
      <c r="L575" t="s">
        <v>50</v>
      </c>
    </row>
    <row r="576" spans="1:12">
      <c r="A576" t="s">
        <v>272</v>
      </c>
      <c r="B576" t="s">
        <v>30</v>
      </c>
      <c r="C576" t="s">
        <v>90</v>
      </c>
      <c r="D576">
        <v>5</v>
      </c>
      <c r="E576">
        <v>5</v>
      </c>
      <c r="F576">
        <v>0</v>
      </c>
      <c r="G576">
        <v>0</v>
      </c>
      <c r="H576">
        <v>0</v>
      </c>
      <c r="I576">
        <v>1</v>
      </c>
      <c r="J576">
        <v>0</v>
      </c>
      <c r="K576" t="s">
        <v>34</v>
      </c>
      <c r="L576" t="s">
        <v>50</v>
      </c>
    </row>
    <row r="577" spans="1:12">
      <c r="A577" t="s">
        <v>272</v>
      </c>
      <c r="B577" t="s">
        <v>30</v>
      </c>
      <c r="C577" t="s">
        <v>91</v>
      </c>
      <c r="D577">
        <v>5</v>
      </c>
      <c r="E577">
        <v>5</v>
      </c>
      <c r="F577">
        <v>0</v>
      </c>
      <c r="G577">
        <v>0</v>
      </c>
      <c r="H577">
        <v>0</v>
      </c>
      <c r="I577">
        <v>1</v>
      </c>
      <c r="J577">
        <v>0</v>
      </c>
      <c r="K577" t="s">
        <v>34</v>
      </c>
      <c r="L577" t="s">
        <v>50</v>
      </c>
    </row>
    <row r="578" spans="1:12">
      <c r="A578" t="s">
        <v>272</v>
      </c>
      <c r="B578" t="s">
        <v>30</v>
      </c>
      <c r="C578" t="s">
        <v>92</v>
      </c>
      <c r="D578">
        <v>5</v>
      </c>
      <c r="E578">
        <v>5</v>
      </c>
      <c r="F578">
        <v>0</v>
      </c>
      <c r="G578">
        <v>0</v>
      </c>
      <c r="H578">
        <v>0</v>
      </c>
      <c r="I578">
        <v>1</v>
      </c>
      <c r="J578">
        <v>0</v>
      </c>
      <c r="K578" t="s">
        <v>34</v>
      </c>
      <c r="L578" t="s">
        <v>50</v>
      </c>
    </row>
    <row r="579" spans="1:12">
      <c r="A579" t="s">
        <v>272</v>
      </c>
      <c r="B579" t="s">
        <v>30</v>
      </c>
      <c r="C579" t="s">
        <v>93</v>
      </c>
      <c r="D579">
        <v>5</v>
      </c>
      <c r="E579">
        <v>5</v>
      </c>
      <c r="F579">
        <v>0</v>
      </c>
      <c r="G579">
        <v>0</v>
      </c>
      <c r="H579">
        <v>0</v>
      </c>
      <c r="I579">
        <v>1</v>
      </c>
      <c r="J579">
        <v>0</v>
      </c>
      <c r="K579" t="s">
        <v>34</v>
      </c>
      <c r="L579" t="s">
        <v>50</v>
      </c>
    </row>
    <row r="580" spans="1:12">
      <c r="A580" t="s">
        <v>272</v>
      </c>
      <c r="B580" t="s">
        <v>30</v>
      </c>
      <c r="C580" t="s">
        <v>94</v>
      </c>
      <c r="D580">
        <v>5</v>
      </c>
      <c r="E580">
        <v>5</v>
      </c>
      <c r="F580">
        <v>0</v>
      </c>
      <c r="G580">
        <v>0</v>
      </c>
      <c r="H580">
        <v>0</v>
      </c>
      <c r="I580">
        <v>1</v>
      </c>
      <c r="J580">
        <v>0</v>
      </c>
      <c r="K580" t="s">
        <v>34</v>
      </c>
      <c r="L580" t="s">
        <v>50</v>
      </c>
    </row>
    <row r="581" spans="1:12">
      <c r="A581" t="s">
        <v>272</v>
      </c>
      <c r="B581" t="s">
        <v>30</v>
      </c>
      <c r="C581" t="s">
        <v>95</v>
      </c>
      <c r="D581">
        <v>5</v>
      </c>
      <c r="E581">
        <v>5</v>
      </c>
      <c r="F581">
        <v>0</v>
      </c>
      <c r="G581">
        <v>0</v>
      </c>
      <c r="H581">
        <v>0</v>
      </c>
      <c r="I581">
        <v>1</v>
      </c>
      <c r="J581">
        <v>0</v>
      </c>
      <c r="K581" t="s">
        <v>34</v>
      </c>
      <c r="L581" t="s">
        <v>50</v>
      </c>
    </row>
    <row r="582" spans="1:12">
      <c r="A582" t="s">
        <v>272</v>
      </c>
      <c r="B582" t="s">
        <v>30</v>
      </c>
      <c r="C582" t="s">
        <v>96</v>
      </c>
      <c r="D582">
        <v>5</v>
      </c>
      <c r="E582">
        <v>5</v>
      </c>
      <c r="F582">
        <v>0</v>
      </c>
      <c r="G582">
        <v>0</v>
      </c>
      <c r="H582">
        <v>0</v>
      </c>
      <c r="I582">
        <v>1</v>
      </c>
      <c r="J582">
        <v>0</v>
      </c>
      <c r="K582" t="s">
        <v>34</v>
      </c>
      <c r="L582" t="s">
        <v>40</v>
      </c>
    </row>
    <row r="583" spans="1:12">
      <c r="A583" t="s">
        <v>272</v>
      </c>
      <c r="B583" t="s">
        <v>30</v>
      </c>
      <c r="C583" t="s">
        <v>31</v>
      </c>
      <c r="D583">
        <v>5</v>
      </c>
      <c r="E583">
        <v>5</v>
      </c>
      <c r="F583">
        <v>0</v>
      </c>
      <c r="G583">
        <v>0</v>
      </c>
      <c r="H583">
        <v>0</v>
      </c>
      <c r="I583">
        <v>1</v>
      </c>
      <c r="J583">
        <v>0</v>
      </c>
      <c r="K583" t="s">
        <v>34</v>
      </c>
      <c r="L583" t="s">
        <v>40</v>
      </c>
    </row>
    <row r="584" spans="1:12">
      <c r="A584" t="s">
        <v>272</v>
      </c>
      <c r="B584" t="s">
        <v>30</v>
      </c>
      <c r="C584" t="s">
        <v>30</v>
      </c>
      <c r="D584">
        <v>5</v>
      </c>
      <c r="E584">
        <v>5</v>
      </c>
      <c r="F584">
        <v>0</v>
      </c>
      <c r="G584">
        <v>0</v>
      </c>
      <c r="H584">
        <v>0</v>
      </c>
      <c r="I584">
        <v>1</v>
      </c>
      <c r="J584">
        <v>0</v>
      </c>
      <c r="K584" t="s">
        <v>34</v>
      </c>
      <c r="L584" t="s">
        <v>40</v>
      </c>
    </row>
    <row r="585" spans="1:12">
      <c r="A585" t="s">
        <v>272</v>
      </c>
      <c r="B585" t="s">
        <v>30</v>
      </c>
      <c r="C585" t="s">
        <v>97</v>
      </c>
      <c r="D585">
        <v>5</v>
      </c>
      <c r="E585">
        <v>5</v>
      </c>
      <c r="F585">
        <v>0</v>
      </c>
      <c r="G585">
        <v>0</v>
      </c>
      <c r="H585">
        <v>0</v>
      </c>
      <c r="I585">
        <v>1</v>
      </c>
      <c r="J585">
        <v>0</v>
      </c>
      <c r="K585" t="s">
        <v>34</v>
      </c>
      <c r="L585" t="s">
        <v>40</v>
      </c>
    </row>
    <row r="586" spans="1:12">
      <c r="A586" t="s">
        <v>272</v>
      </c>
      <c r="B586" t="s">
        <v>30</v>
      </c>
      <c r="C586" t="s">
        <v>98</v>
      </c>
      <c r="D586">
        <v>5</v>
      </c>
      <c r="E586">
        <v>5</v>
      </c>
      <c r="F586">
        <v>0</v>
      </c>
      <c r="G586">
        <v>0</v>
      </c>
      <c r="H586">
        <v>0</v>
      </c>
      <c r="I586">
        <v>1</v>
      </c>
      <c r="J586">
        <v>0</v>
      </c>
      <c r="K586" t="s">
        <v>34</v>
      </c>
      <c r="L586" t="s">
        <v>40</v>
      </c>
    </row>
    <row r="587" spans="1:12">
      <c r="A587" t="s">
        <v>272</v>
      </c>
      <c r="B587" t="s">
        <v>30</v>
      </c>
      <c r="C587" t="s">
        <v>99</v>
      </c>
      <c r="D587">
        <v>5</v>
      </c>
      <c r="E587">
        <v>5</v>
      </c>
      <c r="F587">
        <v>0</v>
      </c>
      <c r="G587">
        <v>0</v>
      </c>
      <c r="H587">
        <v>0</v>
      </c>
      <c r="I587">
        <v>1</v>
      </c>
      <c r="J587">
        <v>0</v>
      </c>
      <c r="K587" t="s">
        <v>34</v>
      </c>
      <c r="L587" t="s">
        <v>39</v>
      </c>
    </row>
    <row r="588" spans="1:12">
      <c r="A588" t="s">
        <v>272</v>
      </c>
      <c r="B588" t="s">
        <v>30</v>
      </c>
      <c r="C588" t="s">
        <v>100</v>
      </c>
      <c r="D588">
        <v>5</v>
      </c>
      <c r="E588">
        <v>5</v>
      </c>
      <c r="F588">
        <v>0</v>
      </c>
      <c r="G588">
        <v>0</v>
      </c>
      <c r="H588">
        <v>0</v>
      </c>
      <c r="I588">
        <v>1</v>
      </c>
      <c r="J588">
        <v>0</v>
      </c>
      <c r="K588" t="s">
        <v>34</v>
      </c>
      <c r="L588" t="s">
        <v>39</v>
      </c>
    </row>
    <row r="589" spans="1:12">
      <c r="A589" t="s">
        <v>272</v>
      </c>
      <c r="B589" t="s">
        <v>30</v>
      </c>
      <c r="C589" t="s">
        <v>101</v>
      </c>
      <c r="D589">
        <v>5</v>
      </c>
      <c r="E589">
        <v>5</v>
      </c>
      <c r="F589">
        <v>0</v>
      </c>
      <c r="G589">
        <v>0</v>
      </c>
      <c r="H589">
        <v>0</v>
      </c>
      <c r="I589">
        <v>1</v>
      </c>
      <c r="J589">
        <v>0</v>
      </c>
      <c r="K589" t="s">
        <v>34</v>
      </c>
      <c r="L589" t="s">
        <v>39</v>
      </c>
    </row>
    <row r="590" spans="1:12">
      <c r="A590" t="s">
        <v>272</v>
      </c>
      <c r="B590" t="s">
        <v>30</v>
      </c>
      <c r="C590" t="s">
        <v>102</v>
      </c>
      <c r="D590">
        <v>5</v>
      </c>
      <c r="E590">
        <v>5</v>
      </c>
      <c r="F590">
        <v>0</v>
      </c>
      <c r="G590">
        <v>0</v>
      </c>
      <c r="H590">
        <v>0</v>
      </c>
      <c r="I590">
        <v>1</v>
      </c>
      <c r="J590">
        <v>0</v>
      </c>
      <c r="K590" t="s">
        <v>34</v>
      </c>
      <c r="L590" t="s">
        <v>39</v>
      </c>
    </row>
    <row r="591" spans="1:12">
      <c r="A591" t="s">
        <v>272</v>
      </c>
      <c r="B591" t="s">
        <v>30</v>
      </c>
      <c r="C591" t="s">
        <v>103</v>
      </c>
      <c r="D591">
        <v>5</v>
      </c>
      <c r="E591">
        <v>5</v>
      </c>
      <c r="F591">
        <v>0</v>
      </c>
      <c r="G591">
        <v>0</v>
      </c>
      <c r="H591">
        <v>0</v>
      </c>
      <c r="I591">
        <v>1</v>
      </c>
      <c r="J591">
        <v>0</v>
      </c>
      <c r="K591" t="s">
        <v>34</v>
      </c>
      <c r="L591" t="s">
        <v>39</v>
      </c>
    </row>
    <row r="592" spans="1:12">
      <c r="A592" t="s">
        <v>272</v>
      </c>
      <c r="B592" t="s">
        <v>30</v>
      </c>
      <c r="C592" t="s">
        <v>104</v>
      </c>
      <c r="D592">
        <v>5</v>
      </c>
      <c r="E592">
        <v>5</v>
      </c>
      <c r="F592">
        <v>0</v>
      </c>
      <c r="G592">
        <v>0</v>
      </c>
      <c r="H592">
        <v>0</v>
      </c>
      <c r="I592">
        <v>1</v>
      </c>
      <c r="J592">
        <v>0</v>
      </c>
      <c r="K592" t="s">
        <v>34</v>
      </c>
      <c r="L592" t="s">
        <v>41</v>
      </c>
    </row>
    <row r="593" spans="1:12">
      <c r="A593" t="s">
        <v>272</v>
      </c>
      <c r="B593" t="s">
        <v>30</v>
      </c>
      <c r="C593" t="s">
        <v>105</v>
      </c>
      <c r="D593">
        <v>5</v>
      </c>
      <c r="E593">
        <v>5</v>
      </c>
      <c r="F593">
        <v>0</v>
      </c>
      <c r="G593">
        <v>0</v>
      </c>
      <c r="H593">
        <v>0</v>
      </c>
      <c r="I593">
        <v>1</v>
      </c>
      <c r="J593">
        <v>0</v>
      </c>
      <c r="K593" t="s">
        <v>34</v>
      </c>
      <c r="L593" t="s">
        <v>41</v>
      </c>
    </row>
    <row r="594" spans="1:12">
      <c r="A594" t="s">
        <v>272</v>
      </c>
      <c r="B594" t="s">
        <v>30</v>
      </c>
      <c r="C594" t="s">
        <v>106</v>
      </c>
      <c r="D594">
        <v>5</v>
      </c>
      <c r="E594">
        <v>5</v>
      </c>
      <c r="F594">
        <v>0</v>
      </c>
      <c r="G594">
        <v>0</v>
      </c>
      <c r="H594">
        <v>0</v>
      </c>
      <c r="I594">
        <v>1</v>
      </c>
      <c r="J594">
        <v>0</v>
      </c>
      <c r="K594" t="s">
        <v>34</v>
      </c>
      <c r="L594" t="s">
        <v>41</v>
      </c>
    </row>
    <row r="595" spans="1:12">
      <c r="A595" t="s">
        <v>272</v>
      </c>
      <c r="B595" t="s">
        <v>30</v>
      </c>
      <c r="C595" t="s">
        <v>107</v>
      </c>
      <c r="D595">
        <v>5</v>
      </c>
      <c r="E595">
        <v>5</v>
      </c>
      <c r="F595">
        <v>0</v>
      </c>
      <c r="G595">
        <v>0</v>
      </c>
      <c r="H595">
        <v>0</v>
      </c>
      <c r="I595">
        <v>1</v>
      </c>
      <c r="J595">
        <v>0</v>
      </c>
      <c r="K595" t="s">
        <v>34</v>
      </c>
      <c r="L595" t="s">
        <v>41</v>
      </c>
    </row>
    <row r="596" spans="1:12">
      <c r="A596" t="s">
        <v>272</v>
      </c>
      <c r="B596" t="s">
        <v>30</v>
      </c>
      <c r="C596" t="s">
        <v>108</v>
      </c>
      <c r="D596">
        <v>5</v>
      </c>
      <c r="E596">
        <v>5</v>
      </c>
      <c r="F596">
        <v>0</v>
      </c>
      <c r="G596">
        <v>0</v>
      </c>
      <c r="H596">
        <v>0</v>
      </c>
      <c r="I596">
        <v>1</v>
      </c>
      <c r="J596">
        <v>0</v>
      </c>
      <c r="K596" t="s">
        <v>34</v>
      </c>
      <c r="L596" t="s">
        <v>41</v>
      </c>
    </row>
    <row r="597" spans="1:12">
      <c r="A597" t="s">
        <v>272</v>
      </c>
      <c r="B597" t="s">
        <v>30</v>
      </c>
      <c r="C597" t="s">
        <v>109</v>
      </c>
      <c r="D597">
        <v>5</v>
      </c>
      <c r="E597">
        <v>5</v>
      </c>
      <c r="F597">
        <v>0</v>
      </c>
      <c r="G597">
        <v>0</v>
      </c>
      <c r="H597">
        <v>0</v>
      </c>
      <c r="I597">
        <v>1</v>
      </c>
      <c r="J597">
        <v>0</v>
      </c>
      <c r="K597" t="s">
        <v>34</v>
      </c>
      <c r="L597" t="s">
        <v>38</v>
      </c>
    </row>
    <row r="598" spans="1:12">
      <c r="A598" t="s">
        <v>272</v>
      </c>
      <c r="B598" t="s">
        <v>30</v>
      </c>
      <c r="C598" t="s">
        <v>110</v>
      </c>
      <c r="D598">
        <v>5</v>
      </c>
      <c r="E598">
        <v>5</v>
      </c>
      <c r="F598">
        <v>0</v>
      </c>
      <c r="G598">
        <v>0</v>
      </c>
      <c r="H598">
        <v>0</v>
      </c>
      <c r="I598">
        <v>1</v>
      </c>
      <c r="J598">
        <v>0</v>
      </c>
      <c r="K598" t="s">
        <v>34</v>
      </c>
      <c r="L598" t="s">
        <v>38</v>
      </c>
    </row>
    <row r="599" spans="1:12">
      <c r="A599" t="s">
        <v>272</v>
      </c>
      <c r="B599" t="s">
        <v>30</v>
      </c>
      <c r="C599" t="s">
        <v>111</v>
      </c>
      <c r="D599">
        <v>5</v>
      </c>
      <c r="E599">
        <v>5</v>
      </c>
      <c r="F599">
        <v>0</v>
      </c>
      <c r="G599">
        <v>0</v>
      </c>
      <c r="H599">
        <v>0</v>
      </c>
      <c r="I599">
        <v>1</v>
      </c>
      <c r="J599">
        <v>0</v>
      </c>
      <c r="K599" t="s">
        <v>34</v>
      </c>
      <c r="L599" t="s">
        <v>38</v>
      </c>
    </row>
    <row r="600" spans="1:12">
      <c r="A600" t="s">
        <v>272</v>
      </c>
      <c r="B600" t="s">
        <v>30</v>
      </c>
      <c r="C600" t="s">
        <v>112</v>
      </c>
      <c r="D600">
        <v>5</v>
      </c>
      <c r="E600">
        <v>5</v>
      </c>
      <c r="F600">
        <v>0</v>
      </c>
      <c r="G600">
        <v>0</v>
      </c>
      <c r="H600">
        <v>0</v>
      </c>
      <c r="I600">
        <v>1</v>
      </c>
      <c r="J600">
        <v>0</v>
      </c>
      <c r="K600" t="s">
        <v>34</v>
      </c>
      <c r="L600" t="s">
        <v>38</v>
      </c>
    </row>
    <row r="601" spans="1:12">
      <c r="A601" t="s">
        <v>272</v>
      </c>
      <c r="B601" t="s">
        <v>30</v>
      </c>
      <c r="C601" t="s">
        <v>113</v>
      </c>
      <c r="D601">
        <v>5</v>
      </c>
      <c r="E601">
        <v>5</v>
      </c>
      <c r="F601">
        <v>0</v>
      </c>
      <c r="G601">
        <v>0</v>
      </c>
      <c r="H601">
        <v>0</v>
      </c>
      <c r="I601">
        <v>1</v>
      </c>
      <c r="J601">
        <v>0</v>
      </c>
      <c r="K601" t="s">
        <v>34</v>
      </c>
      <c r="L601" t="s">
        <v>38</v>
      </c>
    </row>
    <row r="602" spans="1:12">
      <c r="A602" t="s">
        <v>272</v>
      </c>
      <c r="B602" t="s">
        <v>30</v>
      </c>
      <c r="C602" t="s">
        <v>114</v>
      </c>
      <c r="D602">
        <v>5</v>
      </c>
      <c r="E602">
        <v>5</v>
      </c>
      <c r="F602">
        <v>0</v>
      </c>
      <c r="G602">
        <v>0</v>
      </c>
      <c r="H602">
        <v>0</v>
      </c>
      <c r="I602">
        <v>1</v>
      </c>
      <c r="J602">
        <v>0</v>
      </c>
      <c r="K602" t="s">
        <v>34</v>
      </c>
      <c r="L602" t="s">
        <v>38</v>
      </c>
    </row>
    <row r="603" spans="1:12">
      <c r="A603" t="s">
        <v>272</v>
      </c>
      <c r="B603" t="s">
        <v>30</v>
      </c>
      <c r="C603" t="s">
        <v>115</v>
      </c>
      <c r="D603">
        <v>5</v>
      </c>
      <c r="E603">
        <v>5</v>
      </c>
      <c r="F603">
        <v>0</v>
      </c>
      <c r="G603">
        <v>0</v>
      </c>
      <c r="H603">
        <v>0</v>
      </c>
      <c r="I603">
        <v>1</v>
      </c>
      <c r="J603">
        <v>0</v>
      </c>
      <c r="K603" t="s">
        <v>34</v>
      </c>
      <c r="L603" t="s">
        <v>38</v>
      </c>
    </row>
    <row r="604" spans="1:12">
      <c r="A604" t="s">
        <v>272</v>
      </c>
      <c r="B604" t="s">
        <v>30</v>
      </c>
      <c r="C604" t="s">
        <v>116</v>
      </c>
      <c r="D604">
        <v>5</v>
      </c>
      <c r="E604">
        <v>5</v>
      </c>
      <c r="F604">
        <v>0</v>
      </c>
      <c r="G604">
        <v>0</v>
      </c>
      <c r="H604">
        <v>0</v>
      </c>
      <c r="I604">
        <v>1</v>
      </c>
      <c r="J604">
        <v>0</v>
      </c>
      <c r="K604" t="s">
        <v>34</v>
      </c>
      <c r="L604" t="s">
        <v>38</v>
      </c>
    </row>
    <row r="605" spans="1:12">
      <c r="A605" t="s">
        <v>272</v>
      </c>
      <c r="B605" t="s">
        <v>30</v>
      </c>
      <c r="C605" t="s">
        <v>117</v>
      </c>
      <c r="D605">
        <v>5</v>
      </c>
      <c r="E605">
        <v>5</v>
      </c>
      <c r="F605">
        <v>0</v>
      </c>
      <c r="G605">
        <v>0</v>
      </c>
      <c r="H605">
        <v>0</v>
      </c>
      <c r="I605">
        <v>1</v>
      </c>
      <c r="J605">
        <v>0</v>
      </c>
      <c r="K605" t="s">
        <v>34</v>
      </c>
      <c r="L605" t="s">
        <v>38</v>
      </c>
    </row>
    <row r="606" spans="1:12">
      <c r="A606" t="s">
        <v>272</v>
      </c>
      <c r="B606" t="s">
        <v>30</v>
      </c>
      <c r="C606" t="s">
        <v>118</v>
      </c>
      <c r="D606">
        <v>5</v>
      </c>
      <c r="E606">
        <v>5</v>
      </c>
      <c r="F606">
        <v>0</v>
      </c>
      <c r="G606">
        <v>0</v>
      </c>
      <c r="H606">
        <v>0</v>
      </c>
      <c r="I606">
        <v>1</v>
      </c>
      <c r="J606">
        <v>0</v>
      </c>
      <c r="K606" t="s">
        <v>34</v>
      </c>
      <c r="L606" t="s">
        <v>38</v>
      </c>
    </row>
    <row r="607" spans="1:12">
      <c r="A607" t="s">
        <v>272</v>
      </c>
      <c r="B607" t="s">
        <v>30</v>
      </c>
      <c r="C607" t="s">
        <v>119</v>
      </c>
      <c r="D607">
        <v>5</v>
      </c>
      <c r="E607">
        <v>5</v>
      </c>
      <c r="F607">
        <v>0</v>
      </c>
      <c r="G607">
        <v>0</v>
      </c>
      <c r="H607">
        <v>0</v>
      </c>
      <c r="I607">
        <v>1</v>
      </c>
      <c r="J607">
        <v>0</v>
      </c>
      <c r="K607" t="s">
        <v>34</v>
      </c>
      <c r="L607" t="s">
        <v>44</v>
      </c>
    </row>
    <row r="608" spans="1:12">
      <c r="A608" t="s">
        <v>272</v>
      </c>
      <c r="B608" t="s">
        <v>30</v>
      </c>
      <c r="C608" t="s">
        <v>120</v>
      </c>
      <c r="D608">
        <v>5</v>
      </c>
      <c r="E608">
        <v>5</v>
      </c>
      <c r="F608">
        <v>0</v>
      </c>
      <c r="G608">
        <v>0</v>
      </c>
      <c r="H608">
        <v>0</v>
      </c>
      <c r="I608">
        <v>1</v>
      </c>
      <c r="J608">
        <v>0</v>
      </c>
      <c r="K608" t="s">
        <v>34</v>
      </c>
      <c r="L608" t="s">
        <v>44</v>
      </c>
    </row>
    <row r="609" spans="1:12">
      <c r="A609" t="s">
        <v>272</v>
      </c>
      <c r="B609" t="s">
        <v>30</v>
      </c>
      <c r="C609" t="s">
        <v>121</v>
      </c>
      <c r="D609">
        <v>5</v>
      </c>
      <c r="E609">
        <v>5</v>
      </c>
      <c r="F609">
        <v>0</v>
      </c>
      <c r="G609">
        <v>0</v>
      </c>
      <c r="H609">
        <v>0</v>
      </c>
      <c r="I609">
        <v>1</v>
      </c>
      <c r="J609">
        <v>0</v>
      </c>
      <c r="K609" t="s">
        <v>34</v>
      </c>
      <c r="L609" t="s">
        <v>44</v>
      </c>
    </row>
    <row r="610" spans="1:12">
      <c r="A610" t="s">
        <v>272</v>
      </c>
      <c r="B610" t="s">
        <v>30</v>
      </c>
      <c r="C610" t="s">
        <v>122</v>
      </c>
      <c r="D610">
        <v>5</v>
      </c>
      <c r="E610">
        <v>5</v>
      </c>
      <c r="F610">
        <v>0</v>
      </c>
      <c r="G610">
        <v>0</v>
      </c>
      <c r="H610">
        <v>0</v>
      </c>
      <c r="I610">
        <v>1</v>
      </c>
      <c r="J610">
        <v>0</v>
      </c>
      <c r="K610" t="s">
        <v>34</v>
      </c>
      <c r="L610" t="s">
        <v>44</v>
      </c>
    </row>
    <row r="611" spans="1:12">
      <c r="A611" t="s">
        <v>272</v>
      </c>
      <c r="B611" t="s">
        <v>30</v>
      </c>
      <c r="C611" t="s">
        <v>123</v>
      </c>
      <c r="D611">
        <v>5</v>
      </c>
      <c r="E611">
        <v>3.81</v>
      </c>
      <c r="F611">
        <v>-1.19</v>
      </c>
      <c r="G611">
        <v>1.19</v>
      </c>
      <c r="H611">
        <v>1</v>
      </c>
      <c r="I611">
        <v>0</v>
      </c>
      <c r="J611">
        <v>1</v>
      </c>
      <c r="K611" t="s">
        <v>33</v>
      </c>
      <c r="L611" t="s">
        <v>44</v>
      </c>
    </row>
    <row r="612" spans="1:12">
      <c r="A612" t="s">
        <v>272</v>
      </c>
      <c r="B612" t="s">
        <v>30</v>
      </c>
      <c r="C612" t="s">
        <v>124</v>
      </c>
      <c r="D612">
        <v>5</v>
      </c>
      <c r="E612">
        <v>3.81</v>
      </c>
      <c r="F612">
        <v>-1.19</v>
      </c>
      <c r="G612">
        <v>1.19</v>
      </c>
      <c r="H612">
        <v>1</v>
      </c>
      <c r="I612">
        <v>0</v>
      </c>
      <c r="J612">
        <v>1</v>
      </c>
      <c r="K612" t="s">
        <v>33</v>
      </c>
      <c r="L612" t="s">
        <v>45</v>
      </c>
    </row>
    <row r="613" spans="1:12">
      <c r="A613" t="s">
        <v>272</v>
      </c>
      <c r="B613" t="s">
        <v>30</v>
      </c>
      <c r="C613" t="s">
        <v>125</v>
      </c>
      <c r="D613">
        <v>5</v>
      </c>
      <c r="E613">
        <v>3.81</v>
      </c>
      <c r="F613">
        <v>-1.19</v>
      </c>
      <c r="G613">
        <v>1.19</v>
      </c>
      <c r="H613">
        <v>1</v>
      </c>
      <c r="I613">
        <v>0</v>
      </c>
      <c r="J613">
        <v>1</v>
      </c>
      <c r="K613" t="s">
        <v>33</v>
      </c>
      <c r="L613" t="s">
        <v>45</v>
      </c>
    </row>
    <row r="614" spans="1:12">
      <c r="A614" t="s">
        <v>272</v>
      </c>
      <c r="B614" t="s">
        <v>30</v>
      </c>
      <c r="C614" t="s">
        <v>126</v>
      </c>
      <c r="D614">
        <v>5</v>
      </c>
      <c r="E614">
        <v>3.81</v>
      </c>
      <c r="F614">
        <v>-1.19</v>
      </c>
      <c r="G614">
        <v>1.19</v>
      </c>
      <c r="H614">
        <v>1</v>
      </c>
      <c r="I614">
        <v>0</v>
      </c>
      <c r="J614">
        <v>1</v>
      </c>
      <c r="K614" t="s">
        <v>33</v>
      </c>
      <c r="L614" t="s">
        <v>45</v>
      </c>
    </row>
    <row r="615" spans="1:12">
      <c r="A615" t="s">
        <v>272</v>
      </c>
      <c r="B615" t="s">
        <v>30</v>
      </c>
      <c r="C615" t="s">
        <v>127</v>
      </c>
      <c r="D615">
        <v>5</v>
      </c>
      <c r="E615">
        <v>3.81</v>
      </c>
      <c r="F615">
        <v>-1.19</v>
      </c>
      <c r="G615">
        <v>1.19</v>
      </c>
      <c r="H615">
        <v>1</v>
      </c>
      <c r="I615">
        <v>0</v>
      </c>
      <c r="J615">
        <v>1</v>
      </c>
      <c r="K615" t="s">
        <v>33</v>
      </c>
      <c r="L615" t="s">
        <v>45</v>
      </c>
    </row>
    <row r="616" spans="1:12">
      <c r="A616" t="s">
        <v>272</v>
      </c>
      <c r="B616" t="s">
        <v>30</v>
      </c>
      <c r="C616" t="s">
        <v>128</v>
      </c>
      <c r="D616">
        <v>5</v>
      </c>
      <c r="E616">
        <v>3.81</v>
      </c>
      <c r="F616">
        <v>-1.19</v>
      </c>
      <c r="G616">
        <v>1.19</v>
      </c>
      <c r="H616">
        <v>1</v>
      </c>
      <c r="I616">
        <v>0</v>
      </c>
      <c r="J616">
        <v>1</v>
      </c>
      <c r="K616" t="s">
        <v>33</v>
      </c>
      <c r="L616" t="s">
        <v>45</v>
      </c>
    </row>
    <row r="617" spans="1:12">
      <c r="A617" t="s">
        <v>272</v>
      </c>
      <c r="B617" t="s">
        <v>30</v>
      </c>
      <c r="C617" t="s">
        <v>129</v>
      </c>
      <c r="D617">
        <v>5</v>
      </c>
      <c r="E617">
        <v>3.81</v>
      </c>
      <c r="F617">
        <v>-1.19</v>
      </c>
      <c r="G617">
        <v>1.19</v>
      </c>
      <c r="H617">
        <v>1</v>
      </c>
      <c r="I617">
        <v>0</v>
      </c>
      <c r="J617">
        <v>1</v>
      </c>
      <c r="K617" t="s">
        <v>33</v>
      </c>
      <c r="L617" t="s">
        <v>46</v>
      </c>
    </row>
    <row r="618" spans="1:12">
      <c r="A618" t="s">
        <v>272</v>
      </c>
      <c r="B618" t="s">
        <v>30</v>
      </c>
      <c r="C618" t="s">
        <v>130</v>
      </c>
      <c r="D618">
        <v>5</v>
      </c>
      <c r="E618">
        <v>3.81</v>
      </c>
      <c r="F618">
        <v>-1.19</v>
      </c>
      <c r="G618">
        <v>1.19</v>
      </c>
      <c r="H618">
        <v>1</v>
      </c>
      <c r="I618">
        <v>0</v>
      </c>
      <c r="J618">
        <v>1</v>
      </c>
      <c r="K618" t="s">
        <v>33</v>
      </c>
      <c r="L618" t="s">
        <v>46</v>
      </c>
    </row>
    <row r="619" spans="1:12">
      <c r="A619" t="s">
        <v>272</v>
      </c>
      <c r="B619" t="s">
        <v>30</v>
      </c>
      <c r="C619" t="s">
        <v>131</v>
      </c>
      <c r="D619">
        <v>5</v>
      </c>
      <c r="E619">
        <v>5</v>
      </c>
      <c r="F619">
        <v>0</v>
      </c>
      <c r="G619">
        <v>0</v>
      </c>
      <c r="H619">
        <v>0</v>
      </c>
      <c r="I619">
        <v>1</v>
      </c>
      <c r="J619">
        <v>0</v>
      </c>
      <c r="K619" t="s">
        <v>34</v>
      </c>
      <c r="L619" t="s">
        <v>46</v>
      </c>
    </row>
    <row r="620" spans="1:12">
      <c r="A620" t="s">
        <v>272</v>
      </c>
      <c r="B620" t="s">
        <v>30</v>
      </c>
      <c r="C620" t="s">
        <v>132</v>
      </c>
      <c r="D620">
        <v>5</v>
      </c>
      <c r="E620">
        <v>5</v>
      </c>
      <c r="F620">
        <v>0</v>
      </c>
      <c r="G620">
        <v>0</v>
      </c>
      <c r="H620">
        <v>0</v>
      </c>
      <c r="I620">
        <v>1</v>
      </c>
      <c r="J620">
        <v>0</v>
      </c>
      <c r="K620" t="s">
        <v>34</v>
      </c>
      <c r="L620" t="s">
        <v>46</v>
      </c>
    </row>
    <row r="621" spans="1:12">
      <c r="A621" t="s">
        <v>272</v>
      </c>
      <c r="B621" t="s">
        <v>30</v>
      </c>
      <c r="C621" t="s">
        <v>133</v>
      </c>
      <c r="D621">
        <v>5</v>
      </c>
      <c r="E621">
        <v>5</v>
      </c>
      <c r="F621">
        <v>0</v>
      </c>
      <c r="G621">
        <v>0</v>
      </c>
      <c r="H621">
        <v>0</v>
      </c>
      <c r="I621">
        <v>1</v>
      </c>
      <c r="J621">
        <v>0</v>
      </c>
      <c r="K621" t="s">
        <v>34</v>
      </c>
      <c r="L621" t="s">
        <v>46</v>
      </c>
    </row>
    <row r="622" spans="1:12">
      <c r="A622" t="s">
        <v>272</v>
      </c>
      <c r="B622" t="s">
        <v>30</v>
      </c>
      <c r="C622" t="s">
        <v>134</v>
      </c>
      <c r="D622">
        <v>5</v>
      </c>
      <c r="E622">
        <v>5</v>
      </c>
      <c r="F622">
        <v>0</v>
      </c>
      <c r="G622">
        <v>0</v>
      </c>
      <c r="H622">
        <v>0</v>
      </c>
      <c r="I622">
        <v>1</v>
      </c>
      <c r="J622">
        <v>0</v>
      </c>
      <c r="K622" t="s">
        <v>34</v>
      </c>
      <c r="L622" t="s">
        <v>47</v>
      </c>
    </row>
    <row r="623" spans="1:12">
      <c r="A623" t="s">
        <v>272</v>
      </c>
      <c r="B623" t="s">
        <v>30</v>
      </c>
      <c r="C623" t="s">
        <v>135</v>
      </c>
      <c r="D623">
        <v>5</v>
      </c>
      <c r="E623">
        <v>5</v>
      </c>
      <c r="F623">
        <v>0</v>
      </c>
      <c r="G623">
        <v>0</v>
      </c>
      <c r="H623">
        <v>0</v>
      </c>
      <c r="I623">
        <v>1</v>
      </c>
      <c r="J623">
        <v>0</v>
      </c>
      <c r="K623" t="s">
        <v>34</v>
      </c>
      <c r="L623" t="s">
        <v>47</v>
      </c>
    </row>
    <row r="624" spans="1:12">
      <c r="A624" t="s">
        <v>272</v>
      </c>
      <c r="B624" t="s">
        <v>30</v>
      </c>
      <c r="C624" t="s">
        <v>136</v>
      </c>
      <c r="D624">
        <v>5</v>
      </c>
      <c r="E624">
        <v>5</v>
      </c>
      <c r="F624">
        <v>0</v>
      </c>
      <c r="G624">
        <v>0</v>
      </c>
      <c r="H624">
        <v>0</v>
      </c>
      <c r="I624">
        <v>1</v>
      </c>
      <c r="J624">
        <v>0</v>
      </c>
      <c r="K624" t="s">
        <v>34</v>
      </c>
      <c r="L624" t="s">
        <v>47</v>
      </c>
    </row>
    <row r="625" spans="1:12">
      <c r="A625" t="s">
        <v>272</v>
      </c>
      <c r="B625" t="s">
        <v>30</v>
      </c>
      <c r="C625" t="s">
        <v>137</v>
      </c>
      <c r="D625">
        <v>5</v>
      </c>
      <c r="E625">
        <v>5</v>
      </c>
      <c r="F625">
        <v>0</v>
      </c>
      <c r="G625">
        <v>0</v>
      </c>
      <c r="H625">
        <v>0</v>
      </c>
      <c r="I625">
        <v>1</v>
      </c>
      <c r="J625">
        <v>0</v>
      </c>
      <c r="K625" t="s">
        <v>34</v>
      </c>
      <c r="L625" t="s">
        <v>47</v>
      </c>
    </row>
    <row r="626" spans="1:12">
      <c r="A626" t="s">
        <v>272</v>
      </c>
      <c r="B626" t="s">
        <v>30</v>
      </c>
      <c r="C626" t="s">
        <v>138</v>
      </c>
      <c r="D626">
        <v>5</v>
      </c>
      <c r="E626">
        <v>5</v>
      </c>
      <c r="F626">
        <v>0</v>
      </c>
      <c r="G626">
        <v>0</v>
      </c>
      <c r="H626">
        <v>0</v>
      </c>
      <c r="I626">
        <v>1</v>
      </c>
      <c r="J626">
        <v>0</v>
      </c>
      <c r="K626" t="s">
        <v>34</v>
      </c>
      <c r="L626" t="s">
        <v>47</v>
      </c>
    </row>
    <row r="627" spans="1:12">
      <c r="A627" t="s">
        <v>272</v>
      </c>
      <c r="B627" t="s">
        <v>30</v>
      </c>
      <c r="C627" t="s">
        <v>139</v>
      </c>
      <c r="D627">
        <v>5</v>
      </c>
      <c r="E627">
        <v>5</v>
      </c>
      <c r="F627">
        <v>0</v>
      </c>
      <c r="G627">
        <v>0</v>
      </c>
      <c r="H627">
        <v>0</v>
      </c>
      <c r="I627">
        <v>1</v>
      </c>
      <c r="J627">
        <v>0</v>
      </c>
      <c r="K627" t="s">
        <v>34</v>
      </c>
      <c r="L627" t="s">
        <v>42</v>
      </c>
    </row>
    <row r="628" spans="1:12">
      <c r="A628" t="s">
        <v>272</v>
      </c>
      <c r="B628" t="s">
        <v>30</v>
      </c>
      <c r="C628" t="s">
        <v>140</v>
      </c>
      <c r="D628">
        <v>5</v>
      </c>
      <c r="E628">
        <v>5</v>
      </c>
      <c r="F628">
        <v>0</v>
      </c>
      <c r="G628">
        <v>0</v>
      </c>
      <c r="H628">
        <v>0</v>
      </c>
      <c r="I628">
        <v>1</v>
      </c>
      <c r="J628">
        <v>0</v>
      </c>
      <c r="K628" t="s">
        <v>34</v>
      </c>
      <c r="L628" t="s">
        <v>42</v>
      </c>
    </row>
    <row r="629" spans="1:12">
      <c r="A629" t="s">
        <v>272</v>
      </c>
      <c r="B629" t="s">
        <v>30</v>
      </c>
      <c r="C629" t="s">
        <v>141</v>
      </c>
      <c r="D629">
        <v>5</v>
      </c>
      <c r="E629">
        <v>5</v>
      </c>
      <c r="F629">
        <v>0</v>
      </c>
      <c r="G629">
        <v>0</v>
      </c>
      <c r="H629">
        <v>0</v>
      </c>
      <c r="I629">
        <v>1</v>
      </c>
      <c r="J629">
        <v>0</v>
      </c>
      <c r="K629" t="s">
        <v>34</v>
      </c>
      <c r="L629" t="s">
        <v>42</v>
      </c>
    </row>
    <row r="630" spans="1:12">
      <c r="A630" t="s">
        <v>272</v>
      </c>
      <c r="B630" t="s">
        <v>30</v>
      </c>
      <c r="C630" t="s">
        <v>142</v>
      </c>
      <c r="D630">
        <v>5</v>
      </c>
      <c r="E630">
        <v>5</v>
      </c>
      <c r="F630">
        <v>0</v>
      </c>
      <c r="G630">
        <v>0</v>
      </c>
      <c r="H630">
        <v>0</v>
      </c>
      <c r="I630">
        <v>1</v>
      </c>
      <c r="J630">
        <v>0</v>
      </c>
      <c r="K630" t="s">
        <v>34</v>
      </c>
      <c r="L630" t="s">
        <v>42</v>
      </c>
    </row>
    <row r="631" spans="1:12">
      <c r="A631" t="s">
        <v>272</v>
      </c>
      <c r="B631" t="s">
        <v>30</v>
      </c>
      <c r="C631" t="s">
        <v>143</v>
      </c>
      <c r="D631">
        <v>5</v>
      </c>
      <c r="E631">
        <v>5</v>
      </c>
      <c r="F631">
        <v>0</v>
      </c>
      <c r="G631">
        <v>0</v>
      </c>
      <c r="H631">
        <v>0</v>
      </c>
      <c r="I631">
        <v>1</v>
      </c>
      <c r="J631">
        <v>0</v>
      </c>
      <c r="K631" t="s">
        <v>34</v>
      </c>
      <c r="L631" t="s">
        <v>42</v>
      </c>
    </row>
    <row r="632" spans="1:12">
      <c r="A632" t="s">
        <v>272</v>
      </c>
      <c r="B632" t="s">
        <v>30</v>
      </c>
      <c r="C632" t="s">
        <v>144</v>
      </c>
      <c r="D632">
        <v>5</v>
      </c>
      <c r="E632">
        <v>5</v>
      </c>
      <c r="F632">
        <v>0</v>
      </c>
      <c r="G632">
        <v>0</v>
      </c>
      <c r="H632">
        <v>0</v>
      </c>
      <c r="I632">
        <v>1</v>
      </c>
      <c r="J632">
        <v>0</v>
      </c>
      <c r="K632" t="s">
        <v>34</v>
      </c>
      <c r="L632" t="s">
        <v>43</v>
      </c>
    </row>
    <row r="633" spans="1:12">
      <c r="A633" t="s">
        <v>272</v>
      </c>
      <c r="B633" t="s">
        <v>30</v>
      </c>
      <c r="C633" t="s">
        <v>145</v>
      </c>
      <c r="D633">
        <v>5</v>
      </c>
      <c r="E633">
        <v>5</v>
      </c>
      <c r="F633">
        <v>0</v>
      </c>
      <c r="G633">
        <v>0</v>
      </c>
      <c r="H633">
        <v>0</v>
      </c>
      <c r="I633">
        <v>1</v>
      </c>
      <c r="J633">
        <v>0</v>
      </c>
      <c r="K633" t="s">
        <v>34</v>
      </c>
      <c r="L633" t="s">
        <v>43</v>
      </c>
    </row>
    <row r="634" spans="1:12">
      <c r="A634" t="s">
        <v>272</v>
      </c>
      <c r="B634" t="s">
        <v>30</v>
      </c>
      <c r="C634" t="s">
        <v>146</v>
      </c>
      <c r="D634">
        <v>5</v>
      </c>
      <c r="E634">
        <v>5</v>
      </c>
      <c r="F634">
        <v>0</v>
      </c>
      <c r="G634">
        <v>0</v>
      </c>
      <c r="H634">
        <v>0</v>
      </c>
      <c r="I634">
        <v>1</v>
      </c>
      <c r="J634">
        <v>0</v>
      </c>
      <c r="K634" t="s">
        <v>34</v>
      </c>
      <c r="L634" t="s">
        <v>43</v>
      </c>
    </row>
    <row r="635" spans="1:12">
      <c r="A635" t="s">
        <v>272</v>
      </c>
      <c r="B635" t="s">
        <v>30</v>
      </c>
      <c r="C635" t="s">
        <v>147</v>
      </c>
      <c r="D635">
        <v>5</v>
      </c>
      <c r="E635">
        <v>5</v>
      </c>
      <c r="F635">
        <v>0</v>
      </c>
      <c r="G635">
        <v>0</v>
      </c>
      <c r="H635">
        <v>0</v>
      </c>
      <c r="I635">
        <v>1</v>
      </c>
      <c r="J635">
        <v>0</v>
      </c>
      <c r="K635" t="s">
        <v>34</v>
      </c>
      <c r="L635" t="s">
        <v>43</v>
      </c>
    </row>
    <row r="636" spans="1:12">
      <c r="A636" t="s">
        <v>272</v>
      </c>
      <c r="B636" t="s">
        <v>30</v>
      </c>
      <c r="C636" t="s">
        <v>148</v>
      </c>
      <c r="D636">
        <v>5</v>
      </c>
      <c r="E636">
        <v>5</v>
      </c>
      <c r="F636">
        <v>0</v>
      </c>
      <c r="G636">
        <v>0</v>
      </c>
      <c r="H636">
        <v>0</v>
      </c>
      <c r="I636">
        <v>1</v>
      </c>
      <c r="J636">
        <v>0</v>
      </c>
      <c r="K636" t="s">
        <v>34</v>
      </c>
      <c r="L636" t="s">
        <v>43</v>
      </c>
    </row>
    <row r="637" spans="1:12">
      <c r="A637" t="s">
        <v>272</v>
      </c>
      <c r="B637" t="s">
        <v>30</v>
      </c>
      <c r="C637" t="s">
        <v>149</v>
      </c>
      <c r="D637">
        <v>5</v>
      </c>
      <c r="E637">
        <v>5</v>
      </c>
      <c r="F637">
        <v>0</v>
      </c>
      <c r="G637">
        <v>0</v>
      </c>
      <c r="H637">
        <v>0</v>
      </c>
      <c r="I637">
        <v>1</v>
      </c>
      <c r="J637">
        <v>0</v>
      </c>
      <c r="K637" t="s">
        <v>34</v>
      </c>
      <c r="L637" t="s">
        <v>48</v>
      </c>
    </row>
    <row r="638" spans="1:12">
      <c r="A638" t="s">
        <v>272</v>
      </c>
      <c r="B638" t="s">
        <v>30</v>
      </c>
      <c r="C638" t="s">
        <v>150</v>
      </c>
      <c r="D638">
        <v>5</v>
      </c>
      <c r="E638">
        <v>5</v>
      </c>
      <c r="F638">
        <v>0</v>
      </c>
      <c r="G638">
        <v>0</v>
      </c>
      <c r="H638">
        <v>0</v>
      </c>
      <c r="I638">
        <v>1</v>
      </c>
      <c r="J638">
        <v>0</v>
      </c>
      <c r="K638" t="s">
        <v>34</v>
      </c>
      <c r="L638" t="s">
        <v>48</v>
      </c>
    </row>
    <row r="639" spans="1:12">
      <c r="A639" t="s">
        <v>272</v>
      </c>
      <c r="B639" t="s">
        <v>30</v>
      </c>
      <c r="C639" t="s">
        <v>151</v>
      </c>
      <c r="D639">
        <v>5</v>
      </c>
      <c r="E639">
        <v>5</v>
      </c>
      <c r="F639">
        <v>0</v>
      </c>
      <c r="G639">
        <v>0</v>
      </c>
      <c r="H639">
        <v>0</v>
      </c>
      <c r="I639">
        <v>1</v>
      </c>
      <c r="J639">
        <v>0</v>
      </c>
      <c r="K639" t="s">
        <v>34</v>
      </c>
      <c r="L639" t="s">
        <v>48</v>
      </c>
    </row>
    <row r="640" spans="1:12">
      <c r="A640" t="s">
        <v>272</v>
      </c>
      <c r="B640" t="s">
        <v>30</v>
      </c>
      <c r="C640" t="s">
        <v>152</v>
      </c>
      <c r="D640">
        <v>5</v>
      </c>
      <c r="E640">
        <v>5</v>
      </c>
      <c r="F640">
        <v>0</v>
      </c>
      <c r="G640">
        <v>0</v>
      </c>
      <c r="H640">
        <v>0</v>
      </c>
      <c r="I640">
        <v>1</v>
      </c>
      <c r="J640">
        <v>0</v>
      </c>
      <c r="K640" t="s">
        <v>34</v>
      </c>
      <c r="L640" t="s">
        <v>48</v>
      </c>
    </row>
    <row r="641" spans="1:12">
      <c r="A641" t="s">
        <v>272</v>
      </c>
      <c r="B641" t="s">
        <v>30</v>
      </c>
      <c r="C641" t="s">
        <v>153</v>
      </c>
      <c r="D641">
        <v>5</v>
      </c>
      <c r="E641">
        <v>5</v>
      </c>
      <c r="F641">
        <v>0</v>
      </c>
      <c r="G641">
        <v>0</v>
      </c>
      <c r="H641">
        <v>0</v>
      </c>
      <c r="I641">
        <v>1</v>
      </c>
      <c r="J641">
        <v>0</v>
      </c>
      <c r="K641" t="s">
        <v>34</v>
      </c>
      <c r="L641" t="s">
        <v>48</v>
      </c>
    </row>
    <row r="642" spans="1:12">
      <c r="A642" t="s">
        <v>281</v>
      </c>
      <c r="B642" t="s">
        <v>29</v>
      </c>
      <c r="C642" t="s">
        <v>76</v>
      </c>
      <c r="D642">
        <v>1</v>
      </c>
      <c r="E642">
        <v>0.38</v>
      </c>
      <c r="F642">
        <v>-0.62</v>
      </c>
      <c r="G642">
        <v>0.62</v>
      </c>
      <c r="H642">
        <v>0</v>
      </c>
      <c r="I642">
        <v>1</v>
      </c>
      <c r="J642">
        <v>0</v>
      </c>
      <c r="K642" t="s">
        <v>34</v>
      </c>
      <c r="L642" t="s">
        <v>49</v>
      </c>
    </row>
    <row r="643" spans="1:12">
      <c r="A643" t="s">
        <v>281</v>
      </c>
      <c r="B643" t="s">
        <v>29</v>
      </c>
      <c r="C643" t="s">
        <v>77</v>
      </c>
      <c r="D643">
        <v>5</v>
      </c>
      <c r="E643">
        <v>5</v>
      </c>
      <c r="F643">
        <v>0</v>
      </c>
      <c r="G643">
        <v>0</v>
      </c>
      <c r="H643">
        <v>0</v>
      </c>
      <c r="I643">
        <v>1</v>
      </c>
      <c r="J643">
        <v>0</v>
      </c>
      <c r="K643" t="s">
        <v>34</v>
      </c>
      <c r="L643" t="s">
        <v>49</v>
      </c>
    </row>
    <row r="644" spans="1:12">
      <c r="A644" t="s">
        <v>281</v>
      </c>
      <c r="B644" t="s">
        <v>29</v>
      </c>
      <c r="C644" t="s">
        <v>78</v>
      </c>
      <c r="D644">
        <v>2</v>
      </c>
      <c r="E644">
        <v>5</v>
      </c>
      <c r="F644">
        <v>3</v>
      </c>
      <c r="G644">
        <v>3</v>
      </c>
      <c r="H644">
        <v>0</v>
      </c>
      <c r="I644">
        <v>1</v>
      </c>
      <c r="J644">
        <v>1</v>
      </c>
      <c r="K644" t="s">
        <v>35</v>
      </c>
      <c r="L644" t="s">
        <v>49</v>
      </c>
    </row>
    <row r="645" spans="1:12">
      <c r="A645" t="s">
        <v>281</v>
      </c>
      <c r="B645" t="s">
        <v>29</v>
      </c>
      <c r="C645" t="s">
        <v>79</v>
      </c>
      <c r="D645">
        <v>5</v>
      </c>
      <c r="E645">
        <v>0.95</v>
      </c>
      <c r="F645">
        <v>-4.05</v>
      </c>
      <c r="G645">
        <v>4.05</v>
      </c>
      <c r="H645">
        <v>1</v>
      </c>
      <c r="I645">
        <v>0</v>
      </c>
      <c r="J645">
        <v>1</v>
      </c>
      <c r="K645" t="s">
        <v>36</v>
      </c>
      <c r="L645" t="s">
        <v>49</v>
      </c>
    </row>
    <row r="646" spans="1:12">
      <c r="A646" t="s">
        <v>281</v>
      </c>
      <c r="B646" t="s">
        <v>29</v>
      </c>
      <c r="C646" t="s">
        <v>80</v>
      </c>
      <c r="D646">
        <v>5</v>
      </c>
      <c r="E646">
        <v>0.95</v>
      </c>
      <c r="F646">
        <v>-4.05</v>
      </c>
      <c r="G646">
        <v>4.05</v>
      </c>
      <c r="H646">
        <v>1</v>
      </c>
      <c r="I646">
        <v>0</v>
      </c>
      <c r="J646">
        <v>1</v>
      </c>
      <c r="K646" t="s">
        <v>36</v>
      </c>
      <c r="L646" t="s">
        <v>49</v>
      </c>
    </row>
    <row r="647" spans="1:12">
      <c r="A647" t="s">
        <v>281</v>
      </c>
      <c r="B647" t="s">
        <v>29</v>
      </c>
      <c r="C647" t="s">
        <v>81</v>
      </c>
      <c r="D647">
        <v>5</v>
      </c>
      <c r="E647">
        <v>5</v>
      </c>
      <c r="F647">
        <v>0</v>
      </c>
      <c r="G647">
        <v>0</v>
      </c>
      <c r="H647">
        <v>0</v>
      </c>
      <c r="I647">
        <v>1</v>
      </c>
      <c r="J647">
        <v>0</v>
      </c>
      <c r="K647" t="s">
        <v>34</v>
      </c>
      <c r="L647" t="s">
        <v>49</v>
      </c>
    </row>
    <row r="648" spans="1:12">
      <c r="A648" t="s">
        <v>281</v>
      </c>
      <c r="B648" t="s">
        <v>29</v>
      </c>
      <c r="C648" t="s">
        <v>82</v>
      </c>
      <c r="D648">
        <v>5</v>
      </c>
      <c r="E648">
        <v>5</v>
      </c>
      <c r="F648">
        <v>0</v>
      </c>
      <c r="G648">
        <v>0</v>
      </c>
      <c r="H648">
        <v>0</v>
      </c>
      <c r="I648">
        <v>1</v>
      </c>
      <c r="J648">
        <v>0</v>
      </c>
      <c r="K648" t="s">
        <v>34</v>
      </c>
      <c r="L648" t="s">
        <v>49</v>
      </c>
    </row>
    <row r="649" spans="1:12">
      <c r="A649" t="s">
        <v>281</v>
      </c>
      <c r="B649" t="s">
        <v>29</v>
      </c>
      <c r="C649" t="s">
        <v>83</v>
      </c>
      <c r="D649">
        <v>4</v>
      </c>
      <c r="E649">
        <v>5</v>
      </c>
      <c r="F649">
        <v>1</v>
      </c>
      <c r="G649">
        <v>1</v>
      </c>
      <c r="H649">
        <v>0</v>
      </c>
      <c r="I649">
        <v>1</v>
      </c>
      <c r="J649">
        <v>1</v>
      </c>
      <c r="K649" t="s">
        <v>37</v>
      </c>
      <c r="L649" t="s">
        <v>49</v>
      </c>
    </row>
    <row r="650" spans="1:12">
      <c r="A650" t="s">
        <v>281</v>
      </c>
      <c r="B650" t="s">
        <v>29</v>
      </c>
      <c r="C650" t="s">
        <v>84</v>
      </c>
      <c r="D650">
        <v>4</v>
      </c>
      <c r="E650">
        <v>5</v>
      </c>
      <c r="F650">
        <v>1</v>
      </c>
      <c r="G650">
        <v>1</v>
      </c>
      <c r="H650">
        <v>0</v>
      </c>
      <c r="I650">
        <v>1</v>
      </c>
      <c r="J650">
        <v>1</v>
      </c>
      <c r="K650" t="s">
        <v>37</v>
      </c>
      <c r="L650" t="s">
        <v>49</v>
      </c>
    </row>
    <row r="651" spans="1:12">
      <c r="A651" t="s">
        <v>281</v>
      </c>
      <c r="B651" t="s">
        <v>29</v>
      </c>
      <c r="C651" t="s">
        <v>85</v>
      </c>
      <c r="D651">
        <v>4</v>
      </c>
      <c r="E651">
        <v>5</v>
      </c>
      <c r="F651">
        <v>1</v>
      </c>
      <c r="G651">
        <v>1</v>
      </c>
      <c r="H651">
        <v>0</v>
      </c>
      <c r="I651">
        <v>1</v>
      </c>
      <c r="J651">
        <v>1</v>
      </c>
      <c r="K651" t="s">
        <v>37</v>
      </c>
      <c r="L651" t="s">
        <v>49</v>
      </c>
    </row>
    <row r="652" spans="1:12">
      <c r="A652" t="s">
        <v>281</v>
      </c>
      <c r="B652" t="s">
        <v>29</v>
      </c>
      <c r="C652" t="s">
        <v>86</v>
      </c>
      <c r="D652">
        <v>4</v>
      </c>
      <c r="E652">
        <v>5</v>
      </c>
      <c r="F652">
        <v>1</v>
      </c>
      <c r="G652">
        <v>1</v>
      </c>
      <c r="H652">
        <v>0</v>
      </c>
      <c r="I652">
        <v>1</v>
      </c>
      <c r="J652">
        <v>1</v>
      </c>
      <c r="K652" t="s">
        <v>37</v>
      </c>
      <c r="L652" t="s">
        <v>50</v>
      </c>
    </row>
    <row r="653" spans="1:12">
      <c r="A653" t="s">
        <v>281</v>
      </c>
      <c r="B653" t="s">
        <v>29</v>
      </c>
      <c r="C653" t="s">
        <v>87</v>
      </c>
      <c r="D653">
        <v>4</v>
      </c>
      <c r="E653">
        <v>5</v>
      </c>
      <c r="F653">
        <v>1</v>
      </c>
      <c r="G653">
        <v>1</v>
      </c>
      <c r="H653">
        <v>0</v>
      </c>
      <c r="I653">
        <v>1</v>
      </c>
      <c r="J653">
        <v>1</v>
      </c>
      <c r="K653" t="s">
        <v>37</v>
      </c>
      <c r="L653" t="s">
        <v>50</v>
      </c>
    </row>
    <row r="654" spans="1:12">
      <c r="A654" t="s">
        <v>281</v>
      </c>
      <c r="B654" t="s">
        <v>29</v>
      </c>
      <c r="C654" t="s">
        <v>88</v>
      </c>
      <c r="D654">
        <v>3</v>
      </c>
      <c r="E654">
        <v>5</v>
      </c>
      <c r="F654">
        <v>2</v>
      </c>
      <c r="G654">
        <v>2</v>
      </c>
      <c r="H654">
        <v>0</v>
      </c>
      <c r="I654">
        <v>1</v>
      </c>
      <c r="J654">
        <v>1</v>
      </c>
      <c r="K654" t="s">
        <v>35</v>
      </c>
      <c r="L654" t="s">
        <v>50</v>
      </c>
    </row>
    <row r="655" spans="1:12">
      <c r="A655" t="s">
        <v>281</v>
      </c>
      <c r="B655" t="s">
        <v>29</v>
      </c>
      <c r="C655" t="s">
        <v>89</v>
      </c>
      <c r="D655">
        <v>3</v>
      </c>
      <c r="E655">
        <v>4</v>
      </c>
      <c r="F655">
        <v>1</v>
      </c>
      <c r="G655">
        <v>1</v>
      </c>
      <c r="H655">
        <v>0</v>
      </c>
      <c r="I655">
        <v>1</v>
      </c>
      <c r="J655">
        <v>1</v>
      </c>
      <c r="K655" t="s">
        <v>37</v>
      </c>
      <c r="L655" t="s">
        <v>50</v>
      </c>
    </row>
    <row r="656" spans="1:12">
      <c r="A656" t="s">
        <v>281</v>
      </c>
      <c r="B656" t="s">
        <v>29</v>
      </c>
      <c r="C656" t="s">
        <v>90</v>
      </c>
      <c r="D656">
        <v>3</v>
      </c>
      <c r="E656">
        <v>4</v>
      </c>
      <c r="F656">
        <v>1</v>
      </c>
      <c r="G656">
        <v>1</v>
      </c>
      <c r="H656">
        <v>0</v>
      </c>
      <c r="I656">
        <v>1</v>
      </c>
      <c r="J656">
        <v>1</v>
      </c>
      <c r="K656" t="s">
        <v>37</v>
      </c>
      <c r="L656" t="s">
        <v>50</v>
      </c>
    </row>
    <row r="657" spans="1:12">
      <c r="A657" t="s">
        <v>281</v>
      </c>
      <c r="B657" t="s">
        <v>29</v>
      </c>
      <c r="C657" t="s">
        <v>91</v>
      </c>
      <c r="D657">
        <v>3</v>
      </c>
      <c r="E657">
        <v>4</v>
      </c>
      <c r="F657">
        <v>1</v>
      </c>
      <c r="G657">
        <v>1</v>
      </c>
      <c r="H657">
        <v>0</v>
      </c>
      <c r="I657">
        <v>1</v>
      </c>
      <c r="J657">
        <v>1</v>
      </c>
      <c r="K657" t="s">
        <v>37</v>
      </c>
      <c r="L657" t="s">
        <v>50</v>
      </c>
    </row>
    <row r="658" spans="1:12">
      <c r="A658" t="s">
        <v>281</v>
      </c>
      <c r="B658" t="s">
        <v>29</v>
      </c>
      <c r="C658" t="s">
        <v>92</v>
      </c>
      <c r="D658">
        <v>3</v>
      </c>
      <c r="E658">
        <v>4</v>
      </c>
      <c r="F658">
        <v>1</v>
      </c>
      <c r="G658">
        <v>1</v>
      </c>
      <c r="H658">
        <v>0</v>
      </c>
      <c r="I658">
        <v>1</v>
      </c>
      <c r="J658">
        <v>1</v>
      </c>
      <c r="K658" t="s">
        <v>37</v>
      </c>
      <c r="L658" t="s">
        <v>50</v>
      </c>
    </row>
    <row r="659" spans="1:12">
      <c r="A659" t="s">
        <v>281</v>
      </c>
      <c r="B659" t="s">
        <v>29</v>
      </c>
      <c r="C659" t="s">
        <v>93</v>
      </c>
      <c r="D659">
        <v>3</v>
      </c>
      <c r="E659">
        <v>4</v>
      </c>
      <c r="F659">
        <v>1</v>
      </c>
      <c r="G659">
        <v>1</v>
      </c>
      <c r="H659">
        <v>0</v>
      </c>
      <c r="I659">
        <v>1</v>
      </c>
      <c r="J659">
        <v>1</v>
      </c>
      <c r="K659" t="s">
        <v>37</v>
      </c>
      <c r="L659" t="s">
        <v>50</v>
      </c>
    </row>
    <row r="660" spans="1:12">
      <c r="A660" t="s">
        <v>281</v>
      </c>
      <c r="B660" t="s">
        <v>29</v>
      </c>
      <c r="C660" t="s">
        <v>94</v>
      </c>
      <c r="D660">
        <v>2</v>
      </c>
      <c r="E660">
        <v>4</v>
      </c>
      <c r="F660">
        <v>2</v>
      </c>
      <c r="G660">
        <v>2</v>
      </c>
      <c r="H660">
        <v>0</v>
      </c>
      <c r="I660">
        <v>1</v>
      </c>
      <c r="J660">
        <v>1</v>
      </c>
      <c r="K660" t="s">
        <v>35</v>
      </c>
      <c r="L660" t="s">
        <v>50</v>
      </c>
    </row>
    <row r="661" spans="1:12">
      <c r="A661" t="s">
        <v>281</v>
      </c>
      <c r="B661" t="s">
        <v>29</v>
      </c>
      <c r="C661" t="s">
        <v>95</v>
      </c>
      <c r="D661">
        <v>2</v>
      </c>
      <c r="E661">
        <v>4</v>
      </c>
      <c r="F661">
        <v>2</v>
      </c>
      <c r="G661">
        <v>2</v>
      </c>
      <c r="H661">
        <v>0</v>
      </c>
      <c r="I661">
        <v>1</v>
      </c>
      <c r="J661">
        <v>1</v>
      </c>
      <c r="K661" t="s">
        <v>35</v>
      </c>
      <c r="L661" t="s">
        <v>50</v>
      </c>
    </row>
    <row r="662" spans="1:12">
      <c r="A662" t="s">
        <v>281</v>
      </c>
      <c r="B662" t="s">
        <v>29</v>
      </c>
      <c r="C662" t="s">
        <v>96</v>
      </c>
      <c r="D662">
        <v>2</v>
      </c>
      <c r="E662">
        <v>4</v>
      </c>
      <c r="F662">
        <v>2</v>
      </c>
      <c r="G662">
        <v>2</v>
      </c>
      <c r="H662">
        <v>0</v>
      </c>
      <c r="I662">
        <v>1</v>
      </c>
      <c r="J662">
        <v>1</v>
      </c>
      <c r="K662" t="s">
        <v>35</v>
      </c>
      <c r="L662" t="s">
        <v>40</v>
      </c>
    </row>
    <row r="663" spans="1:12">
      <c r="A663" t="s">
        <v>281</v>
      </c>
      <c r="B663" t="s">
        <v>29</v>
      </c>
      <c r="C663" t="s">
        <v>31</v>
      </c>
      <c r="D663">
        <v>2</v>
      </c>
      <c r="E663">
        <v>4</v>
      </c>
      <c r="F663">
        <v>2</v>
      </c>
      <c r="G663">
        <v>2</v>
      </c>
      <c r="H663">
        <v>0</v>
      </c>
      <c r="I663">
        <v>1</v>
      </c>
      <c r="J663">
        <v>1</v>
      </c>
      <c r="K663" t="s">
        <v>35</v>
      </c>
      <c r="L663" t="s">
        <v>40</v>
      </c>
    </row>
    <row r="664" spans="1:12">
      <c r="A664" t="s">
        <v>281</v>
      </c>
      <c r="B664" t="s">
        <v>29</v>
      </c>
      <c r="C664" t="s">
        <v>30</v>
      </c>
      <c r="D664">
        <v>2</v>
      </c>
      <c r="E664">
        <v>4</v>
      </c>
      <c r="F664">
        <v>2</v>
      </c>
      <c r="G664">
        <v>2</v>
      </c>
      <c r="H664">
        <v>0</v>
      </c>
      <c r="I664">
        <v>1</v>
      </c>
      <c r="J664">
        <v>1</v>
      </c>
      <c r="K664" t="s">
        <v>35</v>
      </c>
      <c r="L664" t="s">
        <v>40</v>
      </c>
    </row>
    <row r="665" spans="1:12">
      <c r="A665" t="s">
        <v>281</v>
      </c>
      <c r="B665" t="s">
        <v>29</v>
      </c>
      <c r="C665" t="s">
        <v>97</v>
      </c>
      <c r="D665">
        <v>3</v>
      </c>
      <c r="E665">
        <v>2.15</v>
      </c>
      <c r="F665">
        <v>-0.85000000000000009</v>
      </c>
      <c r="G665">
        <v>0.85000000000000009</v>
      </c>
      <c r="H665">
        <v>0</v>
      </c>
      <c r="I665">
        <v>1</v>
      </c>
      <c r="J665">
        <v>0</v>
      </c>
      <c r="K665" t="s">
        <v>34</v>
      </c>
      <c r="L665" t="s">
        <v>40</v>
      </c>
    </row>
    <row r="666" spans="1:12">
      <c r="A666" t="s">
        <v>281</v>
      </c>
      <c r="B666" t="s">
        <v>29</v>
      </c>
      <c r="C666" t="s">
        <v>98</v>
      </c>
      <c r="D666">
        <v>3</v>
      </c>
      <c r="E666">
        <v>2.15</v>
      </c>
      <c r="F666">
        <v>-0.85000000000000009</v>
      </c>
      <c r="G666">
        <v>0.85000000000000009</v>
      </c>
      <c r="H666">
        <v>0</v>
      </c>
      <c r="I666">
        <v>1</v>
      </c>
      <c r="J666">
        <v>0</v>
      </c>
      <c r="K666" t="s">
        <v>34</v>
      </c>
      <c r="L666" t="s">
        <v>40</v>
      </c>
    </row>
    <row r="667" spans="1:12">
      <c r="A667" t="s">
        <v>281</v>
      </c>
      <c r="B667" t="s">
        <v>29</v>
      </c>
      <c r="C667" t="s">
        <v>99</v>
      </c>
      <c r="D667">
        <v>3</v>
      </c>
      <c r="E667">
        <v>2.15</v>
      </c>
      <c r="F667">
        <v>-0.85000000000000009</v>
      </c>
      <c r="G667">
        <v>0.85000000000000009</v>
      </c>
      <c r="H667">
        <v>0</v>
      </c>
      <c r="I667">
        <v>1</v>
      </c>
      <c r="J667">
        <v>0</v>
      </c>
      <c r="K667" t="s">
        <v>34</v>
      </c>
      <c r="L667" t="s">
        <v>39</v>
      </c>
    </row>
    <row r="668" spans="1:12">
      <c r="A668" t="s">
        <v>281</v>
      </c>
      <c r="B668" t="s">
        <v>29</v>
      </c>
      <c r="C668" t="s">
        <v>100</v>
      </c>
      <c r="D668">
        <v>3</v>
      </c>
      <c r="E668">
        <v>2.15</v>
      </c>
      <c r="F668">
        <v>-0.85000000000000009</v>
      </c>
      <c r="G668">
        <v>0.85000000000000009</v>
      </c>
      <c r="H668">
        <v>0</v>
      </c>
      <c r="I668">
        <v>1</v>
      </c>
      <c r="J668">
        <v>0</v>
      </c>
      <c r="K668" t="s">
        <v>34</v>
      </c>
      <c r="L668" t="s">
        <v>39</v>
      </c>
    </row>
    <row r="669" spans="1:12">
      <c r="A669" t="s">
        <v>281</v>
      </c>
      <c r="B669" t="s">
        <v>29</v>
      </c>
      <c r="C669" t="s">
        <v>101</v>
      </c>
      <c r="D669">
        <v>2</v>
      </c>
      <c r="E669">
        <v>2.15</v>
      </c>
      <c r="F669">
        <v>0.14999999999999991</v>
      </c>
      <c r="G669">
        <v>0.14999999999999991</v>
      </c>
      <c r="H669">
        <v>0</v>
      </c>
      <c r="I669">
        <v>1</v>
      </c>
      <c r="J669">
        <v>0</v>
      </c>
      <c r="K669" t="s">
        <v>34</v>
      </c>
      <c r="L669" t="s">
        <v>39</v>
      </c>
    </row>
    <row r="670" spans="1:12">
      <c r="A670" t="s">
        <v>281</v>
      </c>
      <c r="B670" t="s">
        <v>29</v>
      </c>
      <c r="C670" t="s">
        <v>102</v>
      </c>
      <c r="D670">
        <v>2</v>
      </c>
      <c r="E670">
        <v>2.15</v>
      </c>
      <c r="F670">
        <v>0.14999999999999991</v>
      </c>
      <c r="G670">
        <v>0.14999999999999991</v>
      </c>
      <c r="H670">
        <v>0</v>
      </c>
      <c r="I670">
        <v>1</v>
      </c>
      <c r="J670">
        <v>0</v>
      </c>
      <c r="K670" t="s">
        <v>34</v>
      </c>
      <c r="L670" t="s">
        <v>39</v>
      </c>
    </row>
    <row r="671" spans="1:12">
      <c r="A671" t="s">
        <v>281</v>
      </c>
      <c r="B671" t="s">
        <v>29</v>
      </c>
      <c r="C671" t="s">
        <v>103</v>
      </c>
      <c r="D671">
        <v>2</v>
      </c>
      <c r="E671">
        <v>2.15</v>
      </c>
      <c r="F671">
        <v>0.14999999999999991</v>
      </c>
      <c r="G671">
        <v>0.14999999999999991</v>
      </c>
      <c r="H671">
        <v>0</v>
      </c>
      <c r="I671">
        <v>1</v>
      </c>
      <c r="J671">
        <v>0</v>
      </c>
      <c r="K671" t="s">
        <v>34</v>
      </c>
      <c r="L671" t="s">
        <v>39</v>
      </c>
    </row>
    <row r="672" spans="1:12">
      <c r="A672" t="s">
        <v>281</v>
      </c>
      <c r="B672" t="s">
        <v>29</v>
      </c>
      <c r="C672" t="s">
        <v>104</v>
      </c>
      <c r="D672">
        <v>2</v>
      </c>
      <c r="E672">
        <v>2.15</v>
      </c>
      <c r="F672">
        <v>0.14999999999999991</v>
      </c>
      <c r="G672">
        <v>0.14999999999999991</v>
      </c>
      <c r="H672">
        <v>0</v>
      </c>
      <c r="I672">
        <v>1</v>
      </c>
      <c r="J672">
        <v>0</v>
      </c>
      <c r="K672" t="s">
        <v>34</v>
      </c>
      <c r="L672" t="s">
        <v>41</v>
      </c>
    </row>
    <row r="673" spans="1:12">
      <c r="A673" t="s">
        <v>281</v>
      </c>
      <c r="B673" t="s">
        <v>29</v>
      </c>
      <c r="C673" t="s">
        <v>105</v>
      </c>
      <c r="D673">
        <v>2</v>
      </c>
      <c r="E673">
        <v>2.15</v>
      </c>
      <c r="F673">
        <v>0.14999999999999991</v>
      </c>
      <c r="G673">
        <v>0.14999999999999991</v>
      </c>
      <c r="H673">
        <v>0</v>
      </c>
      <c r="I673">
        <v>1</v>
      </c>
      <c r="J673">
        <v>0</v>
      </c>
      <c r="K673" t="s">
        <v>34</v>
      </c>
      <c r="L673" t="s">
        <v>41</v>
      </c>
    </row>
    <row r="674" spans="1:12">
      <c r="A674" t="s">
        <v>281</v>
      </c>
      <c r="B674" t="s">
        <v>29</v>
      </c>
      <c r="C674" t="s">
        <v>106</v>
      </c>
      <c r="D674">
        <v>2</v>
      </c>
      <c r="E674">
        <v>2.15</v>
      </c>
      <c r="F674">
        <v>0.14999999999999991</v>
      </c>
      <c r="G674">
        <v>0.14999999999999991</v>
      </c>
      <c r="H674">
        <v>0</v>
      </c>
      <c r="I674">
        <v>1</v>
      </c>
      <c r="J674">
        <v>0</v>
      </c>
      <c r="K674" t="s">
        <v>34</v>
      </c>
      <c r="L674" t="s">
        <v>41</v>
      </c>
    </row>
    <row r="675" spans="1:12">
      <c r="A675" t="s">
        <v>281</v>
      </c>
      <c r="B675" t="s">
        <v>29</v>
      </c>
      <c r="C675" t="s">
        <v>107</v>
      </c>
      <c r="D675">
        <v>2</v>
      </c>
      <c r="E675">
        <v>2.15</v>
      </c>
      <c r="F675">
        <v>0.14999999999999991</v>
      </c>
      <c r="G675">
        <v>0.14999999999999991</v>
      </c>
      <c r="H675">
        <v>0</v>
      </c>
      <c r="I675">
        <v>1</v>
      </c>
      <c r="J675">
        <v>0</v>
      </c>
      <c r="K675" t="s">
        <v>34</v>
      </c>
      <c r="L675" t="s">
        <v>41</v>
      </c>
    </row>
    <row r="676" spans="1:12">
      <c r="A676" t="s">
        <v>281</v>
      </c>
      <c r="B676" t="s">
        <v>29</v>
      </c>
      <c r="C676" t="s">
        <v>108</v>
      </c>
      <c r="D676">
        <v>2</v>
      </c>
      <c r="E676">
        <v>2.15</v>
      </c>
      <c r="F676">
        <v>0.14999999999999991</v>
      </c>
      <c r="G676">
        <v>0.14999999999999991</v>
      </c>
      <c r="H676">
        <v>0</v>
      </c>
      <c r="I676">
        <v>1</v>
      </c>
      <c r="J676">
        <v>0</v>
      </c>
      <c r="K676" t="s">
        <v>34</v>
      </c>
      <c r="L676" t="s">
        <v>41</v>
      </c>
    </row>
    <row r="677" spans="1:12">
      <c r="A677" t="s">
        <v>281</v>
      </c>
      <c r="B677" t="s">
        <v>29</v>
      </c>
      <c r="C677" t="s">
        <v>109</v>
      </c>
      <c r="D677">
        <v>2</v>
      </c>
      <c r="E677">
        <v>0.95</v>
      </c>
      <c r="F677">
        <v>-1.05</v>
      </c>
      <c r="G677">
        <v>1.05</v>
      </c>
      <c r="H677">
        <v>1</v>
      </c>
      <c r="I677">
        <v>0</v>
      </c>
      <c r="J677">
        <v>1</v>
      </c>
      <c r="K677" t="s">
        <v>33</v>
      </c>
      <c r="L677" t="s">
        <v>38</v>
      </c>
    </row>
    <row r="678" spans="1:12">
      <c r="A678" t="s">
        <v>281</v>
      </c>
      <c r="B678" t="s">
        <v>29</v>
      </c>
      <c r="C678" t="s">
        <v>110</v>
      </c>
      <c r="D678">
        <v>2</v>
      </c>
      <c r="E678">
        <v>0.95</v>
      </c>
      <c r="F678">
        <v>-1.05</v>
      </c>
      <c r="G678">
        <v>1.05</v>
      </c>
      <c r="H678">
        <v>1</v>
      </c>
      <c r="I678">
        <v>0</v>
      </c>
      <c r="J678">
        <v>1</v>
      </c>
      <c r="K678" t="s">
        <v>33</v>
      </c>
      <c r="L678" t="s">
        <v>38</v>
      </c>
    </row>
    <row r="679" spans="1:12">
      <c r="A679" t="s">
        <v>281</v>
      </c>
      <c r="B679" t="s">
        <v>29</v>
      </c>
      <c r="C679" t="s">
        <v>111</v>
      </c>
      <c r="D679">
        <v>2</v>
      </c>
      <c r="E679">
        <v>0.95</v>
      </c>
      <c r="F679">
        <v>-1.05</v>
      </c>
      <c r="G679">
        <v>1.05</v>
      </c>
      <c r="H679">
        <v>1</v>
      </c>
      <c r="I679">
        <v>0</v>
      </c>
      <c r="J679">
        <v>1</v>
      </c>
      <c r="K679" t="s">
        <v>33</v>
      </c>
      <c r="L679" t="s">
        <v>38</v>
      </c>
    </row>
    <row r="680" spans="1:12">
      <c r="A680" t="s">
        <v>281</v>
      </c>
      <c r="B680" t="s">
        <v>29</v>
      </c>
      <c r="C680" t="s">
        <v>112</v>
      </c>
      <c r="D680">
        <v>2</v>
      </c>
      <c r="E680">
        <v>0.95</v>
      </c>
      <c r="F680">
        <v>-1.05</v>
      </c>
      <c r="G680">
        <v>1.05</v>
      </c>
      <c r="H680">
        <v>1</v>
      </c>
      <c r="I680">
        <v>0</v>
      </c>
      <c r="J680">
        <v>1</v>
      </c>
      <c r="K680" t="s">
        <v>33</v>
      </c>
      <c r="L680" t="s">
        <v>38</v>
      </c>
    </row>
    <row r="681" spans="1:12">
      <c r="A681" t="s">
        <v>281</v>
      </c>
      <c r="B681" t="s">
        <v>29</v>
      </c>
      <c r="C681" t="s">
        <v>113</v>
      </c>
      <c r="D681">
        <v>2</v>
      </c>
      <c r="E681">
        <v>0.95</v>
      </c>
      <c r="F681">
        <v>-1.05</v>
      </c>
      <c r="G681">
        <v>1.05</v>
      </c>
      <c r="H681">
        <v>1</v>
      </c>
      <c r="I681">
        <v>0</v>
      </c>
      <c r="J681">
        <v>1</v>
      </c>
      <c r="K681" t="s">
        <v>33</v>
      </c>
      <c r="L681" t="s">
        <v>38</v>
      </c>
    </row>
    <row r="682" spans="1:12">
      <c r="A682" t="s">
        <v>281</v>
      </c>
      <c r="B682" t="s">
        <v>29</v>
      </c>
      <c r="C682" t="s">
        <v>114</v>
      </c>
      <c r="D682">
        <v>2</v>
      </c>
      <c r="E682">
        <v>0.95</v>
      </c>
      <c r="F682">
        <v>-1.05</v>
      </c>
      <c r="G682">
        <v>1.05</v>
      </c>
      <c r="H682">
        <v>1</v>
      </c>
      <c r="I682">
        <v>0</v>
      </c>
      <c r="J682">
        <v>1</v>
      </c>
      <c r="K682" t="s">
        <v>33</v>
      </c>
      <c r="L682" t="s">
        <v>38</v>
      </c>
    </row>
    <row r="683" spans="1:12">
      <c r="A683" t="s">
        <v>281</v>
      </c>
      <c r="B683" t="s">
        <v>29</v>
      </c>
      <c r="C683" t="s">
        <v>115</v>
      </c>
      <c r="D683">
        <v>1</v>
      </c>
      <c r="E683">
        <v>0.95</v>
      </c>
      <c r="F683">
        <v>-5.0000000000000044E-2</v>
      </c>
      <c r="G683">
        <v>5.0000000000000044E-2</v>
      </c>
      <c r="H683">
        <v>0</v>
      </c>
      <c r="I683">
        <v>1</v>
      </c>
      <c r="J683">
        <v>0</v>
      </c>
      <c r="K683" t="s">
        <v>34</v>
      </c>
      <c r="L683" t="s">
        <v>38</v>
      </c>
    </row>
    <row r="684" spans="1:12">
      <c r="A684" t="s">
        <v>281</v>
      </c>
      <c r="B684" t="s">
        <v>29</v>
      </c>
      <c r="C684" t="s">
        <v>116</v>
      </c>
      <c r="D684">
        <v>1</v>
      </c>
      <c r="E684">
        <v>0.95</v>
      </c>
      <c r="F684">
        <v>-5.0000000000000044E-2</v>
      </c>
      <c r="G684">
        <v>5.0000000000000044E-2</v>
      </c>
      <c r="H684">
        <v>0</v>
      </c>
      <c r="I684">
        <v>1</v>
      </c>
      <c r="J684">
        <v>0</v>
      </c>
      <c r="K684" t="s">
        <v>34</v>
      </c>
      <c r="L684" t="s">
        <v>38</v>
      </c>
    </row>
    <row r="685" spans="1:12">
      <c r="A685" t="s">
        <v>281</v>
      </c>
      <c r="B685" t="s">
        <v>29</v>
      </c>
      <c r="C685" t="s">
        <v>117</v>
      </c>
      <c r="D685">
        <v>2</v>
      </c>
      <c r="E685">
        <v>0.95</v>
      </c>
      <c r="F685">
        <v>-1.05</v>
      </c>
      <c r="G685">
        <v>1.05</v>
      </c>
      <c r="H685">
        <v>1</v>
      </c>
      <c r="I685">
        <v>0</v>
      </c>
      <c r="J685">
        <v>1</v>
      </c>
      <c r="K685" t="s">
        <v>33</v>
      </c>
      <c r="L685" t="s">
        <v>38</v>
      </c>
    </row>
    <row r="686" spans="1:12">
      <c r="A686" t="s">
        <v>281</v>
      </c>
      <c r="B686" t="s">
        <v>29</v>
      </c>
      <c r="C686" t="s">
        <v>118</v>
      </c>
      <c r="D686">
        <v>2</v>
      </c>
      <c r="E686">
        <v>0.95</v>
      </c>
      <c r="F686">
        <v>-1.05</v>
      </c>
      <c r="G686">
        <v>1.05</v>
      </c>
      <c r="H686">
        <v>1</v>
      </c>
      <c r="I686">
        <v>0</v>
      </c>
      <c r="J686">
        <v>1</v>
      </c>
      <c r="K686" t="s">
        <v>33</v>
      </c>
      <c r="L686" t="s">
        <v>38</v>
      </c>
    </row>
    <row r="687" spans="1:12">
      <c r="A687" t="s">
        <v>281</v>
      </c>
      <c r="B687" t="s">
        <v>29</v>
      </c>
      <c r="C687" t="s">
        <v>119</v>
      </c>
      <c r="D687">
        <v>2</v>
      </c>
      <c r="E687">
        <v>2.15</v>
      </c>
      <c r="F687">
        <v>0.14999999999999991</v>
      </c>
      <c r="G687">
        <v>0.14999999999999991</v>
      </c>
      <c r="H687">
        <v>0</v>
      </c>
      <c r="I687">
        <v>1</v>
      </c>
      <c r="J687">
        <v>0</v>
      </c>
      <c r="K687" t="s">
        <v>34</v>
      </c>
      <c r="L687" t="s">
        <v>44</v>
      </c>
    </row>
    <row r="688" spans="1:12">
      <c r="A688" t="s">
        <v>281</v>
      </c>
      <c r="B688" t="s">
        <v>29</v>
      </c>
      <c r="C688" t="s">
        <v>120</v>
      </c>
      <c r="D688">
        <v>2</v>
      </c>
      <c r="E688">
        <v>2.15</v>
      </c>
      <c r="F688">
        <v>0.14999999999999991</v>
      </c>
      <c r="G688">
        <v>0.14999999999999991</v>
      </c>
      <c r="H688">
        <v>0</v>
      </c>
      <c r="I688">
        <v>1</v>
      </c>
      <c r="J688">
        <v>0</v>
      </c>
      <c r="K688" t="s">
        <v>34</v>
      </c>
      <c r="L688" t="s">
        <v>44</v>
      </c>
    </row>
    <row r="689" spans="1:12">
      <c r="A689" t="s">
        <v>281</v>
      </c>
      <c r="B689" t="s">
        <v>29</v>
      </c>
      <c r="C689" t="s">
        <v>121</v>
      </c>
      <c r="D689">
        <v>2</v>
      </c>
      <c r="E689">
        <v>2.15</v>
      </c>
      <c r="F689">
        <v>0.14999999999999991</v>
      </c>
      <c r="G689">
        <v>0.14999999999999991</v>
      </c>
      <c r="H689">
        <v>0</v>
      </c>
      <c r="I689">
        <v>1</v>
      </c>
      <c r="J689">
        <v>0</v>
      </c>
      <c r="K689" t="s">
        <v>34</v>
      </c>
      <c r="L689" t="s">
        <v>44</v>
      </c>
    </row>
    <row r="690" spans="1:12">
      <c r="A690" t="s">
        <v>281</v>
      </c>
      <c r="B690" t="s">
        <v>29</v>
      </c>
      <c r="C690" t="s">
        <v>122</v>
      </c>
      <c r="D690">
        <v>2</v>
      </c>
      <c r="E690">
        <v>2.15</v>
      </c>
      <c r="F690">
        <v>0.14999999999999991</v>
      </c>
      <c r="G690">
        <v>0.14999999999999991</v>
      </c>
      <c r="H690">
        <v>0</v>
      </c>
      <c r="I690">
        <v>1</v>
      </c>
      <c r="J690">
        <v>0</v>
      </c>
      <c r="K690" t="s">
        <v>34</v>
      </c>
      <c r="L690" t="s">
        <v>44</v>
      </c>
    </row>
    <row r="691" spans="1:12">
      <c r="A691" t="s">
        <v>281</v>
      </c>
      <c r="B691" t="s">
        <v>29</v>
      </c>
      <c r="C691" t="s">
        <v>123</v>
      </c>
      <c r="D691">
        <v>1</v>
      </c>
      <c r="E691">
        <v>3</v>
      </c>
      <c r="F691">
        <v>2</v>
      </c>
      <c r="G691">
        <v>2</v>
      </c>
      <c r="H691">
        <v>0</v>
      </c>
      <c r="I691">
        <v>1</v>
      </c>
      <c r="J691">
        <v>1</v>
      </c>
      <c r="K691" t="s">
        <v>35</v>
      </c>
      <c r="L691" t="s">
        <v>44</v>
      </c>
    </row>
    <row r="692" spans="1:12">
      <c r="A692" t="s">
        <v>281</v>
      </c>
      <c r="B692" t="s">
        <v>29</v>
      </c>
      <c r="C692" t="s">
        <v>124</v>
      </c>
      <c r="D692">
        <v>2</v>
      </c>
      <c r="E692">
        <v>3</v>
      </c>
      <c r="F692">
        <v>1</v>
      </c>
      <c r="G692">
        <v>1</v>
      </c>
      <c r="H692">
        <v>0</v>
      </c>
      <c r="I692">
        <v>1</v>
      </c>
      <c r="J692">
        <v>1</v>
      </c>
      <c r="K692" t="s">
        <v>37</v>
      </c>
      <c r="L692" t="s">
        <v>45</v>
      </c>
    </row>
    <row r="693" spans="1:12">
      <c r="A693" t="s">
        <v>281</v>
      </c>
      <c r="B693" t="s">
        <v>29</v>
      </c>
      <c r="C693" t="s">
        <v>125</v>
      </c>
      <c r="D693">
        <v>2</v>
      </c>
      <c r="E693">
        <v>3</v>
      </c>
      <c r="F693">
        <v>1</v>
      </c>
      <c r="G693">
        <v>1</v>
      </c>
      <c r="H693">
        <v>0</v>
      </c>
      <c r="I693">
        <v>1</v>
      </c>
      <c r="J693">
        <v>1</v>
      </c>
      <c r="K693" t="s">
        <v>37</v>
      </c>
      <c r="L693" t="s">
        <v>45</v>
      </c>
    </row>
    <row r="694" spans="1:12">
      <c r="A694" t="s">
        <v>281</v>
      </c>
      <c r="B694" t="s">
        <v>29</v>
      </c>
      <c r="C694" t="s">
        <v>126</v>
      </c>
      <c r="D694">
        <v>2</v>
      </c>
      <c r="E694">
        <v>3</v>
      </c>
      <c r="F694">
        <v>1</v>
      </c>
      <c r="G694">
        <v>1</v>
      </c>
      <c r="H694">
        <v>0</v>
      </c>
      <c r="I694">
        <v>1</v>
      </c>
      <c r="J694">
        <v>1</v>
      </c>
      <c r="K694" t="s">
        <v>37</v>
      </c>
      <c r="L694" t="s">
        <v>45</v>
      </c>
    </row>
    <row r="695" spans="1:12">
      <c r="A695" t="s">
        <v>281</v>
      </c>
      <c r="B695" t="s">
        <v>29</v>
      </c>
      <c r="C695" t="s">
        <v>127</v>
      </c>
      <c r="D695">
        <v>2</v>
      </c>
      <c r="E695">
        <v>1.61</v>
      </c>
      <c r="F695">
        <v>-0.3899999999999999</v>
      </c>
      <c r="G695">
        <v>0.3899999999999999</v>
      </c>
      <c r="H695">
        <v>0</v>
      </c>
      <c r="I695">
        <v>1</v>
      </c>
      <c r="J695">
        <v>0</v>
      </c>
      <c r="K695" t="s">
        <v>34</v>
      </c>
      <c r="L695" t="s">
        <v>45</v>
      </c>
    </row>
    <row r="696" spans="1:12">
      <c r="A696" t="s">
        <v>281</v>
      </c>
      <c r="B696" t="s">
        <v>29</v>
      </c>
      <c r="C696" t="s">
        <v>128</v>
      </c>
      <c r="D696">
        <v>2</v>
      </c>
      <c r="E696">
        <v>1.61</v>
      </c>
      <c r="F696">
        <v>-0.3899999999999999</v>
      </c>
      <c r="G696">
        <v>0.3899999999999999</v>
      </c>
      <c r="H696">
        <v>0</v>
      </c>
      <c r="I696">
        <v>1</v>
      </c>
      <c r="J696">
        <v>0</v>
      </c>
      <c r="K696" t="s">
        <v>34</v>
      </c>
      <c r="L696" t="s">
        <v>45</v>
      </c>
    </row>
    <row r="697" spans="1:12">
      <c r="A697" t="s">
        <v>281</v>
      </c>
      <c r="B697" t="s">
        <v>29</v>
      </c>
      <c r="C697" t="s">
        <v>129</v>
      </c>
      <c r="D697">
        <v>2</v>
      </c>
      <c r="E697">
        <v>1.61</v>
      </c>
      <c r="F697">
        <v>-0.3899999999999999</v>
      </c>
      <c r="G697">
        <v>0.3899999999999999</v>
      </c>
      <c r="H697">
        <v>0</v>
      </c>
      <c r="I697">
        <v>1</v>
      </c>
      <c r="J697">
        <v>0</v>
      </c>
      <c r="K697" t="s">
        <v>34</v>
      </c>
      <c r="L697" t="s">
        <v>46</v>
      </c>
    </row>
    <row r="698" spans="1:12">
      <c r="A698" t="s">
        <v>281</v>
      </c>
      <c r="B698" t="s">
        <v>29</v>
      </c>
      <c r="C698" t="s">
        <v>130</v>
      </c>
      <c r="D698">
        <v>2</v>
      </c>
      <c r="E698">
        <v>1.61</v>
      </c>
      <c r="F698">
        <v>-0.3899999999999999</v>
      </c>
      <c r="G698">
        <v>0.3899999999999999</v>
      </c>
      <c r="H698">
        <v>0</v>
      </c>
      <c r="I698">
        <v>1</v>
      </c>
      <c r="J698">
        <v>0</v>
      </c>
      <c r="K698" t="s">
        <v>34</v>
      </c>
      <c r="L698" t="s">
        <v>46</v>
      </c>
    </row>
    <row r="699" spans="1:12">
      <c r="A699" t="s">
        <v>281</v>
      </c>
      <c r="B699" t="s">
        <v>29</v>
      </c>
      <c r="C699" t="s">
        <v>131</v>
      </c>
      <c r="D699">
        <v>2</v>
      </c>
      <c r="E699">
        <v>1.61</v>
      </c>
      <c r="F699">
        <v>-0.3899999999999999</v>
      </c>
      <c r="G699">
        <v>0.3899999999999999</v>
      </c>
      <c r="H699">
        <v>0</v>
      </c>
      <c r="I699">
        <v>1</v>
      </c>
      <c r="J699">
        <v>0</v>
      </c>
      <c r="K699" t="s">
        <v>34</v>
      </c>
      <c r="L699" t="s">
        <v>46</v>
      </c>
    </row>
    <row r="700" spans="1:12">
      <c r="A700" t="s">
        <v>281</v>
      </c>
      <c r="B700" t="s">
        <v>29</v>
      </c>
      <c r="C700" t="s">
        <v>132</v>
      </c>
      <c r="D700">
        <v>1</v>
      </c>
      <c r="E700">
        <v>1.61</v>
      </c>
      <c r="F700">
        <v>0.6100000000000001</v>
      </c>
      <c r="G700">
        <v>0.6100000000000001</v>
      </c>
      <c r="H700">
        <v>0</v>
      </c>
      <c r="I700">
        <v>1</v>
      </c>
      <c r="J700">
        <v>0</v>
      </c>
      <c r="K700" t="s">
        <v>34</v>
      </c>
      <c r="L700" t="s">
        <v>46</v>
      </c>
    </row>
    <row r="701" spans="1:12">
      <c r="A701" t="s">
        <v>281</v>
      </c>
      <c r="B701" t="s">
        <v>29</v>
      </c>
      <c r="C701" t="s">
        <v>133</v>
      </c>
      <c r="D701">
        <v>1</v>
      </c>
      <c r="E701">
        <v>0.95</v>
      </c>
      <c r="F701">
        <v>-5.0000000000000044E-2</v>
      </c>
      <c r="G701">
        <v>5.0000000000000044E-2</v>
      </c>
      <c r="H701">
        <v>0</v>
      </c>
      <c r="I701">
        <v>1</v>
      </c>
      <c r="J701">
        <v>0</v>
      </c>
      <c r="K701" t="s">
        <v>34</v>
      </c>
      <c r="L701" t="s">
        <v>46</v>
      </c>
    </row>
    <row r="702" spans="1:12">
      <c r="A702" t="s">
        <v>281</v>
      </c>
      <c r="B702" t="s">
        <v>29</v>
      </c>
      <c r="C702" t="s">
        <v>134</v>
      </c>
      <c r="D702">
        <v>2</v>
      </c>
      <c r="E702">
        <v>0.95</v>
      </c>
      <c r="F702">
        <v>-1.05</v>
      </c>
      <c r="G702">
        <v>1.05</v>
      </c>
      <c r="H702">
        <v>1</v>
      </c>
      <c r="I702">
        <v>0</v>
      </c>
      <c r="J702">
        <v>1</v>
      </c>
      <c r="K702" t="s">
        <v>33</v>
      </c>
      <c r="L702" t="s">
        <v>47</v>
      </c>
    </row>
    <row r="703" spans="1:12">
      <c r="A703" t="s">
        <v>281</v>
      </c>
      <c r="B703" t="s">
        <v>29</v>
      </c>
      <c r="C703" t="s">
        <v>135</v>
      </c>
      <c r="D703">
        <v>2</v>
      </c>
      <c r="E703">
        <v>0.95</v>
      </c>
      <c r="F703">
        <v>-1.05</v>
      </c>
      <c r="G703">
        <v>1.05</v>
      </c>
      <c r="H703">
        <v>1</v>
      </c>
      <c r="I703">
        <v>0</v>
      </c>
      <c r="J703">
        <v>1</v>
      </c>
      <c r="K703" t="s">
        <v>33</v>
      </c>
      <c r="L703" t="s">
        <v>47</v>
      </c>
    </row>
    <row r="704" spans="1:12">
      <c r="A704" t="s">
        <v>281</v>
      </c>
      <c r="B704" t="s">
        <v>29</v>
      </c>
      <c r="C704" t="s">
        <v>136</v>
      </c>
      <c r="D704">
        <v>2</v>
      </c>
      <c r="E704">
        <v>0.95</v>
      </c>
      <c r="F704">
        <v>-1.05</v>
      </c>
      <c r="G704">
        <v>1.05</v>
      </c>
      <c r="H704">
        <v>1</v>
      </c>
      <c r="I704">
        <v>0</v>
      </c>
      <c r="J704">
        <v>1</v>
      </c>
      <c r="K704" t="s">
        <v>33</v>
      </c>
      <c r="L704" t="s">
        <v>47</v>
      </c>
    </row>
    <row r="705" spans="1:12">
      <c r="A705" t="s">
        <v>281</v>
      </c>
      <c r="B705" t="s">
        <v>29</v>
      </c>
      <c r="C705" t="s">
        <v>137</v>
      </c>
      <c r="D705">
        <v>2</v>
      </c>
      <c r="E705">
        <v>0.95</v>
      </c>
      <c r="F705">
        <v>-1.05</v>
      </c>
      <c r="G705">
        <v>1.05</v>
      </c>
      <c r="H705">
        <v>1</v>
      </c>
      <c r="I705">
        <v>0</v>
      </c>
      <c r="J705">
        <v>1</v>
      </c>
      <c r="K705" t="s">
        <v>33</v>
      </c>
      <c r="L705" t="s">
        <v>47</v>
      </c>
    </row>
    <row r="706" spans="1:12">
      <c r="A706" t="s">
        <v>281</v>
      </c>
      <c r="B706" t="s">
        <v>29</v>
      </c>
      <c r="C706" t="s">
        <v>138</v>
      </c>
      <c r="D706">
        <v>2</v>
      </c>
      <c r="E706">
        <v>0.95</v>
      </c>
      <c r="F706">
        <v>-1.05</v>
      </c>
      <c r="G706">
        <v>1.05</v>
      </c>
      <c r="H706">
        <v>1</v>
      </c>
      <c r="I706">
        <v>0</v>
      </c>
      <c r="J706">
        <v>1</v>
      </c>
      <c r="K706" t="s">
        <v>33</v>
      </c>
      <c r="L706" t="s">
        <v>47</v>
      </c>
    </row>
    <row r="707" spans="1:12">
      <c r="A707" t="s">
        <v>281</v>
      </c>
      <c r="B707" t="s">
        <v>29</v>
      </c>
      <c r="C707" t="s">
        <v>139</v>
      </c>
      <c r="D707">
        <v>2</v>
      </c>
      <c r="E707">
        <v>0.95</v>
      </c>
      <c r="F707">
        <v>-1.05</v>
      </c>
      <c r="G707">
        <v>1.05</v>
      </c>
      <c r="H707">
        <v>1</v>
      </c>
      <c r="I707">
        <v>0</v>
      </c>
      <c r="J707">
        <v>1</v>
      </c>
      <c r="K707" t="s">
        <v>33</v>
      </c>
      <c r="L707" t="s">
        <v>42</v>
      </c>
    </row>
    <row r="708" spans="1:12">
      <c r="A708" t="s">
        <v>281</v>
      </c>
      <c r="B708" t="s">
        <v>29</v>
      </c>
      <c r="C708" t="s">
        <v>140</v>
      </c>
      <c r="D708">
        <v>1</v>
      </c>
      <c r="E708">
        <v>0.95</v>
      </c>
      <c r="F708">
        <v>-5.0000000000000044E-2</v>
      </c>
      <c r="G708">
        <v>5.0000000000000044E-2</v>
      </c>
      <c r="H708">
        <v>0</v>
      </c>
      <c r="I708">
        <v>1</v>
      </c>
      <c r="J708">
        <v>0</v>
      </c>
      <c r="K708" t="s">
        <v>34</v>
      </c>
      <c r="L708" t="s">
        <v>42</v>
      </c>
    </row>
    <row r="709" spans="1:12">
      <c r="A709" t="s">
        <v>281</v>
      </c>
      <c r="B709" t="s">
        <v>29</v>
      </c>
      <c r="C709" t="s">
        <v>141</v>
      </c>
      <c r="D709">
        <v>2</v>
      </c>
      <c r="E709">
        <v>0.95</v>
      </c>
      <c r="F709">
        <v>-1.05</v>
      </c>
      <c r="G709">
        <v>1.05</v>
      </c>
      <c r="H709">
        <v>1</v>
      </c>
      <c r="I709">
        <v>0</v>
      </c>
      <c r="J709">
        <v>1</v>
      </c>
      <c r="K709" t="s">
        <v>33</v>
      </c>
      <c r="L709" t="s">
        <v>42</v>
      </c>
    </row>
    <row r="710" spans="1:12">
      <c r="A710" t="s">
        <v>281</v>
      </c>
      <c r="B710" t="s">
        <v>29</v>
      </c>
      <c r="C710" t="s">
        <v>142</v>
      </c>
      <c r="D710">
        <v>3</v>
      </c>
      <c r="E710">
        <v>0.95</v>
      </c>
      <c r="F710">
        <v>-2.0499999999999998</v>
      </c>
      <c r="G710">
        <v>2.0499999999999998</v>
      </c>
      <c r="H710">
        <v>1</v>
      </c>
      <c r="I710">
        <v>0</v>
      </c>
      <c r="J710">
        <v>1</v>
      </c>
      <c r="K710" t="s">
        <v>36</v>
      </c>
      <c r="L710" t="s">
        <v>42</v>
      </c>
    </row>
    <row r="711" spans="1:12">
      <c r="A711" t="s">
        <v>281</v>
      </c>
      <c r="B711" t="s">
        <v>29</v>
      </c>
      <c r="C711" t="s">
        <v>143</v>
      </c>
      <c r="D711">
        <v>4</v>
      </c>
      <c r="E711">
        <v>1.61</v>
      </c>
      <c r="F711">
        <v>-2.3899999999999997</v>
      </c>
      <c r="G711">
        <v>2.3899999999999997</v>
      </c>
      <c r="H711">
        <v>1</v>
      </c>
      <c r="I711">
        <v>0</v>
      </c>
      <c r="J711">
        <v>1</v>
      </c>
      <c r="K711" t="s">
        <v>36</v>
      </c>
      <c r="L711" t="s">
        <v>42</v>
      </c>
    </row>
    <row r="712" spans="1:12">
      <c r="A712" t="s">
        <v>281</v>
      </c>
      <c r="B712" t="s">
        <v>29</v>
      </c>
      <c r="C712" t="s">
        <v>144</v>
      </c>
      <c r="D712">
        <v>4</v>
      </c>
      <c r="E712">
        <v>1.61</v>
      </c>
      <c r="F712">
        <v>-2.3899999999999997</v>
      </c>
      <c r="G712">
        <v>2.3899999999999997</v>
      </c>
      <c r="H712">
        <v>1</v>
      </c>
      <c r="I712">
        <v>0</v>
      </c>
      <c r="J712">
        <v>1</v>
      </c>
      <c r="K712" t="s">
        <v>36</v>
      </c>
      <c r="L712" t="s">
        <v>43</v>
      </c>
    </row>
    <row r="713" spans="1:12">
      <c r="A713" t="s">
        <v>281</v>
      </c>
      <c r="B713" t="s">
        <v>29</v>
      </c>
      <c r="C713" t="s">
        <v>145</v>
      </c>
      <c r="D713">
        <v>4</v>
      </c>
      <c r="E713">
        <v>1.61</v>
      </c>
      <c r="F713">
        <v>-2.3899999999999997</v>
      </c>
      <c r="G713">
        <v>2.3899999999999997</v>
      </c>
      <c r="H713">
        <v>1</v>
      </c>
      <c r="I713">
        <v>0</v>
      </c>
      <c r="J713">
        <v>1</v>
      </c>
      <c r="K713" t="s">
        <v>36</v>
      </c>
      <c r="L713" t="s">
        <v>43</v>
      </c>
    </row>
    <row r="714" spans="1:12">
      <c r="A714" t="s">
        <v>281</v>
      </c>
      <c r="B714" t="s">
        <v>29</v>
      </c>
      <c r="C714" t="s">
        <v>146</v>
      </c>
      <c r="D714">
        <v>4</v>
      </c>
      <c r="E714">
        <v>1.61</v>
      </c>
      <c r="F714">
        <v>-2.3899999999999997</v>
      </c>
      <c r="G714">
        <v>2.3899999999999997</v>
      </c>
      <c r="H714">
        <v>1</v>
      </c>
      <c r="I714">
        <v>0</v>
      </c>
      <c r="J714">
        <v>1</v>
      </c>
      <c r="K714" t="s">
        <v>36</v>
      </c>
      <c r="L714" t="s">
        <v>43</v>
      </c>
    </row>
    <row r="715" spans="1:12">
      <c r="A715" t="s">
        <v>281</v>
      </c>
      <c r="B715" t="s">
        <v>29</v>
      </c>
      <c r="C715" t="s">
        <v>147</v>
      </c>
      <c r="D715">
        <v>4</v>
      </c>
      <c r="E715">
        <v>1.61</v>
      </c>
      <c r="F715">
        <v>-2.3899999999999997</v>
      </c>
      <c r="G715">
        <v>2.3899999999999997</v>
      </c>
      <c r="H715">
        <v>1</v>
      </c>
      <c r="I715">
        <v>0</v>
      </c>
      <c r="J715">
        <v>1</v>
      </c>
      <c r="K715" t="s">
        <v>36</v>
      </c>
      <c r="L715" t="s">
        <v>43</v>
      </c>
    </row>
    <row r="716" spans="1:12">
      <c r="A716" t="s">
        <v>281</v>
      </c>
      <c r="B716" t="s">
        <v>29</v>
      </c>
      <c r="C716" t="s">
        <v>148</v>
      </c>
      <c r="D716">
        <v>5</v>
      </c>
      <c r="E716">
        <v>1.61</v>
      </c>
      <c r="F716">
        <v>-3.3899999999999997</v>
      </c>
      <c r="G716">
        <v>3.3899999999999997</v>
      </c>
      <c r="H716">
        <v>1</v>
      </c>
      <c r="I716">
        <v>0</v>
      </c>
      <c r="J716">
        <v>1</v>
      </c>
      <c r="K716" t="s">
        <v>36</v>
      </c>
      <c r="L716" t="s">
        <v>43</v>
      </c>
    </row>
    <row r="717" spans="1:12">
      <c r="A717" t="s">
        <v>281</v>
      </c>
      <c r="B717" t="s">
        <v>29</v>
      </c>
      <c r="C717" t="s">
        <v>149</v>
      </c>
      <c r="D717">
        <v>5</v>
      </c>
      <c r="E717">
        <v>1.61</v>
      </c>
      <c r="F717">
        <v>-3.3899999999999997</v>
      </c>
      <c r="G717">
        <v>3.3899999999999997</v>
      </c>
      <c r="H717">
        <v>1</v>
      </c>
      <c r="I717">
        <v>0</v>
      </c>
      <c r="J717">
        <v>1</v>
      </c>
      <c r="K717" t="s">
        <v>36</v>
      </c>
      <c r="L717" t="s">
        <v>48</v>
      </c>
    </row>
    <row r="718" spans="1:12">
      <c r="A718" t="s">
        <v>281</v>
      </c>
      <c r="B718" t="s">
        <v>29</v>
      </c>
      <c r="C718" t="s">
        <v>150</v>
      </c>
      <c r="D718">
        <v>5</v>
      </c>
      <c r="E718">
        <v>1.61</v>
      </c>
      <c r="F718">
        <v>-3.3899999999999997</v>
      </c>
      <c r="G718">
        <v>3.3899999999999997</v>
      </c>
      <c r="H718">
        <v>1</v>
      </c>
      <c r="I718">
        <v>0</v>
      </c>
      <c r="J718">
        <v>1</v>
      </c>
      <c r="K718" t="s">
        <v>36</v>
      </c>
      <c r="L718" t="s">
        <v>48</v>
      </c>
    </row>
    <row r="719" spans="1:12">
      <c r="A719" t="s">
        <v>281</v>
      </c>
      <c r="B719" t="s">
        <v>29</v>
      </c>
      <c r="C719" t="s">
        <v>151</v>
      </c>
      <c r="D719">
        <v>5</v>
      </c>
      <c r="E719">
        <v>1.61</v>
      </c>
      <c r="F719">
        <v>-3.3899999999999997</v>
      </c>
      <c r="G719">
        <v>3.3899999999999997</v>
      </c>
      <c r="H719">
        <v>1</v>
      </c>
      <c r="I719">
        <v>0</v>
      </c>
      <c r="J719">
        <v>1</v>
      </c>
      <c r="K719" t="s">
        <v>36</v>
      </c>
      <c r="L719" t="s">
        <v>48</v>
      </c>
    </row>
    <row r="720" spans="1:12">
      <c r="A720" t="s">
        <v>281</v>
      </c>
      <c r="B720" t="s">
        <v>29</v>
      </c>
      <c r="C720" t="s">
        <v>152</v>
      </c>
      <c r="D720">
        <v>5</v>
      </c>
      <c r="E720">
        <v>1.61</v>
      </c>
      <c r="F720">
        <v>-3.3899999999999997</v>
      </c>
      <c r="G720">
        <v>3.3899999999999997</v>
      </c>
      <c r="H720">
        <v>1</v>
      </c>
      <c r="I720">
        <v>0</v>
      </c>
      <c r="J720">
        <v>1</v>
      </c>
      <c r="K720" t="s">
        <v>36</v>
      </c>
      <c r="L720" t="s">
        <v>48</v>
      </c>
    </row>
    <row r="721" spans="1:12">
      <c r="A721" t="s">
        <v>281</v>
      </c>
      <c r="B721" t="s">
        <v>29</v>
      </c>
      <c r="C721" t="s">
        <v>153</v>
      </c>
      <c r="D721">
        <v>5</v>
      </c>
      <c r="E721">
        <v>1.61</v>
      </c>
      <c r="F721">
        <v>-3.3899999999999997</v>
      </c>
      <c r="G721">
        <v>3.3899999999999997</v>
      </c>
      <c r="H721">
        <v>1</v>
      </c>
      <c r="I721">
        <v>0</v>
      </c>
      <c r="J721">
        <v>1</v>
      </c>
      <c r="K721" t="s">
        <v>36</v>
      </c>
      <c r="L721" t="s">
        <v>48</v>
      </c>
    </row>
    <row r="722" spans="1:12">
      <c r="A722" t="s">
        <v>284</v>
      </c>
      <c r="B722" t="s">
        <v>29</v>
      </c>
      <c r="C722" t="s">
        <v>76</v>
      </c>
      <c r="D722">
        <v>5</v>
      </c>
      <c r="E722">
        <v>5</v>
      </c>
      <c r="F722">
        <v>0</v>
      </c>
      <c r="G722">
        <v>0</v>
      </c>
      <c r="H722">
        <v>0</v>
      </c>
      <c r="I722">
        <v>1</v>
      </c>
      <c r="J722">
        <v>0</v>
      </c>
      <c r="K722" t="s">
        <v>34</v>
      </c>
      <c r="L722" t="s">
        <v>49</v>
      </c>
    </row>
    <row r="723" spans="1:12">
      <c r="A723" t="s">
        <v>284</v>
      </c>
      <c r="B723" t="s">
        <v>29</v>
      </c>
      <c r="C723" t="s">
        <v>77</v>
      </c>
      <c r="D723">
        <v>4</v>
      </c>
      <c r="E723">
        <v>4</v>
      </c>
      <c r="F723">
        <v>0</v>
      </c>
      <c r="G723">
        <v>0</v>
      </c>
      <c r="H723">
        <v>0</v>
      </c>
      <c r="I723">
        <v>1</v>
      </c>
      <c r="J723">
        <v>0</v>
      </c>
      <c r="K723" t="s">
        <v>34</v>
      </c>
      <c r="L723" t="s">
        <v>49</v>
      </c>
    </row>
    <row r="724" spans="1:12">
      <c r="A724" t="s">
        <v>284</v>
      </c>
      <c r="B724" t="s">
        <v>29</v>
      </c>
      <c r="C724" t="s">
        <v>78</v>
      </c>
      <c r="D724">
        <v>2</v>
      </c>
      <c r="E724">
        <v>4</v>
      </c>
      <c r="F724">
        <v>2</v>
      </c>
      <c r="G724">
        <v>2</v>
      </c>
      <c r="H724">
        <v>0</v>
      </c>
      <c r="I724">
        <v>1</v>
      </c>
      <c r="J724">
        <v>1</v>
      </c>
      <c r="K724" t="s">
        <v>35</v>
      </c>
      <c r="L724" t="s">
        <v>49</v>
      </c>
    </row>
    <row r="725" spans="1:12">
      <c r="A725" t="s">
        <v>284</v>
      </c>
      <c r="B725" t="s">
        <v>29</v>
      </c>
      <c r="C725" t="s">
        <v>79</v>
      </c>
      <c r="D725">
        <v>5</v>
      </c>
      <c r="E725">
        <v>0.95</v>
      </c>
      <c r="F725">
        <v>-4.05</v>
      </c>
      <c r="G725">
        <v>4.05</v>
      </c>
      <c r="H725">
        <v>1</v>
      </c>
      <c r="I725">
        <v>0</v>
      </c>
      <c r="J725">
        <v>1</v>
      </c>
      <c r="K725" t="s">
        <v>36</v>
      </c>
      <c r="L725" t="s">
        <v>49</v>
      </c>
    </row>
    <row r="726" spans="1:12">
      <c r="A726" t="s">
        <v>284</v>
      </c>
      <c r="B726" t="s">
        <v>29</v>
      </c>
      <c r="C726" t="s">
        <v>80</v>
      </c>
      <c r="D726">
        <v>5</v>
      </c>
      <c r="E726">
        <v>0.95</v>
      </c>
      <c r="F726">
        <v>-4.05</v>
      </c>
      <c r="G726">
        <v>4.05</v>
      </c>
      <c r="H726">
        <v>1</v>
      </c>
      <c r="I726">
        <v>0</v>
      </c>
      <c r="J726">
        <v>1</v>
      </c>
      <c r="K726" t="s">
        <v>36</v>
      </c>
      <c r="L726" t="s">
        <v>49</v>
      </c>
    </row>
    <row r="727" spans="1:12">
      <c r="A727" t="s">
        <v>284</v>
      </c>
      <c r="B727" t="s">
        <v>29</v>
      </c>
      <c r="C727" t="s">
        <v>81</v>
      </c>
      <c r="D727">
        <v>4</v>
      </c>
      <c r="E727">
        <v>5</v>
      </c>
      <c r="F727">
        <v>1</v>
      </c>
      <c r="G727">
        <v>1</v>
      </c>
      <c r="H727">
        <v>0</v>
      </c>
      <c r="I727">
        <v>1</v>
      </c>
      <c r="J727">
        <v>1</v>
      </c>
      <c r="K727" t="s">
        <v>37</v>
      </c>
      <c r="L727" t="s">
        <v>49</v>
      </c>
    </row>
    <row r="728" spans="1:12">
      <c r="A728" t="s">
        <v>284</v>
      </c>
      <c r="B728" t="s">
        <v>29</v>
      </c>
      <c r="C728" t="s">
        <v>82</v>
      </c>
      <c r="D728">
        <v>4</v>
      </c>
      <c r="E728">
        <v>5</v>
      </c>
      <c r="F728">
        <v>1</v>
      </c>
      <c r="G728">
        <v>1</v>
      </c>
      <c r="H728">
        <v>0</v>
      </c>
      <c r="I728">
        <v>1</v>
      </c>
      <c r="J728">
        <v>1</v>
      </c>
      <c r="K728" t="s">
        <v>37</v>
      </c>
      <c r="L728" t="s">
        <v>49</v>
      </c>
    </row>
    <row r="729" spans="1:12">
      <c r="A729" t="s">
        <v>284</v>
      </c>
      <c r="B729" t="s">
        <v>29</v>
      </c>
      <c r="C729" t="s">
        <v>83</v>
      </c>
      <c r="D729">
        <v>5</v>
      </c>
      <c r="E729">
        <v>5</v>
      </c>
      <c r="F729">
        <v>0</v>
      </c>
      <c r="G729">
        <v>0</v>
      </c>
      <c r="H729">
        <v>0</v>
      </c>
      <c r="I729">
        <v>1</v>
      </c>
      <c r="J729">
        <v>0</v>
      </c>
      <c r="K729" t="s">
        <v>34</v>
      </c>
      <c r="L729" t="s">
        <v>49</v>
      </c>
    </row>
    <row r="730" spans="1:12">
      <c r="A730" t="s">
        <v>284</v>
      </c>
      <c r="B730" t="s">
        <v>29</v>
      </c>
      <c r="C730" t="s">
        <v>84</v>
      </c>
      <c r="D730">
        <v>3</v>
      </c>
      <c r="E730">
        <v>5</v>
      </c>
      <c r="F730">
        <v>2</v>
      </c>
      <c r="G730">
        <v>2</v>
      </c>
      <c r="H730">
        <v>0</v>
      </c>
      <c r="I730">
        <v>1</v>
      </c>
      <c r="J730">
        <v>1</v>
      </c>
      <c r="K730" t="s">
        <v>35</v>
      </c>
      <c r="L730" t="s">
        <v>49</v>
      </c>
    </row>
    <row r="731" spans="1:12">
      <c r="A731" t="s">
        <v>284</v>
      </c>
      <c r="B731" t="s">
        <v>29</v>
      </c>
      <c r="C731" t="s">
        <v>85</v>
      </c>
      <c r="D731">
        <v>4</v>
      </c>
      <c r="E731">
        <v>4</v>
      </c>
      <c r="F731">
        <v>0</v>
      </c>
      <c r="G731">
        <v>0</v>
      </c>
      <c r="H731">
        <v>0</v>
      </c>
      <c r="I731">
        <v>1</v>
      </c>
      <c r="J731">
        <v>0</v>
      </c>
      <c r="K731" t="s">
        <v>34</v>
      </c>
      <c r="L731" t="s">
        <v>49</v>
      </c>
    </row>
    <row r="732" spans="1:12">
      <c r="A732" t="s">
        <v>284</v>
      </c>
      <c r="B732" t="s">
        <v>29</v>
      </c>
      <c r="C732" t="s">
        <v>86</v>
      </c>
      <c r="D732">
        <v>4</v>
      </c>
      <c r="E732">
        <v>4</v>
      </c>
      <c r="F732">
        <v>0</v>
      </c>
      <c r="G732">
        <v>0</v>
      </c>
      <c r="H732">
        <v>0</v>
      </c>
      <c r="I732">
        <v>1</v>
      </c>
      <c r="J732">
        <v>0</v>
      </c>
      <c r="K732" t="s">
        <v>34</v>
      </c>
      <c r="L732" t="s">
        <v>50</v>
      </c>
    </row>
    <row r="733" spans="1:12">
      <c r="A733" t="s">
        <v>284</v>
      </c>
      <c r="B733" t="s">
        <v>29</v>
      </c>
      <c r="C733" t="s">
        <v>87</v>
      </c>
      <c r="D733">
        <v>3</v>
      </c>
      <c r="E733">
        <v>4</v>
      </c>
      <c r="F733">
        <v>1</v>
      </c>
      <c r="G733">
        <v>1</v>
      </c>
      <c r="H733">
        <v>0</v>
      </c>
      <c r="I733">
        <v>1</v>
      </c>
      <c r="J733">
        <v>1</v>
      </c>
      <c r="K733" t="s">
        <v>37</v>
      </c>
      <c r="L733" t="s">
        <v>50</v>
      </c>
    </row>
    <row r="734" spans="1:12">
      <c r="A734" t="s">
        <v>284</v>
      </c>
      <c r="B734" t="s">
        <v>29</v>
      </c>
      <c r="C734" t="s">
        <v>88</v>
      </c>
      <c r="D734">
        <v>4</v>
      </c>
      <c r="E734">
        <v>4</v>
      </c>
      <c r="F734">
        <v>0</v>
      </c>
      <c r="G734">
        <v>0</v>
      </c>
      <c r="H734">
        <v>0</v>
      </c>
      <c r="I734">
        <v>1</v>
      </c>
      <c r="J734">
        <v>0</v>
      </c>
      <c r="K734" t="s">
        <v>34</v>
      </c>
      <c r="L734" t="s">
        <v>50</v>
      </c>
    </row>
    <row r="735" spans="1:12">
      <c r="A735" t="s">
        <v>284</v>
      </c>
      <c r="B735" t="s">
        <v>29</v>
      </c>
      <c r="C735" t="s">
        <v>89</v>
      </c>
      <c r="D735">
        <v>4</v>
      </c>
      <c r="E735">
        <v>5</v>
      </c>
      <c r="F735">
        <v>1</v>
      </c>
      <c r="G735">
        <v>1</v>
      </c>
      <c r="H735">
        <v>0</v>
      </c>
      <c r="I735">
        <v>1</v>
      </c>
      <c r="J735">
        <v>1</v>
      </c>
      <c r="K735" t="s">
        <v>37</v>
      </c>
      <c r="L735" t="s">
        <v>50</v>
      </c>
    </row>
    <row r="736" spans="1:12">
      <c r="A736" t="s">
        <v>284</v>
      </c>
      <c r="B736" t="s">
        <v>29</v>
      </c>
      <c r="C736" t="s">
        <v>90</v>
      </c>
      <c r="D736">
        <v>5</v>
      </c>
      <c r="E736">
        <v>5</v>
      </c>
      <c r="F736">
        <v>0</v>
      </c>
      <c r="G736">
        <v>0</v>
      </c>
      <c r="H736">
        <v>0</v>
      </c>
      <c r="I736">
        <v>1</v>
      </c>
      <c r="J736">
        <v>0</v>
      </c>
      <c r="K736" t="s">
        <v>34</v>
      </c>
      <c r="L736" t="s">
        <v>50</v>
      </c>
    </row>
    <row r="737" spans="1:12">
      <c r="A737" t="s">
        <v>284</v>
      </c>
      <c r="B737" t="s">
        <v>29</v>
      </c>
      <c r="C737" t="s">
        <v>91</v>
      </c>
      <c r="D737">
        <v>3</v>
      </c>
      <c r="E737">
        <v>2.15</v>
      </c>
      <c r="F737">
        <v>-0.85000000000000009</v>
      </c>
      <c r="G737">
        <v>0.85000000000000009</v>
      </c>
      <c r="H737">
        <v>0</v>
      </c>
      <c r="I737">
        <v>1</v>
      </c>
      <c r="J737">
        <v>0</v>
      </c>
      <c r="K737" t="s">
        <v>34</v>
      </c>
      <c r="L737" t="s">
        <v>50</v>
      </c>
    </row>
    <row r="738" spans="1:12">
      <c r="A738" t="s">
        <v>284</v>
      </c>
      <c r="B738" t="s">
        <v>29</v>
      </c>
      <c r="C738" t="s">
        <v>92</v>
      </c>
      <c r="D738">
        <v>3</v>
      </c>
      <c r="E738">
        <v>2.15</v>
      </c>
      <c r="F738">
        <v>-0.85000000000000009</v>
      </c>
      <c r="G738">
        <v>0.85000000000000009</v>
      </c>
      <c r="H738">
        <v>0</v>
      </c>
      <c r="I738">
        <v>1</v>
      </c>
      <c r="J738">
        <v>0</v>
      </c>
      <c r="K738" t="s">
        <v>34</v>
      </c>
      <c r="L738" t="s">
        <v>50</v>
      </c>
    </row>
    <row r="739" spans="1:12">
      <c r="A739" t="s">
        <v>284</v>
      </c>
      <c r="B739" t="s">
        <v>29</v>
      </c>
      <c r="C739" t="s">
        <v>93</v>
      </c>
      <c r="D739">
        <v>4</v>
      </c>
      <c r="E739">
        <v>4</v>
      </c>
      <c r="F739">
        <v>0</v>
      </c>
      <c r="G739">
        <v>0</v>
      </c>
      <c r="H739">
        <v>0</v>
      </c>
      <c r="I739">
        <v>1</v>
      </c>
      <c r="J739">
        <v>0</v>
      </c>
      <c r="K739" t="s">
        <v>34</v>
      </c>
      <c r="L739" t="s">
        <v>50</v>
      </c>
    </row>
    <row r="740" spans="1:12">
      <c r="A740" t="s">
        <v>284</v>
      </c>
      <c r="B740" t="s">
        <v>29</v>
      </c>
      <c r="C740" t="s">
        <v>94</v>
      </c>
      <c r="D740">
        <v>3</v>
      </c>
      <c r="E740">
        <v>4</v>
      </c>
      <c r="F740">
        <v>1</v>
      </c>
      <c r="G740">
        <v>1</v>
      </c>
      <c r="H740">
        <v>0</v>
      </c>
      <c r="I740">
        <v>1</v>
      </c>
      <c r="J740">
        <v>1</v>
      </c>
      <c r="K740" t="s">
        <v>37</v>
      </c>
      <c r="L740" t="s">
        <v>50</v>
      </c>
    </row>
    <row r="741" spans="1:12">
      <c r="A741" t="s">
        <v>284</v>
      </c>
      <c r="B741" t="s">
        <v>29</v>
      </c>
      <c r="C741" t="s">
        <v>95</v>
      </c>
      <c r="D741">
        <v>3</v>
      </c>
      <c r="E741">
        <v>4</v>
      </c>
      <c r="F741">
        <v>1</v>
      </c>
      <c r="G741">
        <v>1</v>
      </c>
      <c r="H741">
        <v>0</v>
      </c>
      <c r="I741">
        <v>1</v>
      </c>
      <c r="J741">
        <v>1</v>
      </c>
      <c r="K741" t="s">
        <v>37</v>
      </c>
      <c r="L741" t="s">
        <v>50</v>
      </c>
    </row>
    <row r="742" spans="1:12">
      <c r="A742" t="s">
        <v>284</v>
      </c>
      <c r="B742" t="s">
        <v>29</v>
      </c>
      <c r="C742" t="s">
        <v>96</v>
      </c>
      <c r="D742">
        <v>3</v>
      </c>
      <c r="E742">
        <v>4</v>
      </c>
      <c r="F742">
        <v>1</v>
      </c>
      <c r="G742">
        <v>1</v>
      </c>
      <c r="H742">
        <v>0</v>
      </c>
      <c r="I742">
        <v>1</v>
      </c>
      <c r="J742">
        <v>1</v>
      </c>
      <c r="K742" t="s">
        <v>37</v>
      </c>
      <c r="L742" t="s">
        <v>40</v>
      </c>
    </row>
    <row r="743" spans="1:12">
      <c r="A743" t="s">
        <v>284</v>
      </c>
      <c r="B743" t="s">
        <v>29</v>
      </c>
      <c r="C743" t="s">
        <v>31</v>
      </c>
      <c r="D743">
        <v>4</v>
      </c>
      <c r="E743">
        <v>2.15</v>
      </c>
      <c r="F743">
        <v>-1.85</v>
      </c>
      <c r="G743">
        <v>1.85</v>
      </c>
      <c r="H743">
        <v>1</v>
      </c>
      <c r="I743">
        <v>0</v>
      </c>
      <c r="J743">
        <v>1</v>
      </c>
      <c r="K743" t="s">
        <v>33</v>
      </c>
      <c r="L743" t="s">
        <v>40</v>
      </c>
    </row>
    <row r="744" spans="1:12">
      <c r="A744" t="s">
        <v>284</v>
      </c>
      <c r="B744" t="s">
        <v>29</v>
      </c>
      <c r="C744" t="s">
        <v>30</v>
      </c>
      <c r="D744">
        <v>4</v>
      </c>
      <c r="E744">
        <v>2.15</v>
      </c>
      <c r="F744">
        <v>-1.85</v>
      </c>
      <c r="G744">
        <v>1.85</v>
      </c>
      <c r="H744">
        <v>1</v>
      </c>
      <c r="I744">
        <v>0</v>
      </c>
      <c r="J744">
        <v>1</v>
      </c>
      <c r="K744" t="s">
        <v>33</v>
      </c>
      <c r="L744" t="s">
        <v>40</v>
      </c>
    </row>
    <row r="745" spans="1:12">
      <c r="A745" t="s">
        <v>284</v>
      </c>
      <c r="B745" t="s">
        <v>29</v>
      </c>
      <c r="C745" t="s">
        <v>97</v>
      </c>
      <c r="D745">
        <v>4</v>
      </c>
      <c r="E745">
        <v>4</v>
      </c>
      <c r="F745">
        <v>0</v>
      </c>
      <c r="G745">
        <v>0</v>
      </c>
      <c r="H745">
        <v>0</v>
      </c>
      <c r="I745">
        <v>1</v>
      </c>
      <c r="J745">
        <v>0</v>
      </c>
      <c r="K745" t="s">
        <v>34</v>
      </c>
      <c r="L745" t="s">
        <v>40</v>
      </c>
    </row>
    <row r="746" spans="1:12">
      <c r="A746" t="s">
        <v>284</v>
      </c>
      <c r="B746" t="s">
        <v>29</v>
      </c>
      <c r="C746" t="s">
        <v>98</v>
      </c>
      <c r="D746">
        <v>4</v>
      </c>
      <c r="E746">
        <v>4</v>
      </c>
      <c r="F746">
        <v>0</v>
      </c>
      <c r="G746">
        <v>0</v>
      </c>
      <c r="H746">
        <v>0</v>
      </c>
      <c r="I746">
        <v>1</v>
      </c>
      <c r="J746">
        <v>0</v>
      </c>
      <c r="K746" t="s">
        <v>34</v>
      </c>
      <c r="L746" t="s">
        <v>40</v>
      </c>
    </row>
    <row r="747" spans="1:12">
      <c r="A747" t="s">
        <v>284</v>
      </c>
      <c r="B747" t="s">
        <v>29</v>
      </c>
      <c r="C747" t="s">
        <v>99</v>
      </c>
      <c r="D747">
        <v>4</v>
      </c>
      <c r="E747">
        <v>4</v>
      </c>
      <c r="F747">
        <v>0</v>
      </c>
      <c r="G747">
        <v>0</v>
      </c>
      <c r="H747">
        <v>0</v>
      </c>
      <c r="I747">
        <v>1</v>
      </c>
      <c r="J747">
        <v>0</v>
      </c>
      <c r="K747" t="s">
        <v>34</v>
      </c>
      <c r="L747" t="s">
        <v>39</v>
      </c>
    </row>
    <row r="748" spans="1:12">
      <c r="A748" t="s">
        <v>284</v>
      </c>
      <c r="B748" t="s">
        <v>29</v>
      </c>
      <c r="C748" t="s">
        <v>100</v>
      </c>
      <c r="D748">
        <v>4</v>
      </c>
      <c r="E748">
        <v>4</v>
      </c>
      <c r="F748">
        <v>0</v>
      </c>
      <c r="G748">
        <v>0</v>
      </c>
      <c r="H748">
        <v>0</v>
      </c>
      <c r="I748">
        <v>1</v>
      </c>
      <c r="J748">
        <v>0</v>
      </c>
      <c r="K748" t="s">
        <v>34</v>
      </c>
      <c r="L748" t="s">
        <v>39</v>
      </c>
    </row>
    <row r="749" spans="1:12">
      <c r="A749" t="s">
        <v>284</v>
      </c>
      <c r="B749" t="s">
        <v>29</v>
      </c>
      <c r="C749" t="s">
        <v>101</v>
      </c>
      <c r="D749">
        <v>4</v>
      </c>
      <c r="E749">
        <v>5</v>
      </c>
      <c r="F749">
        <v>1</v>
      </c>
      <c r="G749">
        <v>1</v>
      </c>
      <c r="H749">
        <v>0</v>
      </c>
      <c r="I749">
        <v>1</v>
      </c>
      <c r="J749">
        <v>1</v>
      </c>
      <c r="K749" t="s">
        <v>37</v>
      </c>
      <c r="L749" t="s">
        <v>39</v>
      </c>
    </row>
    <row r="750" spans="1:12">
      <c r="A750" t="s">
        <v>284</v>
      </c>
      <c r="B750" t="s">
        <v>29</v>
      </c>
      <c r="C750" t="s">
        <v>102</v>
      </c>
      <c r="D750">
        <v>4</v>
      </c>
      <c r="E750">
        <v>5</v>
      </c>
      <c r="F750">
        <v>1</v>
      </c>
      <c r="G750">
        <v>1</v>
      </c>
      <c r="H750">
        <v>0</v>
      </c>
      <c r="I750">
        <v>1</v>
      </c>
      <c r="J750">
        <v>1</v>
      </c>
      <c r="K750" t="s">
        <v>37</v>
      </c>
      <c r="L750" t="s">
        <v>39</v>
      </c>
    </row>
    <row r="751" spans="1:12">
      <c r="A751" t="s">
        <v>284</v>
      </c>
      <c r="B751" t="s">
        <v>29</v>
      </c>
      <c r="C751" t="s">
        <v>103</v>
      </c>
      <c r="D751">
        <v>4</v>
      </c>
      <c r="E751">
        <v>2.15</v>
      </c>
      <c r="F751">
        <v>-1.85</v>
      </c>
      <c r="G751">
        <v>1.85</v>
      </c>
      <c r="H751">
        <v>1</v>
      </c>
      <c r="I751">
        <v>0</v>
      </c>
      <c r="J751">
        <v>1</v>
      </c>
      <c r="K751" t="s">
        <v>33</v>
      </c>
      <c r="L751" t="s">
        <v>39</v>
      </c>
    </row>
    <row r="752" spans="1:12">
      <c r="A752" t="s">
        <v>284</v>
      </c>
      <c r="B752" t="s">
        <v>29</v>
      </c>
      <c r="C752" t="s">
        <v>104</v>
      </c>
      <c r="D752">
        <v>3</v>
      </c>
      <c r="E752">
        <v>2.15</v>
      </c>
      <c r="F752">
        <v>-0.85000000000000009</v>
      </c>
      <c r="G752">
        <v>0.85000000000000009</v>
      </c>
      <c r="H752">
        <v>0</v>
      </c>
      <c r="I752">
        <v>1</v>
      </c>
      <c r="J752">
        <v>0</v>
      </c>
      <c r="K752" t="s">
        <v>34</v>
      </c>
      <c r="L752" t="s">
        <v>41</v>
      </c>
    </row>
    <row r="753" spans="1:12">
      <c r="A753" t="s">
        <v>284</v>
      </c>
      <c r="B753" t="s">
        <v>29</v>
      </c>
      <c r="C753" t="s">
        <v>105</v>
      </c>
      <c r="D753">
        <v>3</v>
      </c>
      <c r="E753">
        <v>2.15</v>
      </c>
      <c r="F753">
        <v>-0.85000000000000009</v>
      </c>
      <c r="G753">
        <v>0.85000000000000009</v>
      </c>
      <c r="H753">
        <v>0</v>
      </c>
      <c r="I753">
        <v>1</v>
      </c>
      <c r="J753">
        <v>0</v>
      </c>
      <c r="K753" t="s">
        <v>34</v>
      </c>
      <c r="L753" t="s">
        <v>41</v>
      </c>
    </row>
    <row r="754" spans="1:12">
      <c r="A754" t="s">
        <v>284</v>
      </c>
      <c r="B754" t="s">
        <v>29</v>
      </c>
      <c r="C754" t="s">
        <v>106</v>
      </c>
      <c r="D754">
        <v>3</v>
      </c>
      <c r="E754">
        <v>2.15</v>
      </c>
      <c r="F754">
        <v>-0.85000000000000009</v>
      </c>
      <c r="G754">
        <v>0.85000000000000009</v>
      </c>
      <c r="H754">
        <v>0</v>
      </c>
      <c r="I754">
        <v>1</v>
      </c>
      <c r="J754">
        <v>0</v>
      </c>
      <c r="K754" t="s">
        <v>34</v>
      </c>
      <c r="L754" t="s">
        <v>41</v>
      </c>
    </row>
    <row r="755" spans="1:12">
      <c r="A755" t="s">
        <v>284</v>
      </c>
      <c r="B755" t="s">
        <v>29</v>
      </c>
      <c r="C755" t="s">
        <v>107</v>
      </c>
      <c r="D755">
        <v>3</v>
      </c>
      <c r="E755">
        <v>4</v>
      </c>
      <c r="F755">
        <v>1</v>
      </c>
      <c r="G755">
        <v>1</v>
      </c>
      <c r="H755">
        <v>0</v>
      </c>
      <c r="I755">
        <v>1</v>
      </c>
      <c r="J755">
        <v>1</v>
      </c>
      <c r="K755" t="s">
        <v>37</v>
      </c>
      <c r="L755" t="s">
        <v>41</v>
      </c>
    </row>
    <row r="756" spans="1:12">
      <c r="A756" t="s">
        <v>284</v>
      </c>
      <c r="B756" t="s">
        <v>29</v>
      </c>
      <c r="C756" t="s">
        <v>108</v>
      </c>
      <c r="D756">
        <v>3</v>
      </c>
      <c r="E756">
        <v>4</v>
      </c>
      <c r="F756">
        <v>1</v>
      </c>
      <c r="G756">
        <v>1</v>
      </c>
      <c r="H756">
        <v>0</v>
      </c>
      <c r="I756">
        <v>1</v>
      </c>
      <c r="J756">
        <v>1</v>
      </c>
      <c r="K756" t="s">
        <v>37</v>
      </c>
      <c r="L756" t="s">
        <v>41</v>
      </c>
    </row>
    <row r="757" spans="1:12">
      <c r="A757" t="s">
        <v>284</v>
      </c>
      <c r="B757" t="s">
        <v>29</v>
      </c>
      <c r="C757" t="s">
        <v>109</v>
      </c>
      <c r="D757">
        <v>4</v>
      </c>
      <c r="E757">
        <v>2.15</v>
      </c>
      <c r="F757">
        <v>-1.85</v>
      </c>
      <c r="G757">
        <v>1.85</v>
      </c>
      <c r="H757">
        <v>1</v>
      </c>
      <c r="I757">
        <v>0</v>
      </c>
      <c r="J757">
        <v>1</v>
      </c>
      <c r="K757" t="s">
        <v>33</v>
      </c>
      <c r="L757" t="s">
        <v>38</v>
      </c>
    </row>
    <row r="758" spans="1:12">
      <c r="A758" t="s">
        <v>284</v>
      </c>
      <c r="B758" t="s">
        <v>29</v>
      </c>
      <c r="C758" t="s">
        <v>110</v>
      </c>
      <c r="D758">
        <v>4</v>
      </c>
      <c r="E758">
        <v>2.15</v>
      </c>
      <c r="F758">
        <v>-1.85</v>
      </c>
      <c r="G758">
        <v>1.85</v>
      </c>
      <c r="H758">
        <v>1</v>
      </c>
      <c r="I758">
        <v>0</v>
      </c>
      <c r="J758">
        <v>1</v>
      </c>
      <c r="K758" t="s">
        <v>33</v>
      </c>
      <c r="L758" t="s">
        <v>38</v>
      </c>
    </row>
    <row r="759" spans="1:12">
      <c r="A759" t="s">
        <v>284</v>
      </c>
      <c r="B759" t="s">
        <v>29</v>
      </c>
      <c r="C759" t="s">
        <v>111</v>
      </c>
      <c r="D759">
        <v>4</v>
      </c>
      <c r="E759">
        <v>2.15</v>
      </c>
      <c r="F759">
        <v>-1.85</v>
      </c>
      <c r="G759">
        <v>1.85</v>
      </c>
      <c r="H759">
        <v>1</v>
      </c>
      <c r="I759">
        <v>0</v>
      </c>
      <c r="J759">
        <v>1</v>
      </c>
      <c r="K759" t="s">
        <v>33</v>
      </c>
      <c r="L759" t="s">
        <v>38</v>
      </c>
    </row>
    <row r="760" spans="1:12">
      <c r="A760" t="s">
        <v>284</v>
      </c>
      <c r="B760" t="s">
        <v>29</v>
      </c>
      <c r="C760" t="s">
        <v>112</v>
      </c>
      <c r="D760">
        <v>4</v>
      </c>
      <c r="E760">
        <v>2.15</v>
      </c>
      <c r="F760">
        <v>-1.85</v>
      </c>
      <c r="G760">
        <v>1.85</v>
      </c>
      <c r="H760">
        <v>1</v>
      </c>
      <c r="I760">
        <v>0</v>
      </c>
      <c r="J760">
        <v>1</v>
      </c>
      <c r="K760" t="s">
        <v>33</v>
      </c>
      <c r="L760" t="s">
        <v>38</v>
      </c>
    </row>
    <row r="761" spans="1:12">
      <c r="A761" t="s">
        <v>284</v>
      </c>
      <c r="B761" t="s">
        <v>29</v>
      </c>
      <c r="C761" t="s">
        <v>113</v>
      </c>
      <c r="D761">
        <v>3</v>
      </c>
      <c r="E761">
        <v>2.15</v>
      </c>
      <c r="F761">
        <v>-0.85000000000000009</v>
      </c>
      <c r="G761">
        <v>0.85000000000000009</v>
      </c>
      <c r="H761">
        <v>0</v>
      </c>
      <c r="I761">
        <v>1</v>
      </c>
      <c r="J761">
        <v>0</v>
      </c>
      <c r="K761" t="s">
        <v>34</v>
      </c>
      <c r="L761" t="s">
        <v>38</v>
      </c>
    </row>
    <row r="762" spans="1:12">
      <c r="A762" t="s">
        <v>284</v>
      </c>
      <c r="B762" t="s">
        <v>29</v>
      </c>
      <c r="C762" t="s">
        <v>114</v>
      </c>
      <c r="D762">
        <v>4</v>
      </c>
      <c r="E762">
        <v>2.15</v>
      </c>
      <c r="F762">
        <v>-1.85</v>
      </c>
      <c r="G762">
        <v>1.85</v>
      </c>
      <c r="H762">
        <v>1</v>
      </c>
      <c r="I762">
        <v>0</v>
      </c>
      <c r="J762">
        <v>1</v>
      </c>
      <c r="K762" t="s">
        <v>33</v>
      </c>
      <c r="L762" t="s">
        <v>38</v>
      </c>
    </row>
    <row r="763" spans="1:12">
      <c r="A763" t="s">
        <v>284</v>
      </c>
      <c r="B763" t="s">
        <v>29</v>
      </c>
      <c r="C763" t="s">
        <v>115</v>
      </c>
      <c r="D763">
        <v>4</v>
      </c>
      <c r="E763">
        <v>4</v>
      </c>
      <c r="F763">
        <v>0</v>
      </c>
      <c r="G763">
        <v>0</v>
      </c>
      <c r="H763">
        <v>0</v>
      </c>
      <c r="I763">
        <v>1</v>
      </c>
      <c r="J763">
        <v>0</v>
      </c>
      <c r="K763" t="s">
        <v>34</v>
      </c>
      <c r="L763" t="s">
        <v>38</v>
      </c>
    </row>
    <row r="764" spans="1:12">
      <c r="A764" t="s">
        <v>284</v>
      </c>
      <c r="B764" t="s">
        <v>29</v>
      </c>
      <c r="C764" t="s">
        <v>116</v>
      </c>
      <c r="D764">
        <v>3</v>
      </c>
      <c r="E764">
        <v>4</v>
      </c>
      <c r="F764">
        <v>1</v>
      </c>
      <c r="G764">
        <v>1</v>
      </c>
      <c r="H764">
        <v>0</v>
      </c>
      <c r="I764">
        <v>1</v>
      </c>
      <c r="J764">
        <v>1</v>
      </c>
      <c r="K764" t="s">
        <v>37</v>
      </c>
      <c r="L764" t="s">
        <v>38</v>
      </c>
    </row>
    <row r="765" spans="1:12">
      <c r="A765" t="s">
        <v>284</v>
      </c>
      <c r="B765" t="s">
        <v>29</v>
      </c>
      <c r="C765" t="s">
        <v>117</v>
      </c>
      <c r="D765">
        <v>3</v>
      </c>
      <c r="E765">
        <v>4</v>
      </c>
      <c r="F765">
        <v>1</v>
      </c>
      <c r="G765">
        <v>1</v>
      </c>
      <c r="H765">
        <v>0</v>
      </c>
      <c r="I765">
        <v>1</v>
      </c>
      <c r="J765">
        <v>1</v>
      </c>
      <c r="K765" t="s">
        <v>37</v>
      </c>
      <c r="L765" t="s">
        <v>38</v>
      </c>
    </row>
    <row r="766" spans="1:12">
      <c r="A766" t="s">
        <v>284</v>
      </c>
      <c r="B766" t="s">
        <v>29</v>
      </c>
      <c r="C766" t="s">
        <v>118</v>
      </c>
      <c r="D766">
        <v>4</v>
      </c>
      <c r="E766">
        <v>4</v>
      </c>
      <c r="F766">
        <v>0</v>
      </c>
      <c r="G766">
        <v>0</v>
      </c>
      <c r="H766">
        <v>0</v>
      </c>
      <c r="I766">
        <v>1</v>
      </c>
      <c r="J766">
        <v>0</v>
      </c>
      <c r="K766" t="s">
        <v>34</v>
      </c>
      <c r="L766" t="s">
        <v>38</v>
      </c>
    </row>
    <row r="767" spans="1:12">
      <c r="A767" t="s">
        <v>284</v>
      </c>
      <c r="B767" t="s">
        <v>29</v>
      </c>
      <c r="C767" t="s">
        <v>119</v>
      </c>
      <c r="D767">
        <v>3</v>
      </c>
      <c r="E767">
        <v>4</v>
      </c>
      <c r="F767">
        <v>1</v>
      </c>
      <c r="G767">
        <v>1</v>
      </c>
      <c r="H767">
        <v>0</v>
      </c>
      <c r="I767">
        <v>1</v>
      </c>
      <c r="J767">
        <v>1</v>
      </c>
      <c r="K767" t="s">
        <v>37</v>
      </c>
      <c r="L767" t="s">
        <v>44</v>
      </c>
    </row>
    <row r="768" spans="1:12">
      <c r="A768" t="s">
        <v>284</v>
      </c>
      <c r="B768" t="s">
        <v>29</v>
      </c>
      <c r="C768" t="s">
        <v>120</v>
      </c>
      <c r="D768">
        <v>3</v>
      </c>
      <c r="E768">
        <v>4</v>
      </c>
      <c r="F768">
        <v>1</v>
      </c>
      <c r="G768">
        <v>1</v>
      </c>
      <c r="H768">
        <v>0</v>
      </c>
      <c r="I768">
        <v>1</v>
      </c>
      <c r="J768">
        <v>1</v>
      </c>
      <c r="K768" t="s">
        <v>37</v>
      </c>
      <c r="L768" t="s">
        <v>44</v>
      </c>
    </row>
    <row r="769" spans="1:12">
      <c r="A769" t="s">
        <v>284</v>
      </c>
      <c r="B769" t="s">
        <v>29</v>
      </c>
      <c r="C769" t="s">
        <v>121</v>
      </c>
      <c r="D769">
        <v>4</v>
      </c>
      <c r="E769">
        <v>4</v>
      </c>
      <c r="F769">
        <v>0</v>
      </c>
      <c r="G769">
        <v>0</v>
      </c>
      <c r="H769">
        <v>0</v>
      </c>
      <c r="I769">
        <v>1</v>
      </c>
      <c r="J769">
        <v>0</v>
      </c>
      <c r="K769" t="s">
        <v>34</v>
      </c>
      <c r="L769" t="s">
        <v>44</v>
      </c>
    </row>
    <row r="770" spans="1:12">
      <c r="A770" t="s">
        <v>284</v>
      </c>
      <c r="B770" t="s">
        <v>29</v>
      </c>
      <c r="C770" t="s">
        <v>122</v>
      </c>
      <c r="D770">
        <v>3</v>
      </c>
      <c r="E770">
        <v>4</v>
      </c>
      <c r="F770">
        <v>1</v>
      </c>
      <c r="G770">
        <v>1</v>
      </c>
      <c r="H770">
        <v>0</v>
      </c>
      <c r="I770">
        <v>1</v>
      </c>
      <c r="J770">
        <v>1</v>
      </c>
      <c r="K770" t="s">
        <v>37</v>
      </c>
      <c r="L770" t="s">
        <v>44</v>
      </c>
    </row>
    <row r="771" spans="1:12">
      <c r="A771" t="s">
        <v>284</v>
      </c>
      <c r="B771" t="s">
        <v>29</v>
      </c>
      <c r="C771" t="s">
        <v>123</v>
      </c>
      <c r="D771">
        <v>3</v>
      </c>
      <c r="E771">
        <v>4.3899999999999997</v>
      </c>
      <c r="F771">
        <v>1.3899999999999997</v>
      </c>
      <c r="G771">
        <v>1.3899999999999997</v>
      </c>
      <c r="H771">
        <v>0</v>
      </c>
      <c r="I771">
        <v>1</v>
      </c>
      <c r="J771">
        <v>1</v>
      </c>
      <c r="K771" t="s">
        <v>37</v>
      </c>
      <c r="L771" t="s">
        <v>44</v>
      </c>
    </row>
    <row r="772" spans="1:12">
      <c r="A772" t="s">
        <v>284</v>
      </c>
      <c r="B772" t="s">
        <v>29</v>
      </c>
      <c r="C772" t="s">
        <v>124</v>
      </c>
      <c r="D772">
        <v>5</v>
      </c>
      <c r="E772">
        <v>4.3899999999999997</v>
      </c>
      <c r="F772">
        <v>-0.61000000000000032</v>
      </c>
      <c r="G772">
        <v>0.61000000000000032</v>
      </c>
      <c r="H772">
        <v>0</v>
      </c>
      <c r="I772">
        <v>1</v>
      </c>
      <c r="J772">
        <v>0</v>
      </c>
      <c r="K772" t="s">
        <v>34</v>
      </c>
      <c r="L772" t="s">
        <v>45</v>
      </c>
    </row>
    <row r="773" spans="1:12">
      <c r="A773" t="s">
        <v>284</v>
      </c>
      <c r="B773" t="s">
        <v>29</v>
      </c>
      <c r="C773" t="s">
        <v>125</v>
      </c>
      <c r="D773">
        <v>5</v>
      </c>
      <c r="E773">
        <v>4.3899999999999997</v>
      </c>
      <c r="F773">
        <v>-0.61000000000000032</v>
      </c>
      <c r="G773">
        <v>0.61000000000000032</v>
      </c>
      <c r="H773">
        <v>0</v>
      </c>
      <c r="I773">
        <v>1</v>
      </c>
      <c r="J773">
        <v>0</v>
      </c>
      <c r="K773" t="s">
        <v>34</v>
      </c>
      <c r="L773" t="s">
        <v>45</v>
      </c>
    </row>
    <row r="774" spans="1:12">
      <c r="A774" t="s">
        <v>284</v>
      </c>
      <c r="B774" t="s">
        <v>29</v>
      </c>
      <c r="C774" t="s">
        <v>126</v>
      </c>
      <c r="D774">
        <v>5</v>
      </c>
      <c r="E774">
        <v>4.3899999999999997</v>
      </c>
      <c r="F774">
        <v>-0.61000000000000032</v>
      </c>
      <c r="G774">
        <v>0.61000000000000032</v>
      </c>
      <c r="H774">
        <v>0</v>
      </c>
      <c r="I774">
        <v>1</v>
      </c>
      <c r="J774">
        <v>0</v>
      </c>
      <c r="K774" t="s">
        <v>34</v>
      </c>
      <c r="L774" t="s">
        <v>45</v>
      </c>
    </row>
    <row r="775" spans="1:12">
      <c r="A775" t="s">
        <v>284</v>
      </c>
      <c r="B775" t="s">
        <v>29</v>
      </c>
      <c r="C775" t="s">
        <v>127</v>
      </c>
      <c r="D775">
        <v>5</v>
      </c>
      <c r="E775">
        <v>4.3899999999999997</v>
      </c>
      <c r="F775">
        <v>-0.61000000000000032</v>
      </c>
      <c r="G775">
        <v>0.61000000000000032</v>
      </c>
      <c r="H775">
        <v>0</v>
      </c>
      <c r="I775">
        <v>1</v>
      </c>
      <c r="J775">
        <v>0</v>
      </c>
      <c r="K775" t="s">
        <v>34</v>
      </c>
      <c r="L775" t="s">
        <v>45</v>
      </c>
    </row>
    <row r="776" spans="1:12">
      <c r="A776" t="s">
        <v>284</v>
      </c>
      <c r="B776" t="s">
        <v>29</v>
      </c>
      <c r="C776" t="s">
        <v>128</v>
      </c>
      <c r="D776">
        <v>5</v>
      </c>
      <c r="E776">
        <v>4.3899999999999997</v>
      </c>
      <c r="F776">
        <v>-0.61000000000000032</v>
      </c>
      <c r="G776">
        <v>0.61000000000000032</v>
      </c>
      <c r="H776">
        <v>0</v>
      </c>
      <c r="I776">
        <v>1</v>
      </c>
      <c r="J776">
        <v>0</v>
      </c>
      <c r="K776" t="s">
        <v>34</v>
      </c>
      <c r="L776" t="s">
        <v>45</v>
      </c>
    </row>
    <row r="777" spans="1:12">
      <c r="A777" t="s">
        <v>284</v>
      </c>
      <c r="B777" t="s">
        <v>29</v>
      </c>
      <c r="C777" t="s">
        <v>129</v>
      </c>
      <c r="D777">
        <v>4</v>
      </c>
      <c r="E777">
        <v>4.3899999999999997</v>
      </c>
      <c r="F777">
        <v>0.38999999999999968</v>
      </c>
      <c r="G777">
        <v>0.38999999999999968</v>
      </c>
      <c r="H777">
        <v>0</v>
      </c>
      <c r="I777">
        <v>1</v>
      </c>
      <c r="J777">
        <v>0</v>
      </c>
      <c r="K777" t="s">
        <v>34</v>
      </c>
      <c r="L777" t="s">
        <v>46</v>
      </c>
    </row>
    <row r="778" spans="1:12">
      <c r="A778" t="s">
        <v>284</v>
      </c>
      <c r="B778" t="s">
        <v>29</v>
      </c>
      <c r="C778" t="s">
        <v>130</v>
      </c>
      <c r="D778">
        <v>4</v>
      </c>
      <c r="E778">
        <v>4.3899999999999997</v>
      </c>
      <c r="F778">
        <v>0.38999999999999968</v>
      </c>
      <c r="G778">
        <v>0.38999999999999968</v>
      </c>
      <c r="H778">
        <v>0</v>
      </c>
      <c r="I778">
        <v>1</v>
      </c>
      <c r="J778">
        <v>0</v>
      </c>
      <c r="K778" t="s">
        <v>34</v>
      </c>
      <c r="L778" t="s">
        <v>46</v>
      </c>
    </row>
    <row r="779" spans="1:12">
      <c r="A779" t="s">
        <v>284</v>
      </c>
      <c r="B779" t="s">
        <v>29</v>
      </c>
      <c r="C779" t="s">
        <v>131</v>
      </c>
      <c r="D779">
        <v>4</v>
      </c>
      <c r="E779">
        <v>4.3899999999999997</v>
      </c>
      <c r="F779">
        <v>0.38999999999999968</v>
      </c>
      <c r="G779">
        <v>0.38999999999999968</v>
      </c>
      <c r="H779">
        <v>0</v>
      </c>
      <c r="I779">
        <v>1</v>
      </c>
      <c r="J779">
        <v>0</v>
      </c>
      <c r="K779" t="s">
        <v>34</v>
      </c>
      <c r="L779" t="s">
        <v>46</v>
      </c>
    </row>
    <row r="780" spans="1:12">
      <c r="A780" t="s">
        <v>284</v>
      </c>
      <c r="B780" t="s">
        <v>29</v>
      </c>
      <c r="C780" t="s">
        <v>132</v>
      </c>
      <c r="D780">
        <v>4</v>
      </c>
      <c r="E780">
        <v>4.3899999999999997</v>
      </c>
      <c r="F780">
        <v>0.38999999999999968</v>
      </c>
      <c r="G780">
        <v>0.38999999999999968</v>
      </c>
      <c r="H780">
        <v>0</v>
      </c>
      <c r="I780">
        <v>1</v>
      </c>
      <c r="J780">
        <v>0</v>
      </c>
      <c r="K780" t="s">
        <v>34</v>
      </c>
      <c r="L780" t="s">
        <v>46</v>
      </c>
    </row>
    <row r="781" spans="1:12">
      <c r="A781" t="s">
        <v>284</v>
      </c>
      <c r="B781" t="s">
        <v>29</v>
      </c>
      <c r="C781" t="s">
        <v>133</v>
      </c>
      <c r="D781">
        <v>4</v>
      </c>
      <c r="E781">
        <v>2.15</v>
      </c>
      <c r="F781">
        <v>-1.85</v>
      </c>
      <c r="G781">
        <v>1.85</v>
      </c>
      <c r="H781">
        <v>1</v>
      </c>
      <c r="I781">
        <v>0</v>
      </c>
      <c r="J781">
        <v>1</v>
      </c>
      <c r="K781" t="s">
        <v>33</v>
      </c>
      <c r="L781" t="s">
        <v>46</v>
      </c>
    </row>
    <row r="782" spans="1:12">
      <c r="A782" t="s">
        <v>284</v>
      </c>
      <c r="B782" t="s">
        <v>29</v>
      </c>
      <c r="C782" t="s">
        <v>134</v>
      </c>
      <c r="D782">
        <v>4</v>
      </c>
      <c r="E782">
        <v>2.15</v>
      </c>
      <c r="F782">
        <v>-1.85</v>
      </c>
      <c r="G782">
        <v>1.85</v>
      </c>
      <c r="H782">
        <v>1</v>
      </c>
      <c r="I782">
        <v>0</v>
      </c>
      <c r="J782">
        <v>1</v>
      </c>
      <c r="K782" t="s">
        <v>33</v>
      </c>
      <c r="L782" t="s">
        <v>47</v>
      </c>
    </row>
    <row r="783" spans="1:12">
      <c r="A783" t="s">
        <v>284</v>
      </c>
      <c r="B783" t="s">
        <v>29</v>
      </c>
      <c r="C783" t="s">
        <v>135</v>
      </c>
      <c r="D783">
        <v>4</v>
      </c>
      <c r="E783">
        <v>2.15</v>
      </c>
      <c r="F783">
        <v>-1.85</v>
      </c>
      <c r="G783">
        <v>1.85</v>
      </c>
      <c r="H783">
        <v>1</v>
      </c>
      <c r="I783">
        <v>0</v>
      </c>
      <c r="J783">
        <v>1</v>
      </c>
      <c r="K783" t="s">
        <v>33</v>
      </c>
      <c r="L783" t="s">
        <v>47</v>
      </c>
    </row>
    <row r="784" spans="1:12">
      <c r="A784" t="s">
        <v>284</v>
      </c>
      <c r="B784" t="s">
        <v>29</v>
      </c>
      <c r="C784" t="s">
        <v>136</v>
      </c>
      <c r="D784">
        <v>4</v>
      </c>
      <c r="E784">
        <v>2.15</v>
      </c>
      <c r="F784">
        <v>-1.85</v>
      </c>
      <c r="G784">
        <v>1.85</v>
      </c>
      <c r="H784">
        <v>1</v>
      </c>
      <c r="I784">
        <v>0</v>
      </c>
      <c r="J784">
        <v>1</v>
      </c>
      <c r="K784" t="s">
        <v>33</v>
      </c>
      <c r="L784" t="s">
        <v>47</v>
      </c>
    </row>
    <row r="785" spans="1:12">
      <c r="A785" t="s">
        <v>284</v>
      </c>
      <c r="B785" t="s">
        <v>29</v>
      </c>
      <c r="C785" t="s">
        <v>137</v>
      </c>
      <c r="D785">
        <v>4</v>
      </c>
      <c r="E785">
        <v>2.15</v>
      </c>
      <c r="F785">
        <v>-1.85</v>
      </c>
      <c r="G785">
        <v>1.85</v>
      </c>
      <c r="H785">
        <v>1</v>
      </c>
      <c r="I785">
        <v>0</v>
      </c>
      <c r="J785">
        <v>1</v>
      </c>
      <c r="K785" t="s">
        <v>33</v>
      </c>
      <c r="L785" t="s">
        <v>47</v>
      </c>
    </row>
    <row r="786" spans="1:12">
      <c r="A786" t="s">
        <v>284</v>
      </c>
      <c r="B786" t="s">
        <v>29</v>
      </c>
      <c r="C786" t="s">
        <v>138</v>
      </c>
      <c r="D786">
        <v>4</v>
      </c>
      <c r="E786">
        <v>2.15</v>
      </c>
      <c r="F786">
        <v>-1.85</v>
      </c>
      <c r="G786">
        <v>1.85</v>
      </c>
      <c r="H786">
        <v>1</v>
      </c>
      <c r="I786">
        <v>0</v>
      </c>
      <c r="J786">
        <v>1</v>
      </c>
      <c r="K786" t="s">
        <v>33</v>
      </c>
      <c r="L786" t="s">
        <v>47</v>
      </c>
    </row>
    <row r="787" spans="1:12">
      <c r="A787" t="s">
        <v>284</v>
      </c>
      <c r="B787" t="s">
        <v>29</v>
      </c>
      <c r="C787" t="s">
        <v>139</v>
      </c>
      <c r="D787">
        <v>5</v>
      </c>
      <c r="E787">
        <v>2.15</v>
      </c>
      <c r="F787">
        <v>-2.85</v>
      </c>
      <c r="G787">
        <v>2.85</v>
      </c>
      <c r="H787">
        <v>1</v>
      </c>
      <c r="I787">
        <v>0</v>
      </c>
      <c r="J787">
        <v>1</v>
      </c>
      <c r="K787" t="s">
        <v>36</v>
      </c>
      <c r="L787" t="s">
        <v>42</v>
      </c>
    </row>
    <row r="788" spans="1:12">
      <c r="A788" t="s">
        <v>284</v>
      </c>
      <c r="B788" t="s">
        <v>29</v>
      </c>
      <c r="C788" t="s">
        <v>140</v>
      </c>
      <c r="D788">
        <v>5</v>
      </c>
      <c r="E788">
        <v>2.15</v>
      </c>
      <c r="F788">
        <v>-2.85</v>
      </c>
      <c r="G788">
        <v>2.85</v>
      </c>
      <c r="H788">
        <v>1</v>
      </c>
      <c r="I788">
        <v>0</v>
      </c>
      <c r="J788">
        <v>1</v>
      </c>
      <c r="K788" t="s">
        <v>36</v>
      </c>
      <c r="L788" t="s">
        <v>42</v>
      </c>
    </row>
    <row r="789" spans="1:12">
      <c r="A789" t="s">
        <v>284</v>
      </c>
      <c r="B789" t="s">
        <v>29</v>
      </c>
      <c r="C789" t="s">
        <v>141</v>
      </c>
      <c r="D789">
        <v>5</v>
      </c>
      <c r="E789">
        <v>2.15</v>
      </c>
      <c r="F789">
        <v>-2.85</v>
      </c>
      <c r="G789">
        <v>2.85</v>
      </c>
      <c r="H789">
        <v>1</v>
      </c>
      <c r="I789">
        <v>0</v>
      </c>
      <c r="J789">
        <v>1</v>
      </c>
      <c r="K789" t="s">
        <v>36</v>
      </c>
      <c r="L789" t="s">
        <v>42</v>
      </c>
    </row>
    <row r="790" spans="1:12">
      <c r="A790" t="s">
        <v>284</v>
      </c>
      <c r="B790" t="s">
        <v>29</v>
      </c>
      <c r="C790" t="s">
        <v>142</v>
      </c>
      <c r="D790">
        <v>5</v>
      </c>
      <c r="E790">
        <v>2.15</v>
      </c>
      <c r="F790">
        <v>-2.85</v>
      </c>
      <c r="G790">
        <v>2.85</v>
      </c>
      <c r="H790">
        <v>1</v>
      </c>
      <c r="I790">
        <v>0</v>
      </c>
      <c r="J790">
        <v>1</v>
      </c>
      <c r="K790" t="s">
        <v>36</v>
      </c>
      <c r="L790" t="s">
        <v>42</v>
      </c>
    </row>
    <row r="791" spans="1:12">
      <c r="A791" t="s">
        <v>284</v>
      </c>
      <c r="B791" t="s">
        <v>29</v>
      </c>
      <c r="C791" t="s">
        <v>143</v>
      </c>
      <c r="D791">
        <v>5</v>
      </c>
      <c r="E791">
        <v>4.3899999999999997</v>
      </c>
      <c r="F791">
        <v>-0.61000000000000032</v>
      </c>
      <c r="G791">
        <v>0.61000000000000032</v>
      </c>
      <c r="H791">
        <v>0</v>
      </c>
      <c r="I791">
        <v>1</v>
      </c>
      <c r="J791">
        <v>0</v>
      </c>
      <c r="K791" t="s">
        <v>34</v>
      </c>
      <c r="L791" t="s">
        <v>42</v>
      </c>
    </row>
    <row r="792" spans="1:12">
      <c r="A792" t="s">
        <v>284</v>
      </c>
      <c r="B792" t="s">
        <v>29</v>
      </c>
      <c r="C792" t="s">
        <v>144</v>
      </c>
      <c r="D792">
        <v>4</v>
      </c>
      <c r="E792">
        <v>4.3899999999999997</v>
      </c>
      <c r="F792">
        <v>0.38999999999999968</v>
      </c>
      <c r="G792">
        <v>0.38999999999999968</v>
      </c>
      <c r="H792">
        <v>0</v>
      </c>
      <c r="I792">
        <v>1</v>
      </c>
      <c r="J792">
        <v>0</v>
      </c>
      <c r="K792" t="s">
        <v>34</v>
      </c>
      <c r="L792" t="s">
        <v>43</v>
      </c>
    </row>
    <row r="793" spans="1:12">
      <c r="A793" t="s">
        <v>284</v>
      </c>
      <c r="B793" t="s">
        <v>29</v>
      </c>
      <c r="C793" t="s">
        <v>145</v>
      </c>
      <c r="D793">
        <v>4</v>
      </c>
      <c r="E793">
        <v>4.3899999999999997</v>
      </c>
      <c r="F793">
        <v>0.38999999999999968</v>
      </c>
      <c r="G793">
        <v>0.38999999999999968</v>
      </c>
      <c r="H793">
        <v>0</v>
      </c>
      <c r="I793">
        <v>1</v>
      </c>
      <c r="J793">
        <v>0</v>
      </c>
      <c r="K793" t="s">
        <v>34</v>
      </c>
      <c r="L793" t="s">
        <v>43</v>
      </c>
    </row>
    <row r="794" spans="1:12">
      <c r="A794" t="s">
        <v>284</v>
      </c>
      <c r="B794" t="s">
        <v>29</v>
      </c>
      <c r="C794" t="s">
        <v>146</v>
      </c>
      <c r="D794">
        <v>5</v>
      </c>
      <c r="E794">
        <v>4.3899999999999997</v>
      </c>
      <c r="F794">
        <v>-0.61000000000000032</v>
      </c>
      <c r="G794">
        <v>0.61000000000000032</v>
      </c>
      <c r="H794">
        <v>0</v>
      </c>
      <c r="I794">
        <v>1</v>
      </c>
      <c r="J794">
        <v>0</v>
      </c>
      <c r="K794" t="s">
        <v>34</v>
      </c>
      <c r="L794" t="s">
        <v>43</v>
      </c>
    </row>
    <row r="795" spans="1:12">
      <c r="A795" t="s">
        <v>284</v>
      </c>
      <c r="B795" t="s">
        <v>29</v>
      </c>
      <c r="C795" t="s">
        <v>147</v>
      </c>
      <c r="D795">
        <v>4</v>
      </c>
      <c r="E795">
        <v>4.3899999999999997</v>
      </c>
      <c r="F795">
        <v>0.38999999999999968</v>
      </c>
      <c r="G795">
        <v>0.38999999999999968</v>
      </c>
      <c r="H795">
        <v>0</v>
      </c>
      <c r="I795">
        <v>1</v>
      </c>
      <c r="J795">
        <v>0</v>
      </c>
      <c r="K795" t="s">
        <v>34</v>
      </c>
      <c r="L795" t="s">
        <v>43</v>
      </c>
    </row>
    <row r="796" spans="1:12">
      <c r="A796" t="s">
        <v>284</v>
      </c>
      <c r="B796" t="s">
        <v>29</v>
      </c>
      <c r="C796" t="s">
        <v>148</v>
      </c>
      <c r="D796">
        <v>2</v>
      </c>
      <c r="E796">
        <v>4.3899999999999997</v>
      </c>
      <c r="F796">
        <v>2.3899999999999997</v>
      </c>
      <c r="G796">
        <v>2.3899999999999997</v>
      </c>
      <c r="H796">
        <v>0</v>
      </c>
      <c r="I796">
        <v>1</v>
      </c>
      <c r="J796">
        <v>1</v>
      </c>
      <c r="K796" t="s">
        <v>35</v>
      </c>
      <c r="L796" t="s">
        <v>43</v>
      </c>
    </row>
    <row r="797" spans="1:12">
      <c r="A797" t="s">
        <v>284</v>
      </c>
      <c r="B797" t="s">
        <v>29</v>
      </c>
      <c r="C797" t="s">
        <v>149</v>
      </c>
      <c r="D797">
        <v>1</v>
      </c>
      <c r="E797">
        <v>4.3899999999999997</v>
      </c>
      <c r="F797">
        <v>3.3899999999999997</v>
      </c>
      <c r="G797">
        <v>3.3899999999999997</v>
      </c>
      <c r="H797">
        <v>0</v>
      </c>
      <c r="I797">
        <v>1</v>
      </c>
      <c r="J797">
        <v>1</v>
      </c>
      <c r="K797" t="s">
        <v>35</v>
      </c>
      <c r="L797" t="s">
        <v>48</v>
      </c>
    </row>
    <row r="798" spans="1:12">
      <c r="A798" t="s">
        <v>284</v>
      </c>
      <c r="B798" t="s">
        <v>29</v>
      </c>
      <c r="C798" t="s">
        <v>150</v>
      </c>
      <c r="D798">
        <v>1</v>
      </c>
      <c r="E798">
        <v>4.3899999999999997</v>
      </c>
      <c r="F798">
        <v>3.3899999999999997</v>
      </c>
      <c r="G798">
        <v>3.3899999999999997</v>
      </c>
      <c r="H798">
        <v>0</v>
      </c>
      <c r="I798">
        <v>1</v>
      </c>
      <c r="J798">
        <v>1</v>
      </c>
      <c r="K798" t="s">
        <v>35</v>
      </c>
      <c r="L798" t="s">
        <v>48</v>
      </c>
    </row>
    <row r="799" spans="1:12">
      <c r="A799" t="s">
        <v>284</v>
      </c>
      <c r="B799" t="s">
        <v>29</v>
      </c>
      <c r="C799" t="s">
        <v>151</v>
      </c>
      <c r="D799">
        <v>1</v>
      </c>
      <c r="E799">
        <v>3</v>
      </c>
      <c r="F799">
        <v>2</v>
      </c>
      <c r="G799">
        <v>2</v>
      </c>
      <c r="H799">
        <v>0</v>
      </c>
      <c r="I799">
        <v>1</v>
      </c>
      <c r="J799">
        <v>1</v>
      </c>
      <c r="K799" t="s">
        <v>35</v>
      </c>
      <c r="L799" t="s">
        <v>48</v>
      </c>
    </row>
    <row r="800" spans="1:12">
      <c r="A800" t="s">
        <v>284</v>
      </c>
      <c r="B800" t="s">
        <v>29</v>
      </c>
      <c r="C800" t="s">
        <v>152</v>
      </c>
      <c r="D800">
        <v>1</v>
      </c>
      <c r="E800">
        <v>3</v>
      </c>
      <c r="F800">
        <v>2</v>
      </c>
      <c r="G800">
        <v>2</v>
      </c>
      <c r="H800">
        <v>0</v>
      </c>
      <c r="I800">
        <v>1</v>
      </c>
      <c r="J800">
        <v>1</v>
      </c>
      <c r="K800" t="s">
        <v>35</v>
      </c>
      <c r="L800" t="s">
        <v>48</v>
      </c>
    </row>
    <row r="801" spans="1:12">
      <c r="A801" t="s">
        <v>284</v>
      </c>
      <c r="B801" t="s">
        <v>29</v>
      </c>
      <c r="C801" t="s">
        <v>153</v>
      </c>
      <c r="D801">
        <v>1</v>
      </c>
      <c r="E801">
        <v>4.3899999999999997</v>
      </c>
      <c r="F801">
        <v>3.3899999999999997</v>
      </c>
      <c r="G801">
        <v>3.3899999999999997</v>
      </c>
      <c r="H801">
        <v>0</v>
      </c>
      <c r="I801">
        <v>1</v>
      </c>
      <c r="J801">
        <v>1</v>
      </c>
      <c r="K801" t="s">
        <v>35</v>
      </c>
      <c r="L801" t="s">
        <v>48</v>
      </c>
    </row>
    <row r="802" spans="1:12">
      <c r="A802" t="s">
        <v>289</v>
      </c>
      <c r="B802" t="s">
        <v>30</v>
      </c>
      <c r="C802" t="s">
        <v>76</v>
      </c>
      <c r="D802">
        <v>2</v>
      </c>
      <c r="E802">
        <v>1.61</v>
      </c>
      <c r="F802">
        <v>-0.3899999999999999</v>
      </c>
      <c r="G802">
        <v>0.3899999999999999</v>
      </c>
      <c r="H802">
        <v>0</v>
      </c>
      <c r="I802">
        <v>1</v>
      </c>
      <c r="J802">
        <v>0</v>
      </c>
      <c r="K802" t="s">
        <v>34</v>
      </c>
      <c r="L802" t="s">
        <v>49</v>
      </c>
    </row>
    <row r="803" spans="1:12">
      <c r="A803" t="s">
        <v>289</v>
      </c>
      <c r="B803" t="s">
        <v>30</v>
      </c>
      <c r="C803" t="s">
        <v>77</v>
      </c>
      <c r="D803">
        <v>2</v>
      </c>
      <c r="E803">
        <v>1.61</v>
      </c>
      <c r="F803">
        <v>-0.3899999999999999</v>
      </c>
      <c r="G803">
        <v>0.3899999999999999</v>
      </c>
      <c r="H803">
        <v>0</v>
      </c>
      <c r="I803">
        <v>1</v>
      </c>
      <c r="J803">
        <v>0</v>
      </c>
      <c r="K803" t="s">
        <v>34</v>
      </c>
      <c r="L803" t="s">
        <v>49</v>
      </c>
    </row>
    <row r="804" spans="1:12">
      <c r="A804" t="s">
        <v>289</v>
      </c>
      <c r="B804" t="s">
        <v>30</v>
      </c>
      <c r="C804" t="s">
        <v>78</v>
      </c>
      <c r="D804">
        <v>2</v>
      </c>
      <c r="E804">
        <v>1.61</v>
      </c>
      <c r="F804">
        <v>-0.3899999999999999</v>
      </c>
      <c r="G804">
        <v>0.3899999999999999</v>
      </c>
      <c r="H804">
        <v>0</v>
      </c>
      <c r="I804">
        <v>1</v>
      </c>
      <c r="J804">
        <v>0</v>
      </c>
      <c r="K804" t="s">
        <v>34</v>
      </c>
      <c r="L804" t="s">
        <v>49</v>
      </c>
    </row>
    <row r="805" spans="1:12">
      <c r="A805" t="s">
        <v>289</v>
      </c>
      <c r="B805" t="s">
        <v>30</v>
      </c>
      <c r="C805" t="s">
        <v>79</v>
      </c>
      <c r="D805">
        <v>2</v>
      </c>
      <c r="E805">
        <v>1.61</v>
      </c>
      <c r="F805">
        <v>-0.3899999999999999</v>
      </c>
      <c r="G805">
        <v>0.3899999999999999</v>
      </c>
      <c r="H805">
        <v>0</v>
      </c>
      <c r="I805">
        <v>1</v>
      </c>
      <c r="J805">
        <v>0</v>
      </c>
      <c r="K805" t="s">
        <v>34</v>
      </c>
      <c r="L805" t="s">
        <v>49</v>
      </c>
    </row>
    <row r="806" spans="1:12">
      <c r="A806" t="s">
        <v>289</v>
      </c>
      <c r="B806" t="s">
        <v>30</v>
      </c>
      <c r="C806" t="s">
        <v>80</v>
      </c>
      <c r="D806">
        <v>2</v>
      </c>
      <c r="E806">
        <v>1.61</v>
      </c>
      <c r="F806">
        <v>-0.3899999999999999</v>
      </c>
      <c r="G806">
        <v>0.3899999999999999</v>
      </c>
      <c r="H806">
        <v>0</v>
      </c>
      <c r="I806">
        <v>1</v>
      </c>
      <c r="J806">
        <v>0</v>
      </c>
      <c r="K806" t="s">
        <v>34</v>
      </c>
      <c r="L806" t="s">
        <v>49</v>
      </c>
    </row>
    <row r="807" spans="1:12">
      <c r="A807" t="s">
        <v>289</v>
      </c>
      <c r="B807" t="s">
        <v>30</v>
      </c>
      <c r="C807" t="s">
        <v>81</v>
      </c>
      <c r="D807">
        <v>2</v>
      </c>
      <c r="E807">
        <v>1.61</v>
      </c>
      <c r="F807">
        <v>-0.3899999999999999</v>
      </c>
      <c r="G807">
        <v>0.3899999999999999</v>
      </c>
      <c r="H807">
        <v>0</v>
      </c>
      <c r="I807">
        <v>1</v>
      </c>
      <c r="J807">
        <v>0</v>
      </c>
      <c r="K807" t="s">
        <v>34</v>
      </c>
      <c r="L807" t="s">
        <v>49</v>
      </c>
    </row>
    <row r="808" spans="1:12">
      <c r="A808" t="s">
        <v>289</v>
      </c>
      <c r="B808" t="s">
        <v>30</v>
      </c>
      <c r="C808" t="s">
        <v>82</v>
      </c>
      <c r="D808">
        <v>2</v>
      </c>
      <c r="E808">
        <v>1.61</v>
      </c>
      <c r="F808">
        <v>-0.3899999999999999</v>
      </c>
      <c r="G808">
        <v>0.3899999999999999</v>
      </c>
      <c r="H808">
        <v>0</v>
      </c>
      <c r="I808">
        <v>1</v>
      </c>
      <c r="J808">
        <v>0</v>
      </c>
      <c r="K808" t="s">
        <v>34</v>
      </c>
      <c r="L808" t="s">
        <v>49</v>
      </c>
    </row>
    <row r="809" spans="1:12">
      <c r="A809" t="s">
        <v>289</v>
      </c>
      <c r="B809" t="s">
        <v>30</v>
      </c>
      <c r="C809" t="s">
        <v>83</v>
      </c>
      <c r="D809">
        <v>1</v>
      </c>
      <c r="E809">
        <v>1.61</v>
      </c>
      <c r="F809">
        <v>0.6100000000000001</v>
      </c>
      <c r="G809">
        <v>0.6100000000000001</v>
      </c>
      <c r="H809">
        <v>0</v>
      </c>
      <c r="I809">
        <v>1</v>
      </c>
      <c r="J809">
        <v>0</v>
      </c>
      <c r="K809" t="s">
        <v>34</v>
      </c>
      <c r="L809" t="s">
        <v>49</v>
      </c>
    </row>
    <row r="810" spans="1:12">
      <c r="A810" t="s">
        <v>289</v>
      </c>
      <c r="B810" t="s">
        <v>30</v>
      </c>
      <c r="C810" t="s">
        <v>84</v>
      </c>
      <c r="D810">
        <v>1</v>
      </c>
      <c r="E810">
        <v>1.61</v>
      </c>
      <c r="F810">
        <v>0.6100000000000001</v>
      </c>
      <c r="G810">
        <v>0.6100000000000001</v>
      </c>
      <c r="H810">
        <v>0</v>
      </c>
      <c r="I810">
        <v>1</v>
      </c>
      <c r="J810">
        <v>0</v>
      </c>
      <c r="K810" t="s">
        <v>34</v>
      </c>
      <c r="L810" t="s">
        <v>49</v>
      </c>
    </row>
    <row r="811" spans="1:12">
      <c r="A811" t="s">
        <v>289</v>
      </c>
      <c r="B811" t="s">
        <v>30</v>
      </c>
      <c r="C811" t="s">
        <v>85</v>
      </c>
      <c r="D811">
        <v>2</v>
      </c>
      <c r="E811">
        <v>1.61</v>
      </c>
      <c r="F811">
        <v>-0.3899999999999999</v>
      </c>
      <c r="G811">
        <v>0.3899999999999999</v>
      </c>
      <c r="H811">
        <v>0</v>
      </c>
      <c r="I811">
        <v>1</v>
      </c>
      <c r="J811">
        <v>0</v>
      </c>
      <c r="K811" t="s">
        <v>34</v>
      </c>
      <c r="L811" t="s">
        <v>49</v>
      </c>
    </row>
    <row r="812" spans="1:12">
      <c r="A812" t="s">
        <v>289</v>
      </c>
      <c r="B812" t="s">
        <v>30</v>
      </c>
      <c r="C812" t="s">
        <v>86</v>
      </c>
      <c r="D812">
        <v>2</v>
      </c>
      <c r="E812">
        <v>1.61</v>
      </c>
      <c r="F812">
        <v>-0.3899999999999999</v>
      </c>
      <c r="G812">
        <v>0.3899999999999999</v>
      </c>
      <c r="H812">
        <v>0</v>
      </c>
      <c r="I812">
        <v>1</v>
      </c>
      <c r="J812">
        <v>0</v>
      </c>
      <c r="K812" t="s">
        <v>34</v>
      </c>
      <c r="L812" t="s">
        <v>50</v>
      </c>
    </row>
    <row r="813" spans="1:12">
      <c r="A813" t="s">
        <v>289</v>
      </c>
      <c r="B813" t="s">
        <v>30</v>
      </c>
      <c r="C813" t="s">
        <v>87</v>
      </c>
      <c r="D813">
        <v>2</v>
      </c>
      <c r="E813">
        <v>1.61</v>
      </c>
      <c r="F813">
        <v>-0.3899999999999999</v>
      </c>
      <c r="G813">
        <v>0.3899999999999999</v>
      </c>
      <c r="H813">
        <v>0</v>
      </c>
      <c r="I813">
        <v>1</v>
      </c>
      <c r="J813">
        <v>0</v>
      </c>
      <c r="K813" t="s">
        <v>34</v>
      </c>
      <c r="L813" t="s">
        <v>50</v>
      </c>
    </row>
    <row r="814" spans="1:12">
      <c r="A814" t="s">
        <v>289</v>
      </c>
      <c r="B814" t="s">
        <v>30</v>
      </c>
      <c r="C814" t="s">
        <v>88</v>
      </c>
      <c r="D814">
        <v>2</v>
      </c>
      <c r="E814">
        <v>1.61</v>
      </c>
      <c r="F814">
        <v>-0.3899999999999999</v>
      </c>
      <c r="G814">
        <v>0.3899999999999999</v>
      </c>
      <c r="H814">
        <v>0</v>
      </c>
      <c r="I814">
        <v>1</v>
      </c>
      <c r="J814">
        <v>0</v>
      </c>
      <c r="K814" t="s">
        <v>34</v>
      </c>
      <c r="L814" t="s">
        <v>50</v>
      </c>
    </row>
    <row r="815" spans="1:12">
      <c r="A815" t="s">
        <v>289</v>
      </c>
      <c r="B815" t="s">
        <v>30</v>
      </c>
      <c r="C815" t="s">
        <v>89</v>
      </c>
      <c r="D815">
        <v>2</v>
      </c>
      <c r="E815">
        <v>0.72</v>
      </c>
      <c r="F815">
        <v>-1.28</v>
      </c>
      <c r="G815">
        <v>1.28</v>
      </c>
      <c r="H815">
        <v>1</v>
      </c>
      <c r="I815">
        <v>0</v>
      </c>
      <c r="J815">
        <v>1</v>
      </c>
      <c r="K815" t="s">
        <v>33</v>
      </c>
      <c r="L815" t="s">
        <v>50</v>
      </c>
    </row>
    <row r="816" spans="1:12">
      <c r="A816" t="s">
        <v>289</v>
      </c>
      <c r="B816" t="s">
        <v>30</v>
      </c>
      <c r="C816" t="s">
        <v>90</v>
      </c>
      <c r="D816">
        <v>2</v>
      </c>
      <c r="E816">
        <v>0.72</v>
      </c>
      <c r="F816">
        <v>-1.28</v>
      </c>
      <c r="G816">
        <v>1.28</v>
      </c>
      <c r="H816">
        <v>1</v>
      </c>
      <c r="I816">
        <v>0</v>
      </c>
      <c r="J816">
        <v>1</v>
      </c>
      <c r="K816" t="s">
        <v>33</v>
      </c>
      <c r="L816" t="s">
        <v>50</v>
      </c>
    </row>
    <row r="817" spans="1:12">
      <c r="A817" t="s">
        <v>289</v>
      </c>
      <c r="B817" t="s">
        <v>30</v>
      </c>
      <c r="C817" t="s">
        <v>91</v>
      </c>
      <c r="D817">
        <v>1</v>
      </c>
      <c r="E817">
        <v>0.72</v>
      </c>
      <c r="F817">
        <v>-0.28000000000000003</v>
      </c>
      <c r="G817">
        <v>0.28000000000000003</v>
      </c>
      <c r="H817">
        <v>0</v>
      </c>
      <c r="I817">
        <v>1</v>
      </c>
      <c r="J817">
        <v>0</v>
      </c>
      <c r="K817" t="s">
        <v>34</v>
      </c>
      <c r="L817" t="s">
        <v>50</v>
      </c>
    </row>
    <row r="818" spans="1:12">
      <c r="A818" t="s">
        <v>289</v>
      </c>
      <c r="B818" t="s">
        <v>30</v>
      </c>
      <c r="C818" t="s">
        <v>92</v>
      </c>
      <c r="D818">
        <v>2</v>
      </c>
      <c r="E818">
        <v>0.72</v>
      </c>
      <c r="F818">
        <v>-1.28</v>
      </c>
      <c r="G818">
        <v>1.28</v>
      </c>
      <c r="H818">
        <v>1</v>
      </c>
      <c r="I818">
        <v>0</v>
      </c>
      <c r="J818">
        <v>1</v>
      </c>
      <c r="K818" t="s">
        <v>33</v>
      </c>
      <c r="L818" t="s">
        <v>50</v>
      </c>
    </row>
    <row r="819" spans="1:12">
      <c r="A819" t="s">
        <v>289</v>
      </c>
      <c r="B819" t="s">
        <v>30</v>
      </c>
      <c r="C819" t="s">
        <v>93</v>
      </c>
      <c r="D819">
        <v>2</v>
      </c>
      <c r="E819">
        <v>1.61</v>
      </c>
      <c r="F819">
        <v>-0.3899999999999999</v>
      </c>
      <c r="G819">
        <v>0.3899999999999999</v>
      </c>
      <c r="H819">
        <v>0</v>
      </c>
      <c r="I819">
        <v>1</v>
      </c>
      <c r="J819">
        <v>0</v>
      </c>
      <c r="K819" t="s">
        <v>34</v>
      </c>
      <c r="L819" t="s">
        <v>50</v>
      </c>
    </row>
    <row r="820" spans="1:12">
      <c r="A820" t="s">
        <v>289</v>
      </c>
      <c r="B820" t="s">
        <v>30</v>
      </c>
      <c r="C820" t="s">
        <v>94</v>
      </c>
      <c r="D820">
        <v>2</v>
      </c>
      <c r="E820">
        <v>1.61</v>
      </c>
      <c r="F820">
        <v>-0.3899999999999999</v>
      </c>
      <c r="G820">
        <v>0.3899999999999999</v>
      </c>
      <c r="H820">
        <v>0</v>
      </c>
      <c r="I820">
        <v>1</v>
      </c>
      <c r="J820">
        <v>0</v>
      </c>
      <c r="K820" t="s">
        <v>34</v>
      </c>
      <c r="L820" t="s">
        <v>50</v>
      </c>
    </row>
    <row r="821" spans="1:12">
      <c r="A821" t="s">
        <v>289</v>
      </c>
      <c r="B821" t="s">
        <v>30</v>
      </c>
      <c r="C821" t="s">
        <v>95</v>
      </c>
      <c r="D821">
        <v>2</v>
      </c>
      <c r="E821">
        <v>1.61</v>
      </c>
      <c r="F821">
        <v>-0.3899999999999999</v>
      </c>
      <c r="G821">
        <v>0.3899999999999999</v>
      </c>
      <c r="H821">
        <v>0</v>
      </c>
      <c r="I821">
        <v>1</v>
      </c>
      <c r="J821">
        <v>0</v>
      </c>
      <c r="K821" t="s">
        <v>34</v>
      </c>
      <c r="L821" t="s">
        <v>50</v>
      </c>
    </row>
    <row r="822" spans="1:12">
      <c r="A822" t="s">
        <v>289</v>
      </c>
      <c r="B822" t="s">
        <v>30</v>
      </c>
      <c r="C822" t="s">
        <v>96</v>
      </c>
      <c r="D822">
        <v>2</v>
      </c>
      <c r="E822">
        <v>1.61</v>
      </c>
      <c r="F822">
        <v>-0.3899999999999999</v>
      </c>
      <c r="G822">
        <v>0.3899999999999999</v>
      </c>
      <c r="H822">
        <v>0</v>
      </c>
      <c r="I822">
        <v>1</v>
      </c>
      <c r="J822">
        <v>0</v>
      </c>
      <c r="K822" t="s">
        <v>34</v>
      </c>
      <c r="L822" t="s">
        <v>40</v>
      </c>
    </row>
    <row r="823" spans="1:12">
      <c r="A823" t="s">
        <v>289</v>
      </c>
      <c r="B823" t="s">
        <v>30</v>
      </c>
      <c r="C823" t="s">
        <v>31</v>
      </c>
      <c r="D823">
        <v>2</v>
      </c>
      <c r="E823">
        <v>1.61</v>
      </c>
      <c r="F823">
        <v>-0.3899999999999999</v>
      </c>
      <c r="G823">
        <v>0.3899999999999999</v>
      </c>
      <c r="H823">
        <v>0</v>
      </c>
      <c r="I823">
        <v>1</v>
      </c>
      <c r="J823">
        <v>0</v>
      </c>
      <c r="K823" t="s">
        <v>34</v>
      </c>
      <c r="L823" t="s">
        <v>40</v>
      </c>
    </row>
    <row r="824" spans="1:12">
      <c r="A824" t="s">
        <v>289</v>
      </c>
      <c r="B824" t="s">
        <v>30</v>
      </c>
      <c r="C824" t="s">
        <v>30</v>
      </c>
      <c r="D824">
        <v>2</v>
      </c>
      <c r="E824">
        <v>1.61</v>
      </c>
      <c r="F824">
        <v>-0.3899999999999999</v>
      </c>
      <c r="G824">
        <v>0.3899999999999999</v>
      </c>
      <c r="H824">
        <v>0</v>
      </c>
      <c r="I824">
        <v>1</v>
      </c>
      <c r="J824">
        <v>0</v>
      </c>
      <c r="K824" t="s">
        <v>34</v>
      </c>
      <c r="L824" t="s">
        <v>40</v>
      </c>
    </row>
    <row r="825" spans="1:12">
      <c r="A825" t="s">
        <v>289</v>
      </c>
      <c r="B825" t="s">
        <v>30</v>
      </c>
      <c r="C825" t="s">
        <v>97</v>
      </c>
      <c r="D825">
        <v>2</v>
      </c>
      <c r="E825">
        <v>1.61</v>
      </c>
      <c r="F825">
        <v>-0.3899999999999999</v>
      </c>
      <c r="G825">
        <v>0.3899999999999999</v>
      </c>
      <c r="H825">
        <v>0</v>
      </c>
      <c r="I825">
        <v>1</v>
      </c>
      <c r="J825">
        <v>0</v>
      </c>
      <c r="K825" t="s">
        <v>34</v>
      </c>
      <c r="L825" t="s">
        <v>40</v>
      </c>
    </row>
    <row r="826" spans="1:12">
      <c r="A826" t="s">
        <v>289</v>
      </c>
      <c r="B826" t="s">
        <v>30</v>
      </c>
      <c r="C826" t="s">
        <v>98</v>
      </c>
      <c r="D826">
        <v>1</v>
      </c>
      <c r="E826">
        <v>1.61</v>
      </c>
      <c r="F826">
        <v>0.6100000000000001</v>
      </c>
      <c r="G826">
        <v>0.6100000000000001</v>
      </c>
      <c r="H826">
        <v>0</v>
      </c>
      <c r="I826">
        <v>1</v>
      </c>
      <c r="J826">
        <v>0</v>
      </c>
      <c r="K826" t="s">
        <v>34</v>
      </c>
      <c r="L826" t="s">
        <v>40</v>
      </c>
    </row>
    <row r="827" spans="1:12">
      <c r="A827" t="s">
        <v>289</v>
      </c>
      <c r="B827" t="s">
        <v>30</v>
      </c>
      <c r="C827" t="s">
        <v>99</v>
      </c>
      <c r="D827">
        <v>1</v>
      </c>
      <c r="E827">
        <v>1.61</v>
      </c>
      <c r="F827">
        <v>0.6100000000000001</v>
      </c>
      <c r="G827">
        <v>0.6100000000000001</v>
      </c>
      <c r="H827">
        <v>0</v>
      </c>
      <c r="I827">
        <v>1</v>
      </c>
      <c r="J827">
        <v>0</v>
      </c>
      <c r="K827" t="s">
        <v>34</v>
      </c>
      <c r="L827" t="s">
        <v>39</v>
      </c>
    </row>
    <row r="828" spans="1:12">
      <c r="A828" t="s">
        <v>289</v>
      </c>
      <c r="B828" t="s">
        <v>30</v>
      </c>
      <c r="C828" t="s">
        <v>100</v>
      </c>
      <c r="D828">
        <v>2</v>
      </c>
      <c r="E828">
        <v>1.61</v>
      </c>
      <c r="F828">
        <v>-0.3899999999999999</v>
      </c>
      <c r="G828">
        <v>0.3899999999999999</v>
      </c>
      <c r="H828">
        <v>0</v>
      </c>
      <c r="I828">
        <v>1</v>
      </c>
      <c r="J828">
        <v>0</v>
      </c>
      <c r="K828" t="s">
        <v>34</v>
      </c>
      <c r="L828" t="s">
        <v>39</v>
      </c>
    </row>
    <row r="829" spans="1:12">
      <c r="A829" t="s">
        <v>289</v>
      </c>
      <c r="B829" t="s">
        <v>30</v>
      </c>
      <c r="C829" t="s">
        <v>101</v>
      </c>
      <c r="D829">
        <v>2</v>
      </c>
      <c r="E829">
        <v>1.61</v>
      </c>
      <c r="F829">
        <v>-0.3899999999999999</v>
      </c>
      <c r="G829">
        <v>0.3899999999999999</v>
      </c>
      <c r="H829">
        <v>0</v>
      </c>
      <c r="I829">
        <v>1</v>
      </c>
      <c r="J829">
        <v>0</v>
      </c>
      <c r="K829" t="s">
        <v>34</v>
      </c>
      <c r="L829" t="s">
        <v>39</v>
      </c>
    </row>
    <row r="830" spans="1:12">
      <c r="A830" t="s">
        <v>289</v>
      </c>
      <c r="B830" t="s">
        <v>30</v>
      </c>
      <c r="C830" t="s">
        <v>102</v>
      </c>
      <c r="D830">
        <v>2</v>
      </c>
      <c r="E830">
        <v>1.61</v>
      </c>
      <c r="F830">
        <v>-0.3899999999999999</v>
      </c>
      <c r="G830">
        <v>0.3899999999999999</v>
      </c>
      <c r="H830">
        <v>0</v>
      </c>
      <c r="I830">
        <v>1</v>
      </c>
      <c r="J830">
        <v>0</v>
      </c>
      <c r="K830" t="s">
        <v>34</v>
      </c>
      <c r="L830" t="s">
        <v>39</v>
      </c>
    </row>
    <row r="831" spans="1:12">
      <c r="A831" t="s">
        <v>289</v>
      </c>
      <c r="B831" t="s">
        <v>30</v>
      </c>
      <c r="C831" t="s">
        <v>103</v>
      </c>
      <c r="D831">
        <v>2</v>
      </c>
      <c r="E831">
        <v>0.72</v>
      </c>
      <c r="F831">
        <v>-1.28</v>
      </c>
      <c r="G831">
        <v>1.28</v>
      </c>
      <c r="H831">
        <v>1</v>
      </c>
      <c r="I831">
        <v>0</v>
      </c>
      <c r="J831">
        <v>1</v>
      </c>
      <c r="K831" t="s">
        <v>33</v>
      </c>
      <c r="L831" t="s">
        <v>39</v>
      </c>
    </row>
    <row r="832" spans="1:12">
      <c r="A832" t="s">
        <v>289</v>
      </c>
      <c r="B832" t="s">
        <v>30</v>
      </c>
      <c r="C832" t="s">
        <v>104</v>
      </c>
      <c r="D832">
        <v>2</v>
      </c>
      <c r="E832">
        <v>0.72</v>
      </c>
      <c r="F832">
        <v>-1.28</v>
      </c>
      <c r="G832">
        <v>1.28</v>
      </c>
      <c r="H832">
        <v>1</v>
      </c>
      <c r="I832">
        <v>0</v>
      </c>
      <c r="J832">
        <v>1</v>
      </c>
      <c r="K832" t="s">
        <v>33</v>
      </c>
      <c r="L832" t="s">
        <v>41</v>
      </c>
    </row>
    <row r="833" spans="1:12">
      <c r="A833" t="s">
        <v>289</v>
      </c>
      <c r="B833" t="s">
        <v>30</v>
      </c>
      <c r="C833" t="s">
        <v>105</v>
      </c>
      <c r="D833">
        <v>2</v>
      </c>
      <c r="E833">
        <v>1.61</v>
      </c>
      <c r="F833">
        <v>-0.3899999999999999</v>
      </c>
      <c r="G833">
        <v>0.3899999999999999</v>
      </c>
      <c r="H833">
        <v>0</v>
      </c>
      <c r="I833">
        <v>1</v>
      </c>
      <c r="J833">
        <v>0</v>
      </c>
      <c r="K833" t="s">
        <v>34</v>
      </c>
      <c r="L833" t="s">
        <v>41</v>
      </c>
    </row>
    <row r="834" spans="1:12">
      <c r="A834" t="s">
        <v>289</v>
      </c>
      <c r="B834" t="s">
        <v>30</v>
      </c>
      <c r="C834" t="s">
        <v>106</v>
      </c>
      <c r="D834">
        <v>1</v>
      </c>
      <c r="E834">
        <v>1.61</v>
      </c>
      <c r="F834">
        <v>0.6100000000000001</v>
      </c>
      <c r="G834">
        <v>0.6100000000000001</v>
      </c>
      <c r="H834">
        <v>0</v>
      </c>
      <c r="I834">
        <v>1</v>
      </c>
      <c r="J834">
        <v>0</v>
      </c>
      <c r="K834" t="s">
        <v>34</v>
      </c>
      <c r="L834" t="s">
        <v>41</v>
      </c>
    </row>
    <row r="835" spans="1:12">
      <c r="A835" t="s">
        <v>289</v>
      </c>
      <c r="B835" t="s">
        <v>30</v>
      </c>
      <c r="C835" t="s">
        <v>107</v>
      </c>
      <c r="D835">
        <v>2</v>
      </c>
      <c r="E835">
        <v>1.61</v>
      </c>
      <c r="F835">
        <v>-0.3899999999999999</v>
      </c>
      <c r="G835">
        <v>0.3899999999999999</v>
      </c>
      <c r="H835">
        <v>0</v>
      </c>
      <c r="I835">
        <v>1</v>
      </c>
      <c r="J835">
        <v>0</v>
      </c>
      <c r="K835" t="s">
        <v>34</v>
      </c>
      <c r="L835" t="s">
        <v>41</v>
      </c>
    </row>
    <row r="836" spans="1:12">
      <c r="A836" t="s">
        <v>289</v>
      </c>
      <c r="B836" t="s">
        <v>30</v>
      </c>
      <c r="C836" t="s">
        <v>108</v>
      </c>
      <c r="D836">
        <v>2</v>
      </c>
      <c r="E836">
        <v>1.61</v>
      </c>
      <c r="F836">
        <v>-0.3899999999999999</v>
      </c>
      <c r="G836">
        <v>0.3899999999999999</v>
      </c>
      <c r="H836">
        <v>0</v>
      </c>
      <c r="I836">
        <v>1</v>
      </c>
      <c r="J836">
        <v>0</v>
      </c>
      <c r="K836" t="s">
        <v>34</v>
      </c>
      <c r="L836" t="s">
        <v>41</v>
      </c>
    </row>
    <row r="837" spans="1:12">
      <c r="A837" t="s">
        <v>289</v>
      </c>
      <c r="B837" t="s">
        <v>30</v>
      </c>
      <c r="C837" t="s">
        <v>109</v>
      </c>
      <c r="D837">
        <v>2</v>
      </c>
      <c r="E837">
        <v>1.61</v>
      </c>
      <c r="F837">
        <v>-0.3899999999999999</v>
      </c>
      <c r="G837">
        <v>0.3899999999999999</v>
      </c>
      <c r="H837">
        <v>0</v>
      </c>
      <c r="I837">
        <v>1</v>
      </c>
      <c r="J837">
        <v>0</v>
      </c>
      <c r="K837" t="s">
        <v>34</v>
      </c>
      <c r="L837" t="s">
        <v>38</v>
      </c>
    </row>
    <row r="838" spans="1:12">
      <c r="A838" t="s">
        <v>289</v>
      </c>
      <c r="B838" t="s">
        <v>30</v>
      </c>
      <c r="C838" t="s">
        <v>110</v>
      </c>
      <c r="D838">
        <v>2</v>
      </c>
      <c r="E838">
        <v>1.61</v>
      </c>
      <c r="F838">
        <v>-0.3899999999999999</v>
      </c>
      <c r="G838">
        <v>0.3899999999999999</v>
      </c>
      <c r="H838">
        <v>0</v>
      </c>
      <c r="I838">
        <v>1</v>
      </c>
      <c r="J838">
        <v>0</v>
      </c>
      <c r="K838" t="s">
        <v>34</v>
      </c>
      <c r="L838" t="s">
        <v>38</v>
      </c>
    </row>
    <row r="839" spans="1:12">
      <c r="A839" t="s">
        <v>289</v>
      </c>
      <c r="B839" t="s">
        <v>30</v>
      </c>
      <c r="C839" t="s">
        <v>111</v>
      </c>
      <c r="D839">
        <v>2</v>
      </c>
      <c r="E839">
        <v>1.61</v>
      </c>
      <c r="F839">
        <v>-0.3899999999999999</v>
      </c>
      <c r="G839">
        <v>0.3899999999999999</v>
      </c>
      <c r="H839">
        <v>0</v>
      </c>
      <c r="I839">
        <v>1</v>
      </c>
      <c r="J839">
        <v>0</v>
      </c>
      <c r="K839" t="s">
        <v>34</v>
      </c>
      <c r="L839" t="s">
        <v>38</v>
      </c>
    </row>
    <row r="840" spans="1:12">
      <c r="A840" t="s">
        <v>289</v>
      </c>
      <c r="B840" t="s">
        <v>30</v>
      </c>
      <c r="C840" t="s">
        <v>112</v>
      </c>
      <c r="D840">
        <v>2</v>
      </c>
      <c r="E840">
        <v>1.61</v>
      </c>
      <c r="F840">
        <v>-0.3899999999999999</v>
      </c>
      <c r="G840">
        <v>0.3899999999999999</v>
      </c>
      <c r="H840">
        <v>0</v>
      </c>
      <c r="I840">
        <v>1</v>
      </c>
      <c r="J840">
        <v>0</v>
      </c>
      <c r="K840" t="s">
        <v>34</v>
      </c>
      <c r="L840" t="s">
        <v>38</v>
      </c>
    </row>
    <row r="841" spans="1:12">
      <c r="A841" t="s">
        <v>289</v>
      </c>
      <c r="B841" t="s">
        <v>30</v>
      </c>
      <c r="C841" t="s">
        <v>113</v>
      </c>
      <c r="D841">
        <v>2</v>
      </c>
      <c r="E841">
        <v>1.61</v>
      </c>
      <c r="F841">
        <v>-0.3899999999999999</v>
      </c>
      <c r="G841">
        <v>0.3899999999999999</v>
      </c>
      <c r="H841">
        <v>0</v>
      </c>
      <c r="I841">
        <v>1</v>
      </c>
      <c r="J841">
        <v>0</v>
      </c>
      <c r="K841" t="s">
        <v>34</v>
      </c>
      <c r="L841" t="s">
        <v>38</v>
      </c>
    </row>
    <row r="842" spans="1:12">
      <c r="A842" t="s">
        <v>289</v>
      </c>
      <c r="B842" t="s">
        <v>30</v>
      </c>
      <c r="C842" t="s">
        <v>114</v>
      </c>
      <c r="D842">
        <v>2</v>
      </c>
      <c r="E842">
        <v>1.61</v>
      </c>
      <c r="F842">
        <v>-0.3899999999999999</v>
      </c>
      <c r="G842">
        <v>0.3899999999999999</v>
      </c>
      <c r="H842">
        <v>0</v>
      </c>
      <c r="I842">
        <v>1</v>
      </c>
      <c r="J842">
        <v>0</v>
      </c>
      <c r="K842" t="s">
        <v>34</v>
      </c>
      <c r="L842" t="s">
        <v>38</v>
      </c>
    </row>
    <row r="843" spans="1:12">
      <c r="A843" t="s">
        <v>289</v>
      </c>
      <c r="B843" t="s">
        <v>30</v>
      </c>
      <c r="C843" t="s">
        <v>115</v>
      </c>
      <c r="D843">
        <v>1</v>
      </c>
      <c r="E843">
        <v>1.61</v>
      </c>
      <c r="F843">
        <v>0.6100000000000001</v>
      </c>
      <c r="G843">
        <v>0.6100000000000001</v>
      </c>
      <c r="H843">
        <v>0</v>
      </c>
      <c r="I843">
        <v>1</v>
      </c>
      <c r="J843">
        <v>0</v>
      </c>
      <c r="K843" t="s">
        <v>34</v>
      </c>
      <c r="L843" t="s">
        <v>38</v>
      </c>
    </row>
    <row r="844" spans="1:12">
      <c r="A844" t="s">
        <v>289</v>
      </c>
      <c r="B844" t="s">
        <v>30</v>
      </c>
      <c r="C844" t="s">
        <v>116</v>
      </c>
      <c r="D844">
        <v>1</v>
      </c>
      <c r="E844">
        <v>1.61</v>
      </c>
      <c r="F844">
        <v>0.6100000000000001</v>
      </c>
      <c r="G844">
        <v>0.6100000000000001</v>
      </c>
      <c r="H844">
        <v>0</v>
      </c>
      <c r="I844">
        <v>1</v>
      </c>
      <c r="J844">
        <v>0</v>
      </c>
      <c r="K844" t="s">
        <v>34</v>
      </c>
      <c r="L844" t="s">
        <v>38</v>
      </c>
    </row>
    <row r="845" spans="1:12">
      <c r="A845" t="s">
        <v>289</v>
      </c>
      <c r="B845" t="s">
        <v>30</v>
      </c>
      <c r="C845" t="s">
        <v>117</v>
      </c>
      <c r="D845">
        <v>2</v>
      </c>
      <c r="E845">
        <v>1.61</v>
      </c>
      <c r="F845">
        <v>-0.3899999999999999</v>
      </c>
      <c r="G845">
        <v>0.3899999999999999</v>
      </c>
      <c r="H845">
        <v>0</v>
      </c>
      <c r="I845">
        <v>1</v>
      </c>
      <c r="J845">
        <v>0</v>
      </c>
      <c r="K845" t="s">
        <v>34</v>
      </c>
      <c r="L845" t="s">
        <v>38</v>
      </c>
    </row>
    <row r="846" spans="1:12">
      <c r="A846" t="s">
        <v>289</v>
      </c>
      <c r="B846" t="s">
        <v>30</v>
      </c>
      <c r="C846" t="s">
        <v>118</v>
      </c>
      <c r="D846">
        <v>2</v>
      </c>
      <c r="E846">
        <v>1.61</v>
      </c>
      <c r="F846">
        <v>-0.3899999999999999</v>
      </c>
      <c r="G846">
        <v>0.3899999999999999</v>
      </c>
      <c r="H846">
        <v>0</v>
      </c>
      <c r="I846">
        <v>1</v>
      </c>
      <c r="J846">
        <v>0</v>
      </c>
      <c r="K846" t="s">
        <v>34</v>
      </c>
      <c r="L846" t="s">
        <v>38</v>
      </c>
    </row>
    <row r="847" spans="1:12">
      <c r="A847" t="s">
        <v>289</v>
      </c>
      <c r="B847" t="s">
        <v>30</v>
      </c>
      <c r="C847" t="s">
        <v>119</v>
      </c>
      <c r="D847">
        <v>2</v>
      </c>
      <c r="E847">
        <v>1.61</v>
      </c>
      <c r="F847">
        <v>-0.3899999999999999</v>
      </c>
      <c r="G847">
        <v>0.3899999999999999</v>
      </c>
      <c r="H847">
        <v>0</v>
      </c>
      <c r="I847">
        <v>1</v>
      </c>
      <c r="J847">
        <v>0</v>
      </c>
      <c r="K847" t="s">
        <v>34</v>
      </c>
      <c r="L847" t="s">
        <v>44</v>
      </c>
    </row>
    <row r="848" spans="1:12">
      <c r="A848" t="s">
        <v>289</v>
      </c>
      <c r="B848" t="s">
        <v>30</v>
      </c>
      <c r="C848" t="s">
        <v>120</v>
      </c>
      <c r="D848">
        <v>2</v>
      </c>
      <c r="E848">
        <v>1.61</v>
      </c>
      <c r="F848">
        <v>-0.3899999999999999</v>
      </c>
      <c r="G848">
        <v>0.3899999999999999</v>
      </c>
      <c r="H848">
        <v>0</v>
      </c>
      <c r="I848">
        <v>1</v>
      </c>
      <c r="J848">
        <v>0</v>
      </c>
      <c r="K848" t="s">
        <v>34</v>
      </c>
      <c r="L848" t="s">
        <v>44</v>
      </c>
    </row>
    <row r="849" spans="1:12">
      <c r="A849" t="s">
        <v>289</v>
      </c>
      <c r="B849" t="s">
        <v>30</v>
      </c>
      <c r="C849" t="s">
        <v>121</v>
      </c>
      <c r="D849">
        <v>2</v>
      </c>
      <c r="E849">
        <v>0.72</v>
      </c>
      <c r="F849">
        <v>-1.28</v>
      </c>
      <c r="G849">
        <v>1.28</v>
      </c>
      <c r="H849">
        <v>1</v>
      </c>
      <c r="I849">
        <v>0</v>
      </c>
      <c r="J849">
        <v>1</v>
      </c>
      <c r="K849" t="s">
        <v>33</v>
      </c>
      <c r="L849" t="s">
        <v>44</v>
      </c>
    </row>
    <row r="850" spans="1:12">
      <c r="A850" t="s">
        <v>289</v>
      </c>
      <c r="B850" t="s">
        <v>30</v>
      </c>
      <c r="C850" t="s">
        <v>122</v>
      </c>
      <c r="D850">
        <v>2</v>
      </c>
      <c r="E850">
        <v>0.72</v>
      </c>
      <c r="F850">
        <v>-1.28</v>
      </c>
      <c r="G850">
        <v>1.28</v>
      </c>
      <c r="H850">
        <v>1</v>
      </c>
      <c r="I850">
        <v>0</v>
      </c>
      <c r="J850">
        <v>1</v>
      </c>
      <c r="K850" t="s">
        <v>33</v>
      </c>
      <c r="L850" t="s">
        <v>44</v>
      </c>
    </row>
    <row r="851" spans="1:12">
      <c r="A851" t="s">
        <v>289</v>
      </c>
      <c r="B851" t="s">
        <v>30</v>
      </c>
      <c r="C851" t="s">
        <v>123</v>
      </c>
      <c r="D851">
        <v>1</v>
      </c>
      <c r="E851">
        <v>1.08</v>
      </c>
      <c r="F851">
        <v>8.0000000000000071E-2</v>
      </c>
      <c r="G851">
        <v>8.0000000000000071E-2</v>
      </c>
      <c r="H851">
        <v>0</v>
      </c>
      <c r="I851">
        <v>1</v>
      </c>
      <c r="J851">
        <v>0</v>
      </c>
      <c r="K851" t="s">
        <v>34</v>
      </c>
      <c r="L851" t="s">
        <v>44</v>
      </c>
    </row>
    <row r="852" spans="1:12">
      <c r="A852" t="s">
        <v>289</v>
      </c>
      <c r="B852" t="s">
        <v>30</v>
      </c>
      <c r="C852" t="s">
        <v>124</v>
      </c>
      <c r="D852">
        <v>2</v>
      </c>
      <c r="E852">
        <v>1.08</v>
      </c>
      <c r="F852">
        <v>-0.91999999999999993</v>
      </c>
      <c r="G852">
        <v>0.91999999999999993</v>
      </c>
      <c r="H852">
        <v>0</v>
      </c>
      <c r="I852">
        <v>1</v>
      </c>
      <c r="J852">
        <v>0</v>
      </c>
      <c r="K852" t="s">
        <v>34</v>
      </c>
      <c r="L852" t="s">
        <v>45</v>
      </c>
    </row>
    <row r="853" spans="1:12">
      <c r="A853" t="s">
        <v>289</v>
      </c>
      <c r="B853" t="s">
        <v>30</v>
      </c>
      <c r="C853" t="s">
        <v>125</v>
      </c>
      <c r="D853">
        <v>2</v>
      </c>
      <c r="E853">
        <v>2</v>
      </c>
      <c r="F853">
        <v>0</v>
      </c>
      <c r="G853">
        <v>0</v>
      </c>
      <c r="H853">
        <v>0</v>
      </c>
      <c r="I853">
        <v>1</v>
      </c>
      <c r="J853">
        <v>0</v>
      </c>
      <c r="K853" t="s">
        <v>34</v>
      </c>
      <c r="L853" t="s">
        <v>45</v>
      </c>
    </row>
    <row r="854" spans="1:12">
      <c r="A854" t="s">
        <v>289</v>
      </c>
      <c r="B854" t="s">
        <v>30</v>
      </c>
      <c r="C854" t="s">
        <v>126</v>
      </c>
      <c r="D854">
        <v>2</v>
      </c>
      <c r="E854">
        <v>2</v>
      </c>
      <c r="F854">
        <v>0</v>
      </c>
      <c r="G854">
        <v>0</v>
      </c>
      <c r="H854">
        <v>0</v>
      </c>
      <c r="I854">
        <v>1</v>
      </c>
      <c r="J854">
        <v>0</v>
      </c>
      <c r="K854" t="s">
        <v>34</v>
      </c>
      <c r="L854" t="s">
        <v>45</v>
      </c>
    </row>
    <row r="855" spans="1:12">
      <c r="A855" t="s">
        <v>289</v>
      </c>
      <c r="B855" t="s">
        <v>30</v>
      </c>
      <c r="C855" t="s">
        <v>127</v>
      </c>
      <c r="D855">
        <v>2</v>
      </c>
      <c r="E855">
        <v>2</v>
      </c>
      <c r="F855">
        <v>0</v>
      </c>
      <c r="G855">
        <v>0</v>
      </c>
      <c r="H855">
        <v>0</v>
      </c>
      <c r="I855">
        <v>1</v>
      </c>
      <c r="J855">
        <v>0</v>
      </c>
      <c r="K855" t="s">
        <v>34</v>
      </c>
      <c r="L855" t="s">
        <v>45</v>
      </c>
    </row>
    <row r="856" spans="1:12">
      <c r="A856" t="s">
        <v>289</v>
      </c>
      <c r="B856" t="s">
        <v>30</v>
      </c>
      <c r="C856" t="s">
        <v>128</v>
      </c>
      <c r="D856">
        <v>2</v>
      </c>
      <c r="E856">
        <v>2</v>
      </c>
      <c r="F856">
        <v>0</v>
      </c>
      <c r="G856">
        <v>0</v>
      </c>
      <c r="H856">
        <v>0</v>
      </c>
      <c r="I856">
        <v>1</v>
      </c>
      <c r="J856">
        <v>0</v>
      </c>
      <c r="K856" t="s">
        <v>34</v>
      </c>
      <c r="L856" t="s">
        <v>45</v>
      </c>
    </row>
    <row r="857" spans="1:12">
      <c r="A857" t="s">
        <v>289</v>
      </c>
      <c r="B857" t="s">
        <v>30</v>
      </c>
      <c r="C857" t="s">
        <v>129</v>
      </c>
      <c r="D857">
        <v>2</v>
      </c>
      <c r="E857">
        <v>2</v>
      </c>
      <c r="F857">
        <v>0</v>
      </c>
      <c r="G857">
        <v>0</v>
      </c>
      <c r="H857">
        <v>0</v>
      </c>
      <c r="I857">
        <v>1</v>
      </c>
      <c r="J857">
        <v>0</v>
      </c>
      <c r="K857" t="s">
        <v>34</v>
      </c>
      <c r="L857" t="s">
        <v>46</v>
      </c>
    </row>
    <row r="858" spans="1:12">
      <c r="A858" t="s">
        <v>289</v>
      </c>
      <c r="B858" t="s">
        <v>30</v>
      </c>
      <c r="C858" t="s">
        <v>130</v>
      </c>
      <c r="D858">
        <v>2</v>
      </c>
      <c r="E858">
        <v>2</v>
      </c>
      <c r="F858">
        <v>0</v>
      </c>
      <c r="G858">
        <v>0</v>
      </c>
      <c r="H858">
        <v>0</v>
      </c>
      <c r="I858">
        <v>1</v>
      </c>
      <c r="J858">
        <v>0</v>
      </c>
      <c r="K858" t="s">
        <v>34</v>
      </c>
      <c r="L858" t="s">
        <v>46</v>
      </c>
    </row>
    <row r="859" spans="1:12">
      <c r="A859" t="s">
        <v>289</v>
      </c>
      <c r="B859" t="s">
        <v>30</v>
      </c>
      <c r="C859" t="s">
        <v>131</v>
      </c>
      <c r="D859">
        <v>2</v>
      </c>
      <c r="E859">
        <v>1.61</v>
      </c>
      <c r="F859">
        <v>-0.3899999999999999</v>
      </c>
      <c r="G859">
        <v>0.3899999999999999</v>
      </c>
      <c r="H859">
        <v>0</v>
      </c>
      <c r="I859">
        <v>1</v>
      </c>
      <c r="J859">
        <v>0</v>
      </c>
      <c r="K859" t="s">
        <v>34</v>
      </c>
      <c r="L859" t="s">
        <v>46</v>
      </c>
    </row>
    <row r="860" spans="1:12">
      <c r="A860" t="s">
        <v>289</v>
      </c>
      <c r="B860" t="s">
        <v>30</v>
      </c>
      <c r="C860" t="s">
        <v>132</v>
      </c>
      <c r="D860">
        <v>1</v>
      </c>
      <c r="E860">
        <v>1.61</v>
      </c>
      <c r="F860">
        <v>0.6100000000000001</v>
      </c>
      <c r="G860">
        <v>0.6100000000000001</v>
      </c>
      <c r="H860">
        <v>0</v>
      </c>
      <c r="I860">
        <v>1</v>
      </c>
      <c r="J860">
        <v>0</v>
      </c>
      <c r="K860" t="s">
        <v>34</v>
      </c>
      <c r="L860" t="s">
        <v>46</v>
      </c>
    </row>
    <row r="861" spans="1:12">
      <c r="A861" t="s">
        <v>289</v>
      </c>
      <c r="B861" t="s">
        <v>30</v>
      </c>
      <c r="C861" t="s">
        <v>133</v>
      </c>
      <c r="D861">
        <v>1</v>
      </c>
      <c r="E861">
        <v>1.61</v>
      </c>
      <c r="F861">
        <v>0.6100000000000001</v>
      </c>
      <c r="G861">
        <v>0.6100000000000001</v>
      </c>
      <c r="H861">
        <v>0</v>
      </c>
      <c r="I861">
        <v>1</v>
      </c>
      <c r="J861">
        <v>0</v>
      </c>
      <c r="K861" t="s">
        <v>34</v>
      </c>
      <c r="L861" t="s">
        <v>46</v>
      </c>
    </row>
    <row r="862" spans="1:12">
      <c r="A862" t="s">
        <v>289</v>
      </c>
      <c r="B862" t="s">
        <v>30</v>
      </c>
      <c r="C862" t="s">
        <v>134</v>
      </c>
      <c r="D862">
        <v>2</v>
      </c>
      <c r="E862">
        <v>1.61</v>
      </c>
      <c r="F862">
        <v>-0.3899999999999999</v>
      </c>
      <c r="G862">
        <v>0.3899999999999999</v>
      </c>
      <c r="H862">
        <v>0</v>
      </c>
      <c r="I862">
        <v>1</v>
      </c>
      <c r="J862">
        <v>0</v>
      </c>
      <c r="K862" t="s">
        <v>34</v>
      </c>
      <c r="L862" t="s">
        <v>47</v>
      </c>
    </row>
    <row r="863" spans="1:12">
      <c r="A863" t="s">
        <v>289</v>
      </c>
      <c r="B863" t="s">
        <v>30</v>
      </c>
      <c r="C863" t="s">
        <v>135</v>
      </c>
      <c r="D863">
        <v>2</v>
      </c>
      <c r="E863">
        <v>1.61</v>
      </c>
      <c r="F863">
        <v>-0.3899999999999999</v>
      </c>
      <c r="G863">
        <v>0.3899999999999999</v>
      </c>
      <c r="H863">
        <v>0</v>
      </c>
      <c r="I863">
        <v>1</v>
      </c>
      <c r="J863">
        <v>0</v>
      </c>
      <c r="K863" t="s">
        <v>34</v>
      </c>
      <c r="L863" t="s">
        <v>47</v>
      </c>
    </row>
    <row r="864" spans="1:12">
      <c r="A864" t="s">
        <v>289</v>
      </c>
      <c r="B864" t="s">
        <v>30</v>
      </c>
      <c r="C864" t="s">
        <v>136</v>
      </c>
      <c r="D864">
        <v>2</v>
      </c>
      <c r="E864">
        <v>1.61</v>
      </c>
      <c r="F864">
        <v>-0.3899999999999999</v>
      </c>
      <c r="G864">
        <v>0.3899999999999999</v>
      </c>
      <c r="H864">
        <v>0</v>
      </c>
      <c r="I864">
        <v>1</v>
      </c>
      <c r="J864">
        <v>0</v>
      </c>
      <c r="K864" t="s">
        <v>34</v>
      </c>
      <c r="L864" t="s">
        <v>47</v>
      </c>
    </row>
    <row r="865" spans="1:12">
      <c r="A865" t="s">
        <v>289</v>
      </c>
      <c r="B865" t="s">
        <v>30</v>
      </c>
      <c r="C865" t="s">
        <v>137</v>
      </c>
      <c r="D865">
        <v>2</v>
      </c>
      <c r="E865">
        <v>0.72</v>
      </c>
      <c r="F865">
        <v>-1.28</v>
      </c>
      <c r="G865">
        <v>1.28</v>
      </c>
      <c r="H865">
        <v>1</v>
      </c>
      <c r="I865">
        <v>0</v>
      </c>
      <c r="J865">
        <v>1</v>
      </c>
      <c r="K865" t="s">
        <v>33</v>
      </c>
      <c r="L865" t="s">
        <v>47</v>
      </c>
    </row>
    <row r="866" spans="1:12">
      <c r="A866" t="s">
        <v>289</v>
      </c>
      <c r="B866" t="s">
        <v>30</v>
      </c>
      <c r="C866" t="s">
        <v>138</v>
      </c>
      <c r="D866">
        <v>2</v>
      </c>
      <c r="E866">
        <v>0.72</v>
      </c>
      <c r="F866">
        <v>-1.28</v>
      </c>
      <c r="G866">
        <v>1.28</v>
      </c>
      <c r="H866">
        <v>1</v>
      </c>
      <c r="I866">
        <v>0</v>
      </c>
      <c r="J866">
        <v>1</v>
      </c>
      <c r="K866" t="s">
        <v>33</v>
      </c>
      <c r="L866" t="s">
        <v>47</v>
      </c>
    </row>
    <row r="867" spans="1:12">
      <c r="A867" t="s">
        <v>289</v>
      </c>
      <c r="B867" t="s">
        <v>30</v>
      </c>
      <c r="C867" t="s">
        <v>139</v>
      </c>
      <c r="D867">
        <v>2</v>
      </c>
      <c r="E867">
        <v>1.61</v>
      </c>
      <c r="F867">
        <v>-0.3899999999999999</v>
      </c>
      <c r="G867">
        <v>0.3899999999999999</v>
      </c>
      <c r="H867">
        <v>0</v>
      </c>
      <c r="I867">
        <v>1</v>
      </c>
      <c r="J867">
        <v>0</v>
      </c>
      <c r="K867" t="s">
        <v>34</v>
      </c>
      <c r="L867" t="s">
        <v>42</v>
      </c>
    </row>
    <row r="868" spans="1:12">
      <c r="A868" t="s">
        <v>289</v>
      </c>
      <c r="B868" t="s">
        <v>30</v>
      </c>
      <c r="C868" t="s">
        <v>140</v>
      </c>
      <c r="D868">
        <v>1</v>
      </c>
      <c r="E868">
        <v>1.61</v>
      </c>
      <c r="F868">
        <v>0.6100000000000001</v>
      </c>
      <c r="G868">
        <v>0.6100000000000001</v>
      </c>
      <c r="H868">
        <v>0</v>
      </c>
      <c r="I868">
        <v>1</v>
      </c>
      <c r="J868">
        <v>0</v>
      </c>
      <c r="K868" t="s">
        <v>34</v>
      </c>
      <c r="L868" t="s">
        <v>42</v>
      </c>
    </row>
    <row r="869" spans="1:12">
      <c r="A869" t="s">
        <v>289</v>
      </c>
      <c r="B869" t="s">
        <v>30</v>
      </c>
      <c r="C869" t="s">
        <v>141</v>
      </c>
      <c r="D869">
        <v>2</v>
      </c>
      <c r="E869">
        <v>1.61</v>
      </c>
      <c r="F869">
        <v>-0.3899999999999999</v>
      </c>
      <c r="G869">
        <v>0.3899999999999999</v>
      </c>
      <c r="H869">
        <v>0</v>
      </c>
      <c r="I869">
        <v>1</v>
      </c>
      <c r="J869">
        <v>0</v>
      </c>
      <c r="K869" t="s">
        <v>34</v>
      </c>
      <c r="L869" t="s">
        <v>42</v>
      </c>
    </row>
    <row r="870" spans="1:12">
      <c r="A870" t="s">
        <v>289</v>
      </c>
      <c r="B870" t="s">
        <v>30</v>
      </c>
      <c r="C870" t="s">
        <v>142</v>
      </c>
      <c r="D870">
        <v>3</v>
      </c>
      <c r="E870">
        <v>1.61</v>
      </c>
      <c r="F870">
        <v>-1.39</v>
      </c>
      <c r="G870">
        <v>1.39</v>
      </c>
      <c r="H870">
        <v>1</v>
      </c>
      <c r="I870">
        <v>0</v>
      </c>
      <c r="J870">
        <v>1</v>
      </c>
      <c r="K870" t="s">
        <v>33</v>
      </c>
      <c r="L870" t="s">
        <v>42</v>
      </c>
    </row>
    <row r="871" spans="1:12">
      <c r="A871" t="s">
        <v>289</v>
      </c>
      <c r="B871" t="s">
        <v>30</v>
      </c>
      <c r="C871" t="s">
        <v>143</v>
      </c>
      <c r="D871">
        <v>4</v>
      </c>
      <c r="E871">
        <v>1.61</v>
      </c>
      <c r="F871">
        <v>-2.3899999999999997</v>
      </c>
      <c r="G871">
        <v>2.3899999999999997</v>
      </c>
      <c r="H871">
        <v>1</v>
      </c>
      <c r="I871">
        <v>0</v>
      </c>
      <c r="J871">
        <v>1</v>
      </c>
      <c r="K871" t="s">
        <v>36</v>
      </c>
      <c r="L871" t="s">
        <v>42</v>
      </c>
    </row>
    <row r="872" spans="1:12">
      <c r="A872" t="s">
        <v>289</v>
      </c>
      <c r="B872" t="s">
        <v>30</v>
      </c>
      <c r="C872" t="s">
        <v>144</v>
      </c>
      <c r="D872">
        <v>4</v>
      </c>
      <c r="E872">
        <v>1.61</v>
      </c>
      <c r="F872">
        <v>-2.3899999999999997</v>
      </c>
      <c r="G872">
        <v>2.3899999999999997</v>
      </c>
      <c r="H872">
        <v>1</v>
      </c>
      <c r="I872">
        <v>0</v>
      </c>
      <c r="J872">
        <v>1</v>
      </c>
      <c r="K872" t="s">
        <v>36</v>
      </c>
      <c r="L872" t="s">
        <v>43</v>
      </c>
    </row>
    <row r="873" spans="1:12">
      <c r="A873" t="s">
        <v>289</v>
      </c>
      <c r="B873" t="s">
        <v>30</v>
      </c>
      <c r="C873" t="s">
        <v>145</v>
      </c>
      <c r="D873">
        <v>4</v>
      </c>
      <c r="E873">
        <v>1.61</v>
      </c>
      <c r="F873">
        <v>-2.3899999999999997</v>
      </c>
      <c r="G873">
        <v>2.3899999999999997</v>
      </c>
      <c r="H873">
        <v>1</v>
      </c>
      <c r="I873">
        <v>0</v>
      </c>
      <c r="J873">
        <v>1</v>
      </c>
      <c r="K873" t="s">
        <v>36</v>
      </c>
      <c r="L873" t="s">
        <v>43</v>
      </c>
    </row>
    <row r="874" spans="1:12">
      <c r="A874" t="s">
        <v>289</v>
      </c>
      <c r="B874" t="s">
        <v>30</v>
      </c>
      <c r="C874" t="s">
        <v>146</v>
      </c>
      <c r="D874">
        <v>4</v>
      </c>
      <c r="E874">
        <v>1.61</v>
      </c>
      <c r="F874">
        <v>-2.3899999999999997</v>
      </c>
      <c r="G874">
        <v>2.3899999999999997</v>
      </c>
      <c r="H874">
        <v>1</v>
      </c>
      <c r="I874">
        <v>0</v>
      </c>
      <c r="J874">
        <v>1</v>
      </c>
      <c r="K874" t="s">
        <v>36</v>
      </c>
      <c r="L874" t="s">
        <v>43</v>
      </c>
    </row>
    <row r="875" spans="1:12">
      <c r="A875" t="s">
        <v>289</v>
      </c>
      <c r="B875" t="s">
        <v>30</v>
      </c>
      <c r="C875" t="s">
        <v>147</v>
      </c>
      <c r="D875">
        <v>4</v>
      </c>
      <c r="E875">
        <v>1.61</v>
      </c>
      <c r="F875">
        <v>-2.3899999999999997</v>
      </c>
      <c r="G875">
        <v>2.3899999999999997</v>
      </c>
      <c r="H875">
        <v>1</v>
      </c>
      <c r="I875">
        <v>0</v>
      </c>
      <c r="J875">
        <v>1</v>
      </c>
      <c r="K875" t="s">
        <v>36</v>
      </c>
      <c r="L875" t="s">
        <v>43</v>
      </c>
    </row>
    <row r="876" spans="1:12">
      <c r="A876" t="s">
        <v>289</v>
      </c>
      <c r="B876" t="s">
        <v>30</v>
      </c>
      <c r="C876" t="s">
        <v>148</v>
      </c>
      <c r="D876">
        <v>5</v>
      </c>
      <c r="E876">
        <v>1.61</v>
      </c>
      <c r="F876">
        <v>-3.3899999999999997</v>
      </c>
      <c r="G876">
        <v>3.3899999999999997</v>
      </c>
      <c r="H876">
        <v>1</v>
      </c>
      <c r="I876">
        <v>0</v>
      </c>
      <c r="J876">
        <v>1</v>
      </c>
      <c r="K876" t="s">
        <v>36</v>
      </c>
      <c r="L876" t="s">
        <v>43</v>
      </c>
    </row>
    <row r="877" spans="1:12">
      <c r="A877" t="s">
        <v>289</v>
      </c>
      <c r="B877" t="s">
        <v>30</v>
      </c>
      <c r="C877" t="s">
        <v>149</v>
      </c>
      <c r="D877">
        <v>5</v>
      </c>
      <c r="E877">
        <v>1.61</v>
      </c>
      <c r="F877">
        <v>-3.3899999999999997</v>
      </c>
      <c r="G877">
        <v>3.3899999999999997</v>
      </c>
      <c r="H877">
        <v>1</v>
      </c>
      <c r="I877">
        <v>0</v>
      </c>
      <c r="J877">
        <v>1</v>
      </c>
      <c r="K877" t="s">
        <v>36</v>
      </c>
      <c r="L877" t="s">
        <v>48</v>
      </c>
    </row>
    <row r="878" spans="1:12">
      <c r="A878" t="s">
        <v>289</v>
      </c>
      <c r="B878" t="s">
        <v>30</v>
      </c>
      <c r="C878" t="s">
        <v>150</v>
      </c>
      <c r="D878">
        <v>5</v>
      </c>
      <c r="E878">
        <v>1.61</v>
      </c>
      <c r="F878">
        <v>-3.3899999999999997</v>
      </c>
      <c r="G878">
        <v>3.3899999999999997</v>
      </c>
      <c r="H878">
        <v>1</v>
      </c>
      <c r="I878">
        <v>0</v>
      </c>
      <c r="J878">
        <v>1</v>
      </c>
      <c r="K878" t="s">
        <v>36</v>
      </c>
      <c r="L878" t="s">
        <v>48</v>
      </c>
    </row>
    <row r="879" spans="1:12">
      <c r="A879" t="s">
        <v>289</v>
      </c>
      <c r="B879" t="s">
        <v>30</v>
      </c>
      <c r="C879" t="s">
        <v>151</v>
      </c>
      <c r="D879">
        <v>5</v>
      </c>
      <c r="E879">
        <v>1.61</v>
      </c>
      <c r="F879">
        <v>-3.3899999999999997</v>
      </c>
      <c r="G879">
        <v>3.3899999999999997</v>
      </c>
      <c r="H879">
        <v>1</v>
      </c>
      <c r="I879">
        <v>0</v>
      </c>
      <c r="J879">
        <v>1</v>
      </c>
      <c r="K879" t="s">
        <v>36</v>
      </c>
      <c r="L879" t="s">
        <v>48</v>
      </c>
    </row>
    <row r="880" spans="1:12">
      <c r="A880" t="s">
        <v>289</v>
      </c>
      <c r="B880" t="s">
        <v>30</v>
      </c>
      <c r="C880" t="s">
        <v>152</v>
      </c>
      <c r="D880">
        <v>5</v>
      </c>
      <c r="E880">
        <v>1.61</v>
      </c>
      <c r="F880">
        <v>-3.3899999999999997</v>
      </c>
      <c r="G880">
        <v>3.3899999999999997</v>
      </c>
      <c r="H880">
        <v>1</v>
      </c>
      <c r="I880">
        <v>0</v>
      </c>
      <c r="J880">
        <v>1</v>
      </c>
      <c r="K880" t="s">
        <v>36</v>
      </c>
      <c r="L880" t="s">
        <v>48</v>
      </c>
    </row>
    <row r="881" spans="1:12">
      <c r="A881" t="s">
        <v>289</v>
      </c>
      <c r="B881" t="s">
        <v>30</v>
      </c>
      <c r="C881" t="s">
        <v>153</v>
      </c>
      <c r="D881">
        <v>5</v>
      </c>
      <c r="E881">
        <v>1.61</v>
      </c>
      <c r="F881">
        <v>-3.3899999999999997</v>
      </c>
      <c r="G881">
        <v>3.3899999999999997</v>
      </c>
      <c r="H881">
        <v>1</v>
      </c>
      <c r="I881">
        <v>0</v>
      </c>
      <c r="J881">
        <v>1</v>
      </c>
      <c r="K881" t="s">
        <v>36</v>
      </c>
      <c r="L881" t="s">
        <v>48</v>
      </c>
    </row>
    <row r="882" spans="1:12">
      <c r="A882" t="s">
        <v>292</v>
      </c>
      <c r="B882" t="s">
        <v>29</v>
      </c>
      <c r="C882" t="s">
        <v>76</v>
      </c>
      <c r="D882">
        <v>5</v>
      </c>
      <c r="E882">
        <v>5</v>
      </c>
      <c r="F882">
        <v>0</v>
      </c>
      <c r="G882">
        <v>0</v>
      </c>
      <c r="H882">
        <v>0</v>
      </c>
      <c r="I882">
        <v>1</v>
      </c>
      <c r="J882">
        <v>0</v>
      </c>
      <c r="K882" t="s">
        <v>34</v>
      </c>
      <c r="L882" t="s">
        <v>49</v>
      </c>
    </row>
    <row r="883" spans="1:12">
      <c r="A883" t="s">
        <v>292</v>
      </c>
      <c r="B883" t="s">
        <v>29</v>
      </c>
      <c r="C883" t="s">
        <v>77</v>
      </c>
      <c r="D883">
        <v>4</v>
      </c>
      <c r="E883">
        <v>4</v>
      </c>
      <c r="F883">
        <v>0</v>
      </c>
      <c r="G883">
        <v>0</v>
      </c>
      <c r="H883">
        <v>0</v>
      </c>
      <c r="I883">
        <v>1</v>
      </c>
      <c r="J883">
        <v>0</v>
      </c>
      <c r="K883" t="s">
        <v>34</v>
      </c>
      <c r="L883" t="s">
        <v>49</v>
      </c>
    </row>
    <row r="884" spans="1:12">
      <c r="A884" t="s">
        <v>292</v>
      </c>
      <c r="B884" t="s">
        <v>29</v>
      </c>
      <c r="C884" t="s">
        <v>78</v>
      </c>
      <c r="D884">
        <v>2</v>
      </c>
      <c r="E884">
        <v>4</v>
      </c>
      <c r="F884">
        <v>2</v>
      </c>
      <c r="G884">
        <v>2</v>
      </c>
      <c r="H884">
        <v>0</v>
      </c>
      <c r="I884">
        <v>1</v>
      </c>
      <c r="J884">
        <v>1</v>
      </c>
      <c r="K884" t="s">
        <v>35</v>
      </c>
      <c r="L884" t="s">
        <v>49</v>
      </c>
    </row>
    <row r="885" spans="1:12">
      <c r="A885" t="s">
        <v>292</v>
      </c>
      <c r="B885" t="s">
        <v>29</v>
      </c>
      <c r="C885" t="s">
        <v>79</v>
      </c>
      <c r="D885">
        <v>5</v>
      </c>
      <c r="E885">
        <v>0.95</v>
      </c>
      <c r="F885">
        <v>-4.05</v>
      </c>
      <c r="G885">
        <v>4.05</v>
      </c>
      <c r="H885">
        <v>1</v>
      </c>
      <c r="I885">
        <v>0</v>
      </c>
      <c r="J885">
        <v>1</v>
      </c>
      <c r="K885" t="s">
        <v>36</v>
      </c>
      <c r="L885" t="s">
        <v>49</v>
      </c>
    </row>
    <row r="886" spans="1:12">
      <c r="A886" t="s">
        <v>292</v>
      </c>
      <c r="B886" t="s">
        <v>29</v>
      </c>
      <c r="C886" t="s">
        <v>80</v>
      </c>
      <c r="D886">
        <v>5</v>
      </c>
      <c r="E886">
        <v>0.95</v>
      </c>
      <c r="F886">
        <v>-4.05</v>
      </c>
      <c r="G886">
        <v>4.05</v>
      </c>
      <c r="H886">
        <v>1</v>
      </c>
      <c r="I886">
        <v>0</v>
      </c>
      <c r="J886">
        <v>1</v>
      </c>
      <c r="K886" t="s">
        <v>36</v>
      </c>
      <c r="L886" t="s">
        <v>49</v>
      </c>
    </row>
    <row r="887" spans="1:12">
      <c r="A887" t="s">
        <v>292</v>
      </c>
      <c r="B887" t="s">
        <v>29</v>
      </c>
      <c r="C887" t="s">
        <v>81</v>
      </c>
      <c r="D887">
        <v>4</v>
      </c>
      <c r="E887">
        <v>5</v>
      </c>
      <c r="F887">
        <v>1</v>
      </c>
      <c r="G887">
        <v>1</v>
      </c>
      <c r="H887">
        <v>0</v>
      </c>
      <c r="I887">
        <v>1</v>
      </c>
      <c r="J887">
        <v>1</v>
      </c>
      <c r="K887" t="s">
        <v>37</v>
      </c>
      <c r="L887" t="s">
        <v>49</v>
      </c>
    </row>
    <row r="888" spans="1:12">
      <c r="A888" t="s">
        <v>292</v>
      </c>
      <c r="B888" t="s">
        <v>29</v>
      </c>
      <c r="C888" t="s">
        <v>82</v>
      </c>
      <c r="D888">
        <v>4</v>
      </c>
      <c r="E888">
        <v>5</v>
      </c>
      <c r="F888">
        <v>1</v>
      </c>
      <c r="G888">
        <v>1</v>
      </c>
      <c r="H888">
        <v>0</v>
      </c>
      <c r="I888">
        <v>1</v>
      </c>
      <c r="J888">
        <v>1</v>
      </c>
      <c r="K888" t="s">
        <v>37</v>
      </c>
      <c r="L888" t="s">
        <v>49</v>
      </c>
    </row>
    <row r="889" spans="1:12">
      <c r="A889" t="s">
        <v>292</v>
      </c>
      <c r="B889" t="s">
        <v>29</v>
      </c>
      <c r="C889" t="s">
        <v>83</v>
      </c>
      <c r="D889">
        <v>5</v>
      </c>
      <c r="E889">
        <v>5</v>
      </c>
      <c r="F889">
        <v>0</v>
      </c>
      <c r="G889">
        <v>0</v>
      </c>
      <c r="H889">
        <v>0</v>
      </c>
      <c r="I889">
        <v>1</v>
      </c>
      <c r="J889">
        <v>0</v>
      </c>
      <c r="K889" t="s">
        <v>34</v>
      </c>
      <c r="L889" t="s">
        <v>49</v>
      </c>
    </row>
    <row r="890" spans="1:12">
      <c r="A890" t="s">
        <v>292</v>
      </c>
      <c r="B890" t="s">
        <v>29</v>
      </c>
      <c r="C890" t="s">
        <v>84</v>
      </c>
      <c r="D890">
        <v>3</v>
      </c>
      <c r="E890">
        <v>5</v>
      </c>
      <c r="F890">
        <v>2</v>
      </c>
      <c r="G890">
        <v>2</v>
      </c>
      <c r="H890">
        <v>0</v>
      </c>
      <c r="I890">
        <v>1</v>
      </c>
      <c r="J890">
        <v>1</v>
      </c>
      <c r="K890" t="s">
        <v>35</v>
      </c>
      <c r="L890" t="s">
        <v>49</v>
      </c>
    </row>
    <row r="891" spans="1:12">
      <c r="A891" t="s">
        <v>292</v>
      </c>
      <c r="B891" t="s">
        <v>29</v>
      </c>
      <c r="C891" t="s">
        <v>85</v>
      </c>
      <c r="D891">
        <v>4</v>
      </c>
      <c r="E891">
        <v>4</v>
      </c>
      <c r="F891">
        <v>0</v>
      </c>
      <c r="G891">
        <v>0</v>
      </c>
      <c r="H891">
        <v>0</v>
      </c>
      <c r="I891">
        <v>1</v>
      </c>
      <c r="J891">
        <v>0</v>
      </c>
      <c r="K891" t="s">
        <v>34</v>
      </c>
      <c r="L891" t="s">
        <v>49</v>
      </c>
    </row>
    <row r="892" spans="1:12">
      <c r="A892" t="s">
        <v>292</v>
      </c>
      <c r="B892" t="s">
        <v>29</v>
      </c>
      <c r="C892" t="s">
        <v>86</v>
      </c>
      <c r="D892">
        <v>4</v>
      </c>
      <c r="E892">
        <v>4</v>
      </c>
      <c r="F892">
        <v>0</v>
      </c>
      <c r="G892">
        <v>0</v>
      </c>
      <c r="H892">
        <v>0</v>
      </c>
      <c r="I892">
        <v>1</v>
      </c>
      <c r="J892">
        <v>0</v>
      </c>
      <c r="K892" t="s">
        <v>34</v>
      </c>
      <c r="L892" t="s">
        <v>50</v>
      </c>
    </row>
    <row r="893" spans="1:12">
      <c r="A893" t="s">
        <v>292</v>
      </c>
      <c r="B893" t="s">
        <v>29</v>
      </c>
      <c r="C893" t="s">
        <v>87</v>
      </c>
      <c r="D893">
        <v>3</v>
      </c>
      <c r="E893">
        <v>4</v>
      </c>
      <c r="F893">
        <v>1</v>
      </c>
      <c r="G893">
        <v>1</v>
      </c>
      <c r="H893">
        <v>0</v>
      </c>
      <c r="I893">
        <v>1</v>
      </c>
      <c r="J893">
        <v>1</v>
      </c>
      <c r="K893" t="s">
        <v>37</v>
      </c>
      <c r="L893" t="s">
        <v>50</v>
      </c>
    </row>
    <row r="894" spans="1:12">
      <c r="A894" t="s">
        <v>292</v>
      </c>
      <c r="B894" t="s">
        <v>29</v>
      </c>
      <c r="C894" t="s">
        <v>88</v>
      </c>
      <c r="D894">
        <v>4</v>
      </c>
      <c r="E894">
        <v>4</v>
      </c>
      <c r="F894">
        <v>0</v>
      </c>
      <c r="G894">
        <v>0</v>
      </c>
      <c r="H894">
        <v>0</v>
      </c>
      <c r="I894">
        <v>1</v>
      </c>
      <c r="J894">
        <v>0</v>
      </c>
      <c r="K894" t="s">
        <v>34</v>
      </c>
      <c r="L894" t="s">
        <v>50</v>
      </c>
    </row>
    <row r="895" spans="1:12">
      <c r="A895" t="s">
        <v>292</v>
      </c>
      <c r="B895" t="s">
        <v>29</v>
      </c>
      <c r="C895" t="s">
        <v>89</v>
      </c>
      <c r="D895">
        <v>4</v>
      </c>
      <c r="E895">
        <v>5</v>
      </c>
      <c r="F895">
        <v>1</v>
      </c>
      <c r="G895">
        <v>1</v>
      </c>
      <c r="H895">
        <v>0</v>
      </c>
      <c r="I895">
        <v>1</v>
      </c>
      <c r="J895">
        <v>1</v>
      </c>
      <c r="K895" t="s">
        <v>37</v>
      </c>
      <c r="L895" t="s">
        <v>50</v>
      </c>
    </row>
    <row r="896" spans="1:12">
      <c r="A896" t="s">
        <v>292</v>
      </c>
      <c r="B896" t="s">
        <v>29</v>
      </c>
      <c r="C896" t="s">
        <v>90</v>
      </c>
      <c r="D896">
        <v>5</v>
      </c>
      <c r="E896">
        <v>5</v>
      </c>
      <c r="F896">
        <v>0</v>
      </c>
      <c r="G896">
        <v>0</v>
      </c>
      <c r="H896">
        <v>0</v>
      </c>
      <c r="I896">
        <v>1</v>
      </c>
      <c r="J896">
        <v>0</v>
      </c>
      <c r="K896" t="s">
        <v>34</v>
      </c>
      <c r="L896" t="s">
        <v>50</v>
      </c>
    </row>
    <row r="897" spans="1:12">
      <c r="A897" t="s">
        <v>292</v>
      </c>
      <c r="B897" t="s">
        <v>29</v>
      </c>
      <c r="C897" t="s">
        <v>91</v>
      </c>
      <c r="D897">
        <v>3</v>
      </c>
      <c r="E897">
        <v>2.15</v>
      </c>
      <c r="F897">
        <v>-0.85000000000000009</v>
      </c>
      <c r="G897">
        <v>0.85000000000000009</v>
      </c>
      <c r="H897">
        <v>0</v>
      </c>
      <c r="I897">
        <v>1</v>
      </c>
      <c r="J897">
        <v>0</v>
      </c>
      <c r="K897" t="s">
        <v>34</v>
      </c>
      <c r="L897" t="s">
        <v>50</v>
      </c>
    </row>
    <row r="898" spans="1:12">
      <c r="A898" t="s">
        <v>292</v>
      </c>
      <c r="B898" t="s">
        <v>29</v>
      </c>
      <c r="C898" t="s">
        <v>92</v>
      </c>
      <c r="D898">
        <v>3</v>
      </c>
      <c r="E898">
        <v>2.15</v>
      </c>
      <c r="F898">
        <v>-0.85000000000000009</v>
      </c>
      <c r="G898">
        <v>0.85000000000000009</v>
      </c>
      <c r="H898">
        <v>0</v>
      </c>
      <c r="I898">
        <v>1</v>
      </c>
      <c r="J898">
        <v>0</v>
      </c>
      <c r="K898" t="s">
        <v>34</v>
      </c>
      <c r="L898" t="s">
        <v>50</v>
      </c>
    </row>
    <row r="899" spans="1:12">
      <c r="A899" t="s">
        <v>292</v>
      </c>
      <c r="B899" t="s">
        <v>29</v>
      </c>
      <c r="C899" t="s">
        <v>93</v>
      </c>
      <c r="D899">
        <v>4</v>
      </c>
      <c r="E899">
        <v>4</v>
      </c>
      <c r="F899">
        <v>0</v>
      </c>
      <c r="G899">
        <v>0</v>
      </c>
      <c r="H899">
        <v>0</v>
      </c>
      <c r="I899">
        <v>1</v>
      </c>
      <c r="J899">
        <v>0</v>
      </c>
      <c r="K899" t="s">
        <v>34</v>
      </c>
      <c r="L899" t="s">
        <v>50</v>
      </c>
    </row>
    <row r="900" spans="1:12">
      <c r="A900" t="s">
        <v>292</v>
      </c>
      <c r="B900" t="s">
        <v>29</v>
      </c>
      <c r="C900" t="s">
        <v>94</v>
      </c>
      <c r="D900">
        <v>3</v>
      </c>
      <c r="E900">
        <v>4</v>
      </c>
      <c r="F900">
        <v>1</v>
      </c>
      <c r="G900">
        <v>1</v>
      </c>
      <c r="H900">
        <v>0</v>
      </c>
      <c r="I900">
        <v>1</v>
      </c>
      <c r="J900">
        <v>1</v>
      </c>
      <c r="K900" t="s">
        <v>37</v>
      </c>
      <c r="L900" t="s">
        <v>50</v>
      </c>
    </row>
    <row r="901" spans="1:12">
      <c r="A901" t="s">
        <v>292</v>
      </c>
      <c r="B901" t="s">
        <v>29</v>
      </c>
      <c r="C901" t="s">
        <v>95</v>
      </c>
      <c r="D901">
        <v>3</v>
      </c>
      <c r="E901">
        <v>4</v>
      </c>
      <c r="F901">
        <v>1</v>
      </c>
      <c r="G901">
        <v>1</v>
      </c>
      <c r="H901">
        <v>0</v>
      </c>
      <c r="I901">
        <v>1</v>
      </c>
      <c r="J901">
        <v>1</v>
      </c>
      <c r="K901" t="s">
        <v>37</v>
      </c>
      <c r="L901" t="s">
        <v>50</v>
      </c>
    </row>
    <row r="902" spans="1:12">
      <c r="A902" t="s">
        <v>292</v>
      </c>
      <c r="B902" t="s">
        <v>29</v>
      </c>
      <c r="C902" t="s">
        <v>96</v>
      </c>
      <c r="D902">
        <v>3</v>
      </c>
      <c r="E902">
        <v>4</v>
      </c>
      <c r="F902">
        <v>1</v>
      </c>
      <c r="G902">
        <v>1</v>
      </c>
      <c r="H902">
        <v>0</v>
      </c>
      <c r="I902">
        <v>1</v>
      </c>
      <c r="J902">
        <v>1</v>
      </c>
      <c r="K902" t="s">
        <v>37</v>
      </c>
      <c r="L902" t="s">
        <v>40</v>
      </c>
    </row>
    <row r="903" spans="1:12">
      <c r="A903" t="s">
        <v>292</v>
      </c>
      <c r="B903" t="s">
        <v>29</v>
      </c>
      <c r="C903" t="s">
        <v>31</v>
      </c>
      <c r="D903">
        <v>4</v>
      </c>
      <c r="E903">
        <v>2.15</v>
      </c>
      <c r="F903">
        <v>-1.85</v>
      </c>
      <c r="G903">
        <v>1.85</v>
      </c>
      <c r="H903">
        <v>1</v>
      </c>
      <c r="I903">
        <v>0</v>
      </c>
      <c r="J903">
        <v>1</v>
      </c>
      <c r="K903" t="s">
        <v>33</v>
      </c>
      <c r="L903" t="s">
        <v>40</v>
      </c>
    </row>
    <row r="904" spans="1:12">
      <c r="A904" t="s">
        <v>292</v>
      </c>
      <c r="B904" t="s">
        <v>29</v>
      </c>
      <c r="C904" t="s">
        <v>30</v>
      </c>
      <c r="D904">
        <v>4</v>
      </c>
      <c r="E904">
        <v>2.15</v>
      </c>
      <c r="F904">
        <v>-1.85</v>
      </c>
      <c r="G904">
        <v>1.85</v>
      </c>
      <c r="H904">
        <v>1</v>
      </c>
      <c r="I904">
        <v>0</v>
      </c>
      <c r="J904">
        <v>1</v>
      </c>
      <c r="K904" t="s">
        <v>33</v>
      </c>
      <c r="L904" t="s">
        <v>40</v>
      </c>
    </row>
    <row r="905" spans="1:12">
      <c r="A905" t="s">
        <v>292</v>
      </c>
      <c r="B905" t="s">
        <v>29</v>
      </c>
      <c r="C905" t="s">
        <v>97</v>
      </c>
      <c r="D905">
        <v>4</v>
      </c>
      <c r="E905">
        <v>4</v>
      </c>
      <c r="F905">
        <v>0</v>
      </c>
      <c r="G905">
        <v>0</v>
      </c>
      <c r="H905">
        <v>0</v>
      </c>
      <c r="I905">
        <v>1</v>
      </c>
      <c r="J905">
        <v>0</v>
      </c>
      <c r="K905" t="s">
        <v>34</v>
      </c>
      <c r="L905" t="s">
        <v>40</v>
      </c>
    </row>
    <row r="906" spans="1:12">
      <c r="A906" t="s">
        <v>292</v>
      </c>
      <c r="B906" t="s">
        <v>29</v>
      </c>
      <c r="C906" t="s">
        <v>98</v>
      </c>
      <c r="D906">
        <v>4</v>
      </c>
      <c r="E906">
        <v>4</v>
      </c>
      <c r="F906">
        <v>0</v>
      </c>
      <c r="G906">
        <v>0</v>
      </c>
      <c r="H906">
        <v>0</v>
      </c>
      <c r="I906">
        <v>1</v>
      </c>
      <c r="J906">
        <v>0</v>
      </c>
      <c r="K906" t="s">
        <v>34</v>
      </c>
      <c r="L906" t="s">
        <v>40</v>
      </c>
    </row>
    <row r="907" spans="1:12">
      <c r="A907" t="s">
        <v>292</v>
      </c>
      <c r="B907" t="s">
        <v>29</v>
      </c>
      <c r="C907" t="s">
        <v>99</v>
      </c>
      <c r="D907">
        <v>4</v>
      </c>
      <c r="E907">
        <v>4</v>
      </c>
      <c r="F907">
        <v>0</v>
      </c>
      <c r="G907">
        <v>0</v>
      </c>
      <c r="H907">
        <v>0</v>
      </c>
      <c r="I907">
        <v>1</v>
      </c>
      <c r="J907">
        <v>0</v>
      </c>
      <c r="K907" t="s">
        <v>34</v>
      </c>
      <c r="L907" t="s">
        <v>39</v>
      </c>
    </row>
    <row r="908" spans="1:12">
      <c r="A908" t="s">
        <v>292</v>
      </c>
      <c r="B908" t="s">
        <v>29</v>
      </c>
      <c r="C908" t="s">
        <v>100</v>
      </c>
      <c r="D908">
        <v>4</v>
      </c>
      <c r="E908">
        <v>4</v>
      </c>
      <c r="F908">
        <v>0</v>
      </c>
      <c r="G908">
        <v>0</v>
      </c>
      <c r="H908">
        <v>0</v>
      </c>
      <c r="I908">
        <v>1</v>
      </c>
      <c r="J908">
        <v>0</v>
      </c>
      <c r="K908" t="s">
        <v>34</v>
      </c>
      <c r="L908" t="s">
        <v>39</v>
      </c>
    </row>
    <row r="909" spans="1:12">
      <c r="A909" t="s">
        <v>292</v>
      </c>
      <c r="B909" t="s">
        <v>29</v>
      </c>
      <c r="C909" t="s">
        <v>101</v>
      </c>
      <c r="D909">
        <v>4</v>
      </c>
      <c r="E909">
        <v>5</v>
      </c>
      <c r="F909">
        <v>1</v>
      </c>
      <c r="G909">
        <v>1</v>
      </c>
      <c r="H909">
        <v>0</v>
      </c>
      <c r="I909">
        <v>1</v>
      </c>
      <c r="J909">
        <v>1</v>
      </c>
      <c r="K909" t="s">
        <v>37</v>
      </c>
      <c r="L909" t="s">
        <v>39</v>
      </c>
    </row>
    <row r="910" spans="1:12">
      <c r="A910" t="s">
        <v>292</v>
      </c>
      <c r="B910" t="s">
        <v>29</v>
      </c>
      <c r="C910" t="s">
        <v>102</v>
      </c>
      <c r="D910">
        <v>4</v>
      </c>
      <c r="E910">
        <v>5</v>
      </c>
      <c r="F910">
        <v>1</v>
      </c>
      <c r="G910">
        <v>1</v>
      </c>
      <c r="H910">
        <v>0</v>
      </c>
      <c r="I910">
        <v>1</v>
      </c>
      <c r="J910">
        <v>1</v>
      </c>
      <c r="K910" t="s">
        <v>37</v>
      </c>
      <c r="L910" t="s">
        <v>39</v>
      </c>
    </row>
    <row r="911" spans="1:12">
      <c r="A911" t="s">
        <v>292</v>
      </c>
      <c r="B911" t="s">
        <v>29</v>
      </c>
      <c r="C911" t="s">
        <v>103</v>
      </c>
      <c r="D911">
        <v>4</v>
      </c>
      <c r="E911">
        <v>2.15</v>
      </c>
      <c r="F911">
        <v>-1.85</v>
      </c>
      <c r="G911">
        <v>1.85</v>
      </c>
      <c r="H911">
        <v>1</v>
      </c>
      <c r="I911">
        <v>0</v>
      </c>
      <c r="J911">
        <v>1</v>
      </c>
      <c r="K911" t="s">
        <v>33</v>
      </c>
      <c r="L911" t="s">
        <v>39</v>
      </c>
    </row>
    <row r="912" spans="1:12">
      <c r="A912" t="s">
        <v>292</v>
      </c>
      <c r="B912" t="s">
        <v>29</v>
      </c>
      <c r="C912" t="s">
        <v>104</v>
      </c>
      <c r="D912">
        <v>3</v>
      </c>
      <c r="E912">
        <v>2.15</v>
      </c>
      <c r="F912">
        <v>-0.85000000000000009</v>
      </c>
      <c r="G912">
        <v>0.85000000000000009</v>
      </c>
      <c r="H912">
        <v>0</v>
      </c>
      <c r="I912">
        <v>1</v>
      </c>
      <c r="J912">
        <v>0</v>
      </c>
      <c r="K912" t="s">
        <v>34</v>
      </c>
      <c r="L912" t="s">
        <v>41</v>
      </c>
    </row>
    <row r="913" spans="1:12">
      <c r="A913" t="s">
        <v>292</v>
      </c>
      <c r="B913" t="s">
        <v>29</v>
      </c>
      <c r="C913" t="s">
        <v>105</v>
      </c>
      <c r="D913">
        <v>3</v>
      </c>
      <c r="E913">
        <v>2.15</v>
      </c>
      <c r="F913">
        <v>-0.85000000000000009</v>
      </c>
      <c r="G913">
        <v>0.85000000000000009</v>
      </c>
      <c r="H913">
        <v>0</v>
      </c>
      <c r="I913">
        <v>1</v>
      </c>
      <c r="J913">
        <v>0</v>
      </c>
      <c r="K913" t="s">
        <v>34</v>
      </c>
      <c r="L913" t="s">
        <v>41</v>
      </c>
    </row>
    <row r="914" spans="1:12">
      <c r="A914" t="s">
        <v>292</v>
      </c>
      <c r="B914" t="s">
        <v>29</v>
      </c>
      <c r="C914" t="s">
        <v>106</v>
      </c>
      <c r="D914">
        <v>3</v>
      </c>
      <c r="E914">
        <v>2.15</v>
      </c>
      <c r="F914">
        <v>-0.85000000000000009</v>
      </c>
      <c r="G914">
        <v>0.85000000000000009</v>
      </c>
      <c r="H914">
        <v>0</v>
      </c>
      <c r="I914">
        <v>1</v>
      </c>
      <c r="J914">
        <v>0</v>
      </c>
      <c r="K914" t="s">
        <v>34</v>
      </c>
      <c r="L914" t="s">
        <v>41</v>
      </c>
    </row>
    <row r="915" spans="1:12">
      <c r="A915" t="s">
        <v>292</v>
      </c>
      <c r="B915" t="s">
        <v>29</v>
      </c>
      <c r="C915" t="s">
        <v>107</v>
      </c>
      <c r="D915">
        <v>3</v>
      </c>
      <c r="E915">
        <v>4</v>
      </c>
      <c r="F915">
        <v>1</v>
      </c>
      <c r="G915">
        <v>1</v>
      </c>
      <c r="H915">
        <v>0</v>
      </c>
      <c r="I915">
        <v>1</v>
      </c>
      <c r="J915">
        <v>1</v>
      </c>
      <c r="K915" t="s">
        <v>37</v>
      </c>
      <c r="L915" t="s">
        <v>41</v>
      </c>
    </row>
    <row r="916" spans="1:12">
      <c r="A916" t="s">
        <v>292</v>
      </c>
      <c r="B916" t="s">
        <v>29</v>
      </c>
      <c r="C916" t="s">
        <v>108</v>
      </c>
      <c r="D916">
        <v>3</v>
      </c>
      <c r="E916">
        <v>4</v>
      </c>
      <c r="F916">
        <v>1</v>
      </c>
      <c r="G916">
        <v>1</v>
      </c>
      <c r="H916">
        <v>0</v>
      </c>
      <c r="I916">
        <v>1</v>
      </c>
      <c r="J916">
        <v>1</v>
      </c>
      <c r="K916" t="s">
        <v>37</v>
      </c>
      <c r="L916" t="s">
        <v>41</v>
      </c>
    </row>
    <row r="917" spans="1:12">
      <c r="A917" t="s">
        <v>292</v>
      </c>
      <c r="B917" t="s">
        <v>29</v>
      </c>
      <c r="C917" t="s">
        <v>109</v>
      </c>
      <c r="D917">
        <v>4</v>
      </c>
      <c r="E917">
        <v>2.15</v>
      </c>
      <c r="F917">
        <v>-1.85</v>
      </c>
      <c r="G917">
        <v>1.85</v>
      </c>
      <c r="H917">
        <v>1</v>
      </c>
      <c r="I917">
        <v>0</v>
      </c>
      <c r="J917">
        <v>1</v>
      </c>
      <c r="K917" t="s">
        <v>33</v>
      </c>
      <c r="L917" t="s">
        <v>38</v>
      </c>
    </row>
    <row r="918" spans="1:12">
      <c r="A918" t="s">
        <v>292</v>
      </c>
      <c r="B918" t="s">
        <v>29</v>
      </c>
      <c r="C918" t="s">
        <v>110</v>
      </c>
      <c r="D918">
        <v>4</v>
      </c>
      <c r="E918">
        <v>2.15</v>
      </c>
      <c r="F918">
        <v>-1.85</v>
      </c>
      <c r="G918">
        <v>1.85</v>
      </c>
      <c r="H918">
        <v>1</v>
      </c>
      <c r="I918">
        <v>0</v>
      </c>
      <c r="J918">
        <v>1</v>
      </c>
      <c r="K918" t="s">
        <v>33</v>
      </c>
      <c r="L918" t="s">
        <v>38</v>
      </c>
    </row>
    <row r="919" spans="1:12">
      <c r="A919" t="s">
        <v>292</v>
      </c>
      <c r="B919" t="s">
        <v>29</v>
      </c>
      <c r="C919" t="s">
        <v>111</v>
      </c>
      <c r="D919">
        <v>4</v>
      </c>
      <c r="E919">
        <v>2.15</v>
      </c>
      <c r="F919">
        <v>-1.85</v>
      </c>
      <c r="G919">
        <v>1.85</v>
      </c>
      <c r="H919">
        <v>1</v>
      </c>
      <c r="I919">
        <v>0</v>
      </c>
      <c r="J919">
        <v>1</v>
      </c>
      <c r="K919" t="s">
        <v>33</v>
      </c>
      <c r="L919" t="s">
        <v>38</v>
      </c>
    </row>
    <row r="920" spans="1:12">
      <c r="A920" t="s">
        <v>292</v>
      </c>
      <c r="B920" t="s">
        <v>29</v>
      </c>
      <c r="C920" t="s">
        <v>112</v>
      </c>
      <c r="D920">
        <v>4</v>
      </c>
      <c r="E920">
        <v>2.15</v>
      </c>
      <c r="F920">
        <v>-1.85</v>
      </c>
      <c r="G920">
        <v>1.85</v>
      </c>
      <c r="H920">
        <v>1</v>
      </c>
      <c r="I920">
        <v>0</v>
      </c>
      <c r="J920">
        <v>1</v>
      </c>
      <c r="K920" t="s">
        <v>33</v>
      </c>
      <c r="L920" t="s">
        <v>38</v>
      </c>
    </row>
    <row r="921" spans="1:12">
      <c r="A921" t="s">
        <v>292</v>
      </c>
      <c r="B921" t="s">
        <v>29</v>
      </c>
      <c r="C921" t="s">
        <v>113</v>
      </c>
      <c r="D921">
        <v>3</v>
      </c>
      <c r="E921">
        <v>2.15</v>
      </c>
      <c r="F921">
        <v>-0.85000000000000009</v>
      </c>
      <c r="G921">
        <v>0.85000000000000009</v>
      </c>
      <c r="H921">
        <v>0</v>
      </c>
      <c r="I921">
        <v>1</v>
      </c>
      <c r="J921">
        <v>0</v>
      </c>
      <c r="K921" t="s">
        <v>34</v>
      </c>
      <c r="L921" t="s">
        <v>38</v>
      </c>
    </row>
    <row r="922" spans="1:12">
      <c r="A922" t="s">
        <v>292</v>
      </c>
      <c r="B922" t="s">
        <v>29</v>
      </c>
      <c r="C922" t="s">
        <v>114</v>
      </c>
      <c r="D922">
        <v>4</v>
      </c>
      <c r="E922">
        <v>2.15</v>
      </c>
      <c r="F922">
        <v>-1.85</v>
      </c>
      <c r="G922">
        <v>1.85</v>
      </c>
      <c r="H922">
        <v>1</v>
      </c>
      <c r="I922">
        <v>0</v>
      </c>
      <c r="J922">
        <v>1</v>
      </c>
      <c r="K922" t="s">
        <v>33</v>
      </c>
      <c r="L922" t="s">
        <v>38</v>
      </c>
    </row>
    <row r="923" spans="1:12">
      <c r="A923" t="s">
        <v>292</v>
      </c>
      <c r="B923" t="s">
        <v>29</v>
      </c>
      <c r="C923" t="s">
        <v>115</v>
      </c>
      <c r="D923">
        <v>4</v>
      </c>
      <c r="E923">
        <v>4</v>
      </c>
      <c r="F923">
        <v>0</v>
      </c>
      <c r="G923">
        <v>0</v>
      </c>
      <c r="H923">
        <v>0</v>
      </c>
      <c r="I923">
        <v>1</v>
      </c>
      <c r="J923">
        <v>0</v>
      </c>
      <c r="K923" t="s">
        <v>34</v>
      </c>
      <c r="L923" t="s">
        <v>38</v>
      </c>
    </row>
    <row r="924" spans="1:12">
      <c r="A924" t="s">
        <v>292</v>
      </c>
      <c r="B924" t="s">
        <v>29</v>
      </c>
      <c r="C924" t="s">
        <v>116</v>
      </c>
      <c r="D924">
        <v>3</v>
      </c>
      <c r="E924">
        <v>4</v>
      </c>
      <c r="F924">
        <v>1</v>
      </c>
      <c r="G924">
        <v>1</v>
      </c>
      <c r="H924">
        <v>0</v>
      </c>
      <c r="I924">
        <v>1</v>
      </c>
      <c r="J924">
        <v>1</v>
      </c>
      <c r="K924" t="s">
        <v>37</v>
      </c>
      <c r="L924" t="s">
        <v>38</v>
      </c>
    </row>
    <row r="925" spans="1:12">
      <c r="A925" t="s">
        <v>292</v>
      </c>
      <c r="B925" t="s">
        <v>29</v>
      </c>
      <c r="C925" t="s">
        <v>117</v>
      </c>
      <c r="D925">
        <v>3</v>
      </c>
      <c r="E925">
        <v>4</v>
      </c>
      <c r="F925">
        <v>1</v>
      </c>
      <c r="G925">
        <v>1</v>
      </c>
      <c r="H925">
        <v>0</v>
      </c>
      <c r="I925">
        <v>1</v>
      </c>
      <c r="J925">
        <v>1</v>
      </c>
      <c r="K925" t="s">
        <v>37</v>
      </c>
      <c r="L925" t="s">
        <v>38</v>
      </c>
    </row>
    <row r="926" spans="1:12">
      <c r="A926" t="s">
        <v>292</v>
      </c>
      <c r="B926" t="s">
        <v>29</v>
      </c>
      <c r="C926" t="s">
        <v>118</v>
      </c>
      <c r="D926">
        <v>4</v>
      </c>
      <c r="E926">
        <v>4</v>
      </c>
      <c r="F926">
        <v>0</v>
      </c>
      <c r="G926">
        <v>0</v>
      </c>
      <c r="H926">
        <v>0</v>
      </c>
      <c r="I926">
        <v>1</v>
      </c>
      <c r="J926">
        <v>0</v>
      </c>
      <c r="K926" t="s">
        <v>34</v>
      </c>
      <c r="L926" t="s">
        <v>38</v>
      </c>
    </row>
    <row r="927" spans="1:12">
      <c r="A927" t="s">
        <v>292</v>
      </c>
      <c r="B927" t="s">
        <v>29</v>
      </c>
      <c r="C927" t="s">
        <v>119</v>
      </c>
      <c r="D927">
        <v>3</v>
      </c>
      <c r="E927">
        <v>4</v>
      </c>
      <c r="F927">
        <v>1</v>
      </c>
      <c r="G927">
        <v>1</v>
      </c>
      <c r="H927">
        <v>0</v>
      </c>
      <c r="I927">
        <v>1</v>
      </c>
      <c r="J927">
        <v>1</v>
      </c>
      <c r="K927" t="s">
        <v>37</v>
      </c>
      <c r="L927" t="s">
        <v>44</v>
      </c>
    </row>
    <row r="928" spans="1:12">
      <c r="A928" t="s">
        <v>292</v>
      </c>
      <c r="B928" t="s">
        <v>29</v>
      </c>
      <c r="C928" t="s">
        <v>120</v>
      </c>
      <c r="D928">
        <v>3</v>
      </c>
      <c r="E928">
        <v>4</v>
      </c>
      <c r="F928">
        <v>1</v>
      </c>
      <c r="G928">
        <v>1</v>
      </c>
      <c r="H928">
        <v>0</v>
      </c>
      <c r="I928">
        <v>1</v>
      </c>
      <c r="J928">
        <v>1</v>
      </c>
      <c r="K928" t="s">
        <v>37</v>
      </c>
      <c r="L928" t="s">
        <v>44</v>
      </c>
    </row>
    <row r="929" spans="1:12">
      <c r="A929" t="s">
        <v>292</v>
      </c>
      <c r="B929" t="s">
        <v>29</v>
      </c>
      <c r="C929" t="s">
        <v>121</v>
      </c>
      <c r="D929">
        <v>4</v>
      </c>
      <c r="E929">
        <v>4</v>
      </c>
      <c r="F929">
        <v>0</v>
      </c>
      <c r="G929">
        <v>0</v>
      </c>
      <c r="H929">
        <v>0</v>
      </c>
      <c r="I929">
        <v>1</v>
      </c>
      <c r="J929">
        <v>0</v>
      </c>
      <c r="K929" t="s">
        <v>34</v>
      </c>
      <c r="L929" t="s">
        <v>44</v>
      </c>
    </row>
    <row r="930" spans="1:12">
      <c r="A930" t="s">
        <v>292</v>
      </c>
      <c r="B930" t="s">
        <v>29</v>
      </c>
      <c r="C930" t="s">
        <v>122</v>
      </c>
      <c r="D930">
        <v>3</v>
      </c>
      <c r="E930">
        <v>4</v>
      </c>
      <c r="F930">
        <v>1</v>
      </c>
      <c r="G930">
        <v>1</v>
      </c>
      <c r="H930">
        <v>0</v>
      </c>
      <c r="I930">
        <v>1</v>
      </c>
      <c r="J930">
        <v>1</v>
      </c>
      <c r="K930" t="s">
        <v>37</v>
      </c>
      <c r="L930" t="s">
        <v>44</v>
      </c>
    </row>
    <row r="931" spans="1:12">
      <c r="A931" t="s">
        <v>292</v>
      </c>
      <c r="B931" t="s">
        <v>29</v>
      </c>
      <c r="C931" t="s">
        <v>123</v>
      </c>
      <c r="D931">
        <v>3</v>
      </c>
      <c r="E931">
        <v>4.3899999999999997</v>
      </c>
      <c r="F931">
        <v>1.3899999999999997</v>
      </c>
      <c r="G931">
        <v>1.3899999999999997</v>
      </c>
      <c r="H931">
        <v>0</v>
      </c>
      <c r="I931">
        <v>1</v>
      </c>
      <c r="J931">
        <v>1</v>
      </c>
      <c r="K931" t="s">
        <v>37</v>
      </c>
      <c r="L931" t="s">
        <v>44</v>
      </c>
    </row>
    <row r="932" spans="1:12">
      <c r="A932" t="s">
        <v>292</v>
      </c>
      <c r="B932" t="s">
        <v>29</v>
      </c>
      <c r="C932" t="s">
        <v>124</v>
      </c>
      <c r="D932">
        <v>5</v>
      </c>
      <c r="E932">
        <v>4.3899999999999997</v>
      </c>
      <c r="F932">
        <v>-0.61000000000000032</v>
      </c>
      <c r="G932">
        <v>0.61000000000000032</v>
      </c>
      <c r="H932">
        <v>0</v>
      </c>
      <c r="I932">
        <v>1</v>
      </c>
      <c r="J932">
        <v>0</v>
      </c>
      <c r="K932" t="s">
        <v>34</v>
      </c>
      <c r="L932" t="s">
        <v>45</v>
      </c>
    </row>
    <row r="933" spans="1:12">
      <c r="A933" t="s">
        <v>292</v>
      </c>
      <c r="B933" t="s">
        <v>29</v>
      </c>
      <c r="C933" t="s">
        <v>125</v>
      </c>
      <c r="D933">
        <v>5</v>
      </c>
      <c r="E933">
        <v>4.3899999999999997</v>
      </c>
      <c r="F933">
        <v>-0.61000000000000032</v>
      </c>
      <c r="G933">
        <v>0.61000000000000032</v>
      </c>
      <c r="H933">
        <v>0</v>
      </c>
      <c r="I933">
        <v>1</v>
      </c>
      <c r="J933">
        <v>0</v>
      </c>
      <c r="K933" t="s">
        <v>34</v>
      </c>
      <c r="L933" t="s">
        <v>45</v>
      </c>
    </row>
    <row r="934" spans="1:12">
      <c r="A934" t="s">
        <v>292</v>
      </c>
      <c r="B934" t="s">
        <v>29</v>
      </c>
      <c r="C934" t="s">
        <v>126</v>
      </c>
      <c r="D934">
        <v>5</v>
      </c>
      <c r="E934">
        <v>4.3899999999999997</v>
      </c>
      <c r="F934">
        <v>-0.61000000000000032</v>
      </c>
      <c r="G934">
        <v>0.61000000000000032</v>
      </c>
      <c r="H934">
        <v>0</v>
      </c>
      <c r="I934">
        <v>1</v>
      </c>
      <c r="J934">
        <v>0</v>
      </c>
      <c r="K934" t="s">
        <v>34</v>
      </c>
      <c r="L934" t="s">
        <v>45</v>
      </c>
    </row>
    <row r="935" spans="1:12">
      <c r="A935" t="s">
        <v>292</v>
      </c>
      <c r="B935" t="s">
        <v>29</v>
      </c>
      <c r="C935" t="s">
        <v>127</v>
      </c>
      <c r="D935">
        <v>5</v>
      </c>
      <c r="E935">
        <v>4.3899999999999997</v>
      </c>
      <c r="F935">
        <v>-0.61000000000000032</v>
      </c>
      <c r="G935">
        <v>0.61000000000000032</v>
      </c>
      <c r="H935">
        <v>0</v>
      </c>
      <c r="I935">
        <v>1</v>
      </c>
      <c r="J935">
        <v>0</v>
      </c>
      <c r="K935" t="s">
        <v>34</v>
      </c>
      <c r="L935" t="s">
        <v>45</v>
      </c>
    </row>
    <row r="936" spans="1:12">
      <c r="A936" t="s">
        <v>292</v>
      </c>
      <c r="B936" t="s">
        <v>29</v>
      </c>
      <c r="C936" t="s">
        <v>128</v>
      </c>
      <c r="D936">
        <v>5</v>
      </c>
      <c r="E936">
        <v>4.3899999999999997</v>
      </c>
      <c r="F936">
        <v>-0.61000000000000032</v>
      </c>
      <c r="G936">
        <v>0.61000000000000032</v>
      </c>
      <c r="H936">
        <v>0</v>
      </c>
      <c r="I936">
        <v>1</v>
      </c>
      <c r="J936">
        <v>0</v>
      </c>
      <c r="K936" t="s">
        <v>34</v>
      </c>
      <c r="L936" t="s">
        <v>45</v>
      </c>
    </row>
    <row r="937" spans="1:12">
      <c r="A937" t="s">
        <v>292</v>
      </c>
      <c r="B937" t="s">
        <v>29</v>
      </c>
      <c r="C937" t="s">
        <v>129</v>
      </c>
      <c r="D937">
        <v>4</v>
      </c>
      <c r="E937">
        <v>4.3899999999999997</v>
      </c>
      <c r="F937">
        <v>0.38999999999999968</v>
      </c>
      <c r="G937">
        <v>0.38999999999999968</v>
      </c>
      <c r="H937">
        <v>0</v>
      </c>
      <c r="I937">
        <v>1</v>
      </c>
      <c r="J937">
        <v>0</v>
      </c>
      <c r="K937" t="s">
        <v>34</v>
      </c>
      <c r="L937" t="s">
        <v>46</v>
      </c>
    </row>
    <row r="938" spans="1:12">
      <c r="A938" t="s">
        <v>292</v>
      </c>
      <c r="B938" t="s">
        <v>29</v>
      </c>
      <c r="C938" t="s">
        <v>130</v>
      </c>
      <c r="D938">
        <v>4</v>
      </c>
      <c r="E938">
        <v>4.3899999999999997</v>
      </c>
      <c r="F938">
        <v>0.38999999999999968</v>
      </c>
      <c r="G938">
        <v>0.38999999999999968</v>
      </c>
      <c r="H938">
        <v>0</v>
      </c>
      <c r="I938">
        <v>1</v>
      </c>
      <c r="J938">
        <v>0</v>
      </c>
      <c r="K938" t="s">
        <v>34</v>
      </c>
      <c r="L938" t="s">
        <v>46</v>
      </c>
    </row>
    <row r="939" spans="1:12">
      <c r="A939" t="s">
        <v>292</v>
      </c>
      <c r="B939" t="s">
        <v>29</v>
      </c>
      <c r="C939" t="s">
        <v>131</v>
      </c>
      <c r="D939">
        <v>4</v>
      </c>
      <c r="E939">
        <v>4.3899999999999997</v>
      </c>
      <c r="F939">
        <v>0.38999999999999968</v>
      </c>
      <c r="G939">
        <v>0.38999999999999968</v>
      </c>
      <c r="H939">
        <v>0</v>
      </c>
      <c r="I939">
        <v>1</v>
      </c>
      <c r="J939">
        <v>0</v>
      </c>
      <c r="K939" t="s">
        <v>34</v>
      </c>
      <c r="L939" t="s">
        <v>46</v>
      </c>
    </row>
    <row r="940" spans="1:12">
      <c r="A940" t="s">
        <v>292</v>
      </c>
      <c r="B940" t="s">
        <v>29</v>
      </c>
      <c r="C940" t="s">
        <v>132</v>
      </c>
      <c r="D940">
        <v>4</v>
      </c>
      <c r="E940">
        <v>4.3899999999999997</v>
      </c>
      <c r="F940">
        <v>0.38999999999999968</v>
      </c>
      <c r="G940">
        <v>0.38999999999999968</v>
      </c>
      <c r="H940">
        <v>0</v>
      </c>
      <c r="I940">
        <v>1</v>
      </c>
      <c r="J940">
        <v>0</v>
      </c>
      <c r="K940" t="s">
        <v>34</v>
      </c>
      <c r="L940" t="s">
        <v>46</v>
      </c>
    </row>
    <row r="941" spans="1:12">
      <c r="A941" t="s">
        <v>292</v>
      </c>
      <c r="B941" t="s">
        <v>29</v>
      </c>
      <c r="C941" t="s">
        <v>133</v>
      </c>
      <c r="D941">
        <v>4</v>
      </c>
      <c r="E941">
        <v>2.15</v>
      </c>
      <c r="F941">
        <v>-1.85</v>
      </c>
      <c r="G941">
        <v>1.85</v>
      </c>
      <c r="H941">
        <v>1</v>
      </c>
      <c r="I941">
        <v>0</v>
      </c>
      <c r="J941">
        <v>1</v>
      </c>
      <c r="K941" t="s">
        <v>33</v>
      </c>
      <c r="L941" t="s">
        <v>46</v>
      </c>
    </row>
    <row r="942" spans="1:12">
      <c r="A942" t="s">
        <v>292</v>
      </c>
      <c r="B942" t="s">
        <v>29</v>
      </c>
      <c r="C942" t="s">
        <v>134</v>
      </c>
      <c r="D942">
        <v>4</v>
      </c>
      <c r="E942">
        <v>2.15</v>
      </c>
      <c r="F942">
        <v>-1.85</v>
      </c>
      <c r="G942">
        <v>1.85</v>
      </c>
      <c r="H942">
        <v>1</v>
      </c>
      <c r="I942">
        <v>0</v>
      </c>
      <c r="J942">
        <v>1</v>
      </c>
      <c r="K942" t="s">
        <v>33</v>
      </c>
      <c r="L942" t="s">
        <v>47</v>
      </c>
    </row>
    <row r="943" spans="1:12">
      <c r="A943" t="s">
        <v>292</v>
      </c>
      <c r="B943" t="s">
        <v>29</v>
      </c>
      <c r="C943" t="s">
        <v>135</v>
      </c>
      <c r="D943">
        <v>4</v>
      </c>
      <c r="E943">
        <v>2.15</v>
      </c>
      <c r="F943">
        <v>-1.85</v>
      </c>
      <c r="G943">
        <v>1.85</v>
      </c>
      <c r="H943">
        <v>1</v>
      </c>
      <c r="I943">
        <v>0</v>
      </c>
      <c r="J943">
        <v>1</v>
      </c>
      <c r="K943" t="s">
        <v>33</v>
      </c>
      <c r="L943" t="s">
        <v>47</v>
      </c>
    </row>
    <row r="944" spans="1:12">
      <c r="A944" t="s">
        <v>292</v>
      </c>
      <c r="B944" t="s">
        <v>29</v>
      </c>
      <c r="C944" t="s">
        <v>136</v>
      </c>
      <c r="D944">
        <v>4</v>
      </c>
      <c r="E944">
        <v>2.15</v>
      </c>
      <c r="F944">
        <v>-1.85</v>
      </c>
      <c r="G944">
        <v>1.85</v>
      </c>
      <c r="H944">
        <v>1</v>
      </c>
      <c r="I944">
        <v>0</v>
      </c>
      <c r="J944">
        <v>1</v>
      </c>
      <c r="K944" t="s">
        <v>33</v>
      </c>
      <c r="L944" t="s">
        <v>47</v>
      </c>
    </row>
    <row r="945" spans="1:12">
      <c r="A945" t="s">
        <v>292</v>
      </c>
      <c r="B945" t="s">
        <v>29</v>
      </c>
      <c r="C945" t="s">
        <v>137</v>
      </c>
      <c r="D945">
        <v>4</v>
      </c>
      <c r="E945">
        <v>2.15</v>
      </c>
      <c r="F945">
        <v>-1.85</v>
      </c>
      <c r="G945">
        <v>1.85</v>
      </c>
      <c r="H945">
        <v>1</v>
      </c>
      <c r="I945">
        <v>0</v>
      </c>
      <c r="J945">
        <v>1</v>
      </c>
      <c r="K945" t="s">
        <v>33</v>
      </c>
      <c r="L945" t="s">
        <v>47</v>
      </c>
    </row>
    <row r="946" spans="1:12">
      <c r="A946" t="s">
        <v>292</v>
      </c>
      <c r="B946" t="s">
        <v>29</v>
      </c>
      <c r="C946" t="s">
        <v>138</v>
      </c>
      <c r="D946">
        <v>4</v>
      </c>
      <c r="E946">
        <v>2.15</v>
      </c>
      <c r="F946">
        <v>-1.85</v>
      </c>
      <c r="G946">
        <v>1.85</v>
      </c>
      <c r="H946">
        <v>1</v>
      </c>
      <c r="I946">
        <v>0</v>
      </c>
      <c r="J946">
        <v>1</v>
      </c>
      <c r="K946" t="s">
        <v>33</v>
      </c>
      <c r="L946" t="s">
        <v>47</v>
      </c>
    </row>
    <row r="947" spans="1:12">
      <c r="A947" t="s">
        <v>292</v>
      </c>
      <c r="B947" t="s">
        <v>29</v>
      </c>
      <c r="C947" t="s">
        <v>139</v>
      </c>
      <c r="D947">
        <v>5</v>
      </c>
      <c r="E947">
        <v>2.15</v>
      </c>
      <c r="F947">
        <v>-2.85</v>
      </c>
      <c r="G947">
        <v>2.85</v>
      </c>
      <c r="H947">
        <v>1</v>
      </c>
      <c r="I947">
        <v>0</v>
      </c>
      <c r="J947">
        <v>1</v>
      </c>
      <c r="K947" t="s">
        <v>36</v>
      </c>
      <c r="L947" t="s">
        <v>42</v>
      </c>
    </row>
    <row r="948" spans="1:12">
      <c r="A948" t="s">
        <v>292</v>
      </c>
      <c r="B948" t="s">
        <v>29</v>
      </c>
      <c r="C948" t="s">
        <v>140</v>
      </c>
      <c r="D948">
        <v>5</v>
      </c>
      <c r="E948">
        <v>2.15</v>
      </c>
      <c r="F948">
        <v>-2.85</v>
      </c>
      <c r="G948">
        <v>2.85</v>
      </c>
      <c r="H948">
        <v>1</v>
      </c>
      <c r="I948">
        <v>0</v>
      </c>
      <c r="J948">
        <v>1</v>
      </c>
      <c r="K948" t="s">
        <v>36</v>
      </c>
      <c r="L948" t="s">
        <v>42</v>
      </c>
    </row>
    <row r="949" spans="1:12">
      <c r="A949" t="s">
        <v>292</v>
      </c>
      <c r="B949" t="s">
        <v>29</v>
      </c>
      <c r="C949" t="s">
        <v>141</v>
      </c>
      <c r="D949">
        <v>5</v>
      </c>
      <c r="E949">
        <v>2.15</v>
      </c>
      <c r="F949">
        <v>-2.85</v>
      </c>
      <c r="G949">
        <v>2.85</v>
      </c>
      <c r="H949">
        <v>1</v>
      </c>
      <c r="I949">
        <v>0</v>
      </c>
      <c r="J949">
        <v>1</v>
      </c>
      <c r="K949" t="s">
        <v>36</v>
      </c>
      <c r="L949" t="s">
        <v>42</v>
      </c>
    </row>
    <row r="950" spans="1:12">
      <c r="A950" t="s">
        <v>292</v>
      </c>
      <c r="B950" t="s">
        <v>29</v>
      </c>
      <c r="C950" t="s">
        <v>142</v>
      </c>
      <c r="D950">
        <v>5</v>
      </c>
      <c r="E950">
        <v>2.15</v>
      </c>
      <c r="F950">
        <v>-2.85</v>
      </c>
      <c r="G950">
        <v>2.85</v>
      </c>
      <c r="H950">
        <v>1</v>
      </c>
      <c r="I950">
        <v>0</v>
      </c>
      <c r="J950">
        <v>1</v>
      </c>
      <c r="K950" t="s">
        <v>36</v>
      </c>
      <c r="L950" t="s">
        <v>42</v>
      </c>
    </row>
    <row r="951" spans="1:12">
      <c r="A951" t="s">
        <v>292</v>
      </c>
      <c r="B951" t="s">
        <v>29</v>
      </c>
      <c r="C951" t="s">
        <v>143</v>
      </c>
      <c r="D951">
        <v>5</v>
      </c>
      <c r="E951">
        <v>4.3899999999999997</v>
      </c>
      <c r="F951">
        <v>-0.61000000000000032</v>
      </c>
      <c r="G951">
        <v>0.61000000000000032</v>
      </c>
      <c r="H951">
        <v>0</v>
      </c>
      <c r="I951">
        <v>1</v>
      </c>
      <c r="J951">
        <v>0</v>
      </c>
      <c r="K951" t="s">
        <v>34</v>
      </c>
      <c r="L951" t="s">
        <v>42</v>
      </c>
    </row>
    <row r="952" spans="1:12">
      <c r="A952" t="s">
        <v>292</v>
      </c>
      <c r="B952" t="s">
        <v>29</v>
      </c>
      <c r="C952" t="s">
        <v>144</v>
      </c>
      <c r="D952">
        <v>4</v>
      </c>
      <c r="E952">
        <v>4.3899999999999997</v>
      </c>
      <c r="F952">
        <v>0.38999999999999968</v>
      </c>
      <c r="G952">
        <v>0.38999999999999968</v>
      </c>
      <c r="H952">
        <v>0</v>
      </c>
      <c r="I952">
        <v>1</v>
      </c>
      <c r="J952">
        <v>0</v>
      </c>
      <c r="K952" t="s">
        <v>34</v>
      </c>
      <c r="L952" t="s">
        <v>43</v>
      </c>
    </row>
    <row r="953" spans="1:12">
      <c r="A953" t="s">
        <v>292</v>
      </c>
      <c r="B953" t="s">
        <v>29</v>
      </c>
      <c r="C953" t="s">
        <v>145</v>
      </c>
      <c r="D953">
        <v>4</v>
      </c>
      <c r="E953">
        <v>4.3899999999999997</v>
      </c>
      <c r="F953">
        <v>0.38999999999999968</v>
      </c>
      <c r="G953">
        <v>0.38999999999999968</v>
      </c>
      <c r="H953">
        <v>0</v>
      </c>
      <c r="I953">
        <v>1</v>
      </c>
      <c r="J953">
        <v>0</v>
      </c>
      <c r="K953" t="s">
        <v>34</v>
      </c>
      <c r="L953" t="s">
        <v>43</v>
      </c>
    </row>
    <row r="954" spans="1:12">
      <c r="A954" t="s">
        <v>292</v>
      </c>
      <c r="B954" t="s">
        <v>29</v>
      </c>
      <c r="C954" t="s">
        <v>146</v>
      </c>
      <c r="D954">
        <v>5</v>
      </c>
      <c r="E954">
        <v>4.3899999999999997</v>
      </c>
      <c r="F954">
        <v>-0.61000000000000032</v>
      </c>
      <c r="G954">
        <v>0.61000000000000032</v>
      </c>
      <c r="H954">
        <v>0</v>
      </c>
      <c r="I954">
        <v>1</v>
      </c>
      <c r="J954">
        <v>0</v>
      </c>
      <c r="K954" t="s">
        <v>34</v>
      </c>
      <c r="L954" t="s">
        <v>43</v>
      </c>
    </row>
    <row r="955" spans="1:12">
      <c r="A955" t="s">
        <v>292</v>
      </c>
      <c r="B955" t="s">
        <v>29</v>
      </c>
      <c r="C955" t="s">
        <v>147</v>
      </c>
      <c r="D955">
        <v>4</v>
      </c>
      <c r="E955">
        <v>4.3899999999999997</v>
      </c>
      <c r="F955">
        <v>0.38999999999999968</v>
      </c>
      <c r="G955">
        <v>0.38999999999999968</v>
      </c>
      <c r="H955">
        <v>0</v>
      </c>
      <c r="I955">
        <v>1</v>
      </c>
      <c r="J955">
        <v>0</v>
      </c>
      <c r="K955" t="s">
        <v>34</v>
      </c>
      <c r="L955" t="s">
        <v>43</v>
      </c>
    </row>
    <row r="956" spans="1:12">
      <c r="A956" t="s">
        <v>292</v>
      </c>
      <c r="B956" t="s">
        <v>29</v>
      </c>
      <c r="C956" t="s">
        <v>148</v>
      </c>
      <c r="D956">
        <v>2</v>
      </c>
      <c r="E956">
        <v>4.3899999999999997</v>
      </c>
      <c r="F956">
        <v>2.3899999999999997</v>
      </c>
      <c r="G956">
        <v>2.3899999999999997</v>
      </c>
      <c r="H956">
        <v>0</v>
      </c>
      <c r="I956">
        <v>1</v>
      </c>
      <c r="J956">
        <v>1</v>
      </c>
      <c r="K956" t="s">
        <v>35</v>
      </c>
      <c r="L956" t="s">
        <v>43</v>
      </c>
    </row>
    <row r="957" spans="1:12">
      <c r="A957" t="s">
        <v>292</v>
      </c>
      <c r="B957" t="s">
        <v>29</v>
      </c>
      <c r="C957" t="s">
        <v>149</v>
      </c>
      <c r="D957">
        <v>1</v>
      </c>
      <c r="E957">
        <v>4.3899999999999997</v>
      </c>
      <c r="F957">
        <v>3.3899999999999997</v>
      </c>
      <c r="G957">
        <v>3.3899999999999997</v>
      </c>
      <c r="H957">
        <v>0</v>
      </c>
      <c r="I957">
        <v>1</v>
      </c>
      <c r="J957">
        <v>1</v>
      </c>
      <c r="K957" t="s">
        <v>35</v>
      </c>
      <c r="L957" t="s">
        <v>48</v>
      </c>
    </row>
    <row r="958" spans="1:12">
      <c r="A958" t="s">
        <v>292</v>
      </c>
      <c r="B958" t="s">
        <v>29</v>
      </c>
      <c r="C958" t="s">
        <v>150</v>
      </c>
      <c r="D958">
        <v>1</v>
      </c>
      <c r="E958">
        <v>4.3899999999999997</v>
      </c>
      <c r="F958">
        <v>3.3899999999999997</v>
      </c>
      <c r="G958">
        <v>3.3899999999999997</v>
      </c>
      <c r="H958">
        <v>0</v>
      </c>
      <c r="I958">
        <v>1</v>
      </c>
      <c r="J958">
        <v>1</v>
      </c>
      <c r="K958" t="s">
        <v>35</v>
      </c>
      <c r="L958" t="s">
        <v>48</v>
      </c>
    </row>
    <row r="959" spans="1:12">
      <c r="A959" t="s">
        <v>292</v>
      </c>
      <c r="B959" t="s">
        <v>29</v>
      </c>
      <c r="C959" t="s">
        <v>151</v>
      </c>
      <c r="D959">
        <v>1</v>
      </c>
      <c r="E959">
        <v>3</v>
      </c>
      <c r="F959">
        <v>2</v>
      </c>
      <c r="G959">
        <v>2</v>
      </c>
      <c r="H959">
        <v>0</v>
      </c>
      <c r="I959">
        <v>1</v>
      </c>
      <c r="J959">
        <v>1</v>
      </c>
      <c r="K959" t="s">
        <v>35</v>
      </c>
      <c r="L959" t="s">
        <v>48</v>
      </c>
    </row>
    <row r="960" spans="1:12">
      <c r="A960" t="s">
        <v>292</v>
      </c>
      <c r="B960" t="s">
        <v>29</v>
      </c>
      <c r="C960" t="s">
        <v>152</v>
      </c>
      <c r="D960">
        <v>1</v>
      </c>
      <c r="E960">
        <v>3</v>
      </c>
      <c r="F960">
        <v>2</v>
      </c>
      <c r="G960">
        <v>2</v>
      </c>
      <c r="H960">
        <v>0</v>
      </c>
      <c r="I960">
        <v>1</v>
      </c>
      <c r="J960">
        <v>1</v>
      </c>
      <c r="K960" t="s">
        <v>35</v>
      </c>
      <c r="L960" t="s">
        <v>48</v>
      </c>
    </row>
    <row r="961" spans="1:12">
      <c r="A961" t="s">
        <v>292</v>
      </c>
      <c r="B961" t="s">
        <v>29</v>
      </c>
      <c r="C961" t="s">
        <v>153</v>
      </c>
      <c r="D961">
        <v>1</v>
      </c>
      <c r="E961">
        <v>4.3899999999999997</v>
      </c>
      <c r="F961">
        <v>3.3899999999999997</v>
      </c>
      <c r="G961">
        <v>3.3899999999999997</v>
      </c>
      <c r="H961">
        <v>0</v>
      </c>
      <c r="I961">
        <v>1</v>
      </c>
      <c r="J961">
        <v>1</v>
      </c>
      <c r="K961" t="s">
        <v>35</v>
      </c>
      <c r="L961" t="s">
        <v>48</v>
      </c>
    </row>
    <row r="962" spans="1:12">
      <c r="A962" t="s">
        <v>298</v>
      </c>
      <c r="B962" t="s">
        <v>29</v>
      </c>
      <c r="C962" t="s">
        <v>76</v>
      </c>
      <c r="D962">
        <v>5</v>
      </c>
      <c r="E962">
        <v>5</v>
      </c>
      <c r="F962">
        <v>0</v>
      </c>
      <c r="G962">
        <v>0</v>
      </c>
      <c r="H962">
        <v>0</v>
      </c>
      <c r="I962">
        <v>1</v>
      </c>
      <c r="J962">
        <v>0</v>
      </c>
      <c r="K962" t="s">
        <v>34</v>
      </c>
      <c r="L962" t="s">
        <v>49</v>
      </c>
    </row>
    <row r="963" spans="1:12">
      <c r="A963" t="s">
        <v>298</v>
      </c>
      <c r="B963" t="s">
        <v>29</v>
      </c>
      <c r="C963" t="s">
        <v>77</v>
      </c>
      <c r="D963">
        <v>4</v>
      </c>
      <c r="E963">
        <v>4</v>
      </c>
      <c r="F963">
        <v>0</v>
      </c>
      <c r="G963">
        <v>0</v>
      </c>
      <c r="H963">
        <v>0</v>
      </c>
      <c r="I963">
        <v>1</v>
      </c>
      <c r="J963">
        <v>0</v>
      </c>
      <c r="K963" t="s">
        <v>34</v>
      </c>
      <c r="L963" t="s">
        <v>49</v>
      </c>
    </row>
    <row r="964" spans="1:12">
      <c r="A964" t="s">
        <v>298</v>
      </c>
      <c r="B964" t="s">
        <v>29</v>
      </c>
      <c r="C964" t="s">
        <v>78</v>
      </c>
      <c r="D964">
        <v>2</v>
      </c>
      <c r="E964">
        <v>4</v>
      </c>
      <c r="F964">
        <v>2</v>
      </c>
      <c r="G964">
        <v>2</v>
      </c>
      <c r="H964">
        <v>0</v>
      </c>
      <c r="I964">
        <v>1</v>
      </c>
      <c r="J964">
        <v>1</v>
      </c>
      <c r="K964" t="s">
        <v>35</v>
      </c>
      <c r="L964" t="s">
        <v>49</v>
      </c>
    </row>
    <row r="965" spans="1:12">
      <c r="A965" t="s">
        <v>298</v>
      </c>
      <c r="B965" t="s">
        <v>29</v>
      </c>
      <c r="C965" t="s">
        <v>79</v>
      </c>
      <c r="D965">
        <v>5</v>
      </c>
      <c r="E965">
        <v>0.95</v>
      </c>
      <c r="F965">
        <v>-4.05</v>
      </c>
      <c r="G965">
        <v>4.05</v>
      </c>
      <c r="H965">
        <v>1</v>
      </c>
      <c r="I965">
        <v>0</v>
      </c>
      <c r="J965">
        <v>1</v>
      </c>
      <c r="K965" t="s">
        <v>36</v>
      </c>
      <c r="L965" t="s">
        <v>49</v>
      </c>
    </row>
    <row r="966" spans="1:12">
      <c r="A966" t="s">
        <v>298</v>
      </c>
      <c r="B966" t="s">
        <v>29</v>
      </c>
      <c r="C966" t="s">
        <v>80</v>
      </c>
      <c r="D966">
        <v>5</v>
      </c>
      <c r="E966">
        <v>0.95</v>
      </c>
      <c r="F966">
        <v>-4.05</v>
      </c>
      <c r="G966">
        <v>4.05</v>
      </c>
      <c r="H966">
        <v>1</v>
      </c>
      <c r="I966">
        <v>0</v>
      </c>
      <c r="J966">
        <v>1</v>
      </c>
      <c r="K966" t="s">
        <v>36</v>
      </c>
      <c r="L966" t="s">
        <v>49</v>
      </c>
    </row>
    <row r="967" spans="1:12">
      <c r="A967" t="s">
        <v>298</v>
      </c>
      <c r="B967" t="s">
        <v>29</v>
      </c>
      <c r="C967" t="s">
        <v>81</v>
      </c>
      <c r="D967">
        <v>4</v>
      </c>
      <c r="E967">
        <v>5</v>
      </c>
      <c r="F967">
        <v>1</v>
      </c>
      <c r="G967">
        <v>1</v>
      </c>
      <c r="H967">
        <v>0</v>
      </c>
      <c r="I967">
        <v>1</v>
      </c>
      <c r="J967">
        <v>1</v>
      </c>
      <c r="K967" t="s">
        <v>37</v>
      </c>
      <c r="L967" t="s">
        <v>49</v>
      </c>
    </row>
    <row r="968" spans="1:12">
      <c r="A968" t="s">
        <v>298</v>
      </c>
      <c r="B968" t="s">
        <v>29</v>
      </c>
      <c r="C968" t="s">
        <v>82</v>
      </c>
      <c r="D968">
        <v>4</v>
      </c>
      <c r="E968">
        <v>5</v>
      </c>
      <c r="F968">
        <v>1</v>
      </c>
      <c r="G968">
        <v>1</v>
      </c>
      <c r="H968">
        <v>0</v>
      </c>
      <c r="I968">
        <v>1</v>
      </c>
      <c r="J968">
        <v>1</v>
      </c>
      <c r="K968" t="s">
        <v>37</v>
      </c>
      <c r="L968" t="s">
        <v>49</v>
      </c>
    </row>
    <row r="969" spans="1:12">
      <c r="A969" t="s">
        <v>298</v>
      </c>
      <c r="B969" t="s">
        <v>29</v>
      </c>
      <c r="C969" t="s">
        <v>83</v>
      </c>
      <c r="D969">
        <v>5</v>
      </c>
      <c r="E969">
        <v>5</v>
      </c>
      <c r="F969">
        <v>0</v>
      </c>
      <c r="G969">
        <v>0</v>
      </c>
      <c r="H969">
        <v>0</v>
      </c>
      <c r="I969">
        <v>1</v>
      </c>
      <c r="J969">
        <v>0</v>
      </c>
      <c r="K969" t="s">
        <v>34</v>
      </c>
      <c r="L969" t="s">
        <v>49</v>
      </c>
    </row>
    <row r="970" spans="1:12">
      <c r="A970" t="s">
        <v>298</v>
      </c>
      <c r="B970" t="s">
        <v>29</v>
      </c>
      <c r="C970" t="s">
        <v>84</v>
      </c>
      <c r="D970">
        <v>3</v>
      </c>
      <c r="E970">
        <v>5</v>
      </c>
      <c r="F970">
        <v>2</v>
      </c>
      <c r="G970">
        <v>2</v>
      </c>
      <c r="H970">
        <v>0</v>
      </c>
      <c r="I970">
        <v>1</v>
      </c>
      <c r="J970">
        <v>1</v>
      </c>
      <c r="K970" t="s">
        <v>35</v>
      </c>
      <c r="L970" t="s">
        <v>49</v>
      </c>
    </row>
    <row r="971" spans="1:12">
      <c r="A971" t="s">
        <v>298</v>
      </c>
      <c r="B971" t="s">
        <v>29</v>
      </c>
      <c r="C971" t="s">
        <v>85</v>
      </c>
      <c r="D971">
        <v>4</v>
      </c>
      <c r="E971">
        <v>4</v>
      </c>
      <c r="F971">
        <v>0</v>
      </c>
      <c r="G971">
        <v>0</v>
      </c>
      <c r="H971">
        <v>0</v>
      </c>
      <c r="I971">
        <v>1</v>
      </c>
      <c r="J971">
        <v>0</v>
      </c>
      <c r="K971" t="s">
        <v>34</v>
      </c>
      <c r="L971" t="s">
        <v>49</v>
      </c>
    </row>
    <row r="972" spans="1:12">
      <c r="A972" t="s">
        <v>298</v>
      </c>
      <c r="B972" t="s">
        <v>29</v>
      </c>
      <c r="C972" t="s">
        <v>86</v>
      </c>
      <c r="D972">
        <v>4</v>
      </c>
      <c r="E972">
        <v>4</v>
      </c>
      <c r="F972">
        <v>0</v>
      </c>
      <c r="G972">
        <v>0</v>
      </c>
      <c r="H972">
        <v>0</v>
      </c>
      <c r="I972">
        <v>1</v>
      </c>
      <c r="J972">
        <v>0</v>
      </c>
      <c r="K972" t="s">
        <v>34</v>
      </c>
      <c r="L972" t="s">
        <v>50</v>
      </c>
    </row>
    <row r="973" spans="1:12">
      <c r="A973" t="s">
        <v>298</v>
      </c>
      <c r="B973" t="s">
        <v>29</v>
      </c>
      <c r="C973" t="s">
        <v>87</v>
      </c>
      <c r="D973">
        <v>3</v>
      </c>
      <c r="E973">
        <v>4</v>
      </c>
      <c r="F973">
        <v>1</v>
      </c>
      <c r="G973">
        <v>1</v>
      </c>
      <c r="H973">
        <v>0</v>
      </c>
      <c r="I973">
        <v>1</v>
      </c>
      <c r="J973">
        <v>1</v>
      </c>
      <c r="K973" t="s">
        <v>37</v>
      </c>
      <c r="L973" t="s">
        <v>50</v>
      </c>
    </row>
    <row r="974" spans="1:12">
      <c r="A974" t="s">
        <v>298</v>
      </c>
      <c r="B974" t="s">
        <v>29</v>
      </c>
      <c r="C974" t="s">
        <v>88</v>
      </c>
      <c r="D974">
        <v>4</v>
      </c>
      <c r="E974">
        <v>4</v>
      </c>
      <c r="F974">
        <v>0</v>
      </c>
      <c r="G974">
        <v>0</v>
      </c>
      <c r="H974">
        <v>0</v>
      </c>
      <c r="I974">
        <v>1</v>
      </c>
      <c r="J974">
        <v>0</v>
      </c>
      <c r="K974" t="s">
        <v>34</v>
      </c>
      <c r="L974" t="s">
        <v>50</v>
      </c>
    </row>
    <row r="975" spans="1:12">
      <c r="A975" t="s">
        <v>298</v>
      </c>
      <c r="B975" t="s">
        <v>29</v>
      </c>
      <c r="C975" t="s">
        <v>89</v>
      </c>
      <c r="D975">
        <v>4</v>
      </c>
      <c r="E975">
        <v>5</v>
      </c>
      <c r="F975">
        <v>1</v>
      </c>
      <c r="G975">
        <v>1</v>
      </c>
      <c r="H975">
        <v>0</v>
      </c>
      <c r="I975">
        <v>1</v>
      </c>
      <c r="J975">
        <v>1</v>
      </c>
      <c r="K975" t="s">
        <v>37</v>
      </c>
      <c r="L975" t="s">
        <v>50</v>
      </c>
    </row>
    <row r="976" spans="1:12">
      <c r="A976" t="s">
        <v>298</v>
      </c>
      <c r="B976" t="s">
        <v>29</v>
      </c>
      <c r="C976" t="s">
        <v>90</v>
      </c>
      <c r="D976">
        <v>5</v>
      </c>
      <c r="E976">
        <v>5</v>
      </c>
      <c r="F976">
        <v>0</v>
      </c>
      <c r="G976">
        <v>0</v>
      </c>
      <c r="H976">
        <v>0</v>
      </c>
      <c r="I976">
        <v>1</v>
      </c>
      <c r="J976">
        <v>0</v>
      </c>
      <c r="K976" t="s">
        <v>34</v>
      </c>
      <c r="L976" t="s">
        <v>50</v>
      </c>
    </row>
    <row r="977" spans="1:12">
      <c r="A977" t="s">
        <v>298</v>
      </c>
      <c r="B977" t="s">
        <v>29</v>
      </c>
      <c r="C977" t="s">
        <v>91</v>
      </c>
      <c r="D977">
        <v>3</v>
      </c>
      <c r="E977">
        <v>2.15</v>
      </c>
      <c r="F977">
        <v>-0.85000000000000009</v>
      </c>
      <c r="G977">
        <v>0.85000000000000009</v>
      </c>
      <c r="H977">
        <v>0</v>
      </c>
      <c r="I977">
        <v>1</v>
      </c>
      <c r="J977">
        <v>0</v>
      </c>
      <c r="K977" t="s">
        <v>34</v>
      </c>
      <c r="L977" t="s">
        <v>50</v>
      </c>
    </row>
    <row r="978" spans="1:12">
      <c r="A978" t="s">
        <v>298</v>
      </c>
      <c r="B978" t="s">
        <v>29</v>
      </c>
      <c r="C978" t="s">
        <v>92</v>
      </c>
      <c r="D978">
        <v>3</v>
      </c>
      <c r="E978">
        <v>2.15</v>
      </c>
      <c r="F978">
        <v>-0.85000000000000009</v>
      </c>
      <c r="G978">
        <v>0.85000000000000009</v>
      </c>
      <c r="H978">
        <v>0</v>
      </c>
      <c r="I978">
        <v>1</v>
      </c>
      <c r="J978">
        <v>0</v>
      </c>
      <c r="K978" t="s">
        <v>34</v>
      </c>
      <c r="L978" t="s">
        <v>50</v>
      </c>
    </row>
    <row r="979" spans="1:12">
      <c r="A979" t="s">
        <v>298</v>
      </c>
      <c r="B979" t="s">
        <v>29</v>
      </c>
      <c r="C979" t="s">
        <v>93</v>
      </c>
      <c r="D979">
        <v>4</v>
      </c>
      <c r="E979">
        <v>4</v>
      </c>
      <c r="F979">
        <v>0</v>
      </c>
      <c r="G979">
        <v>0</v>
      </c>
      <c r="H979">
        <v>0</v>
      </c>
      <c r="I979">
        <v>1</v>
      </c>
      <c r="J979">
        <v>0</v>
      </c>
      <c r="K979" t="s">
        <v>34</v>
      </c>
      <c r="L979" t="s">
        <v>50</v>
      </c>
    </row>
    <row r="980" spans="1:12">
      <c r="A980" t="s">
        <v>298</v>
      </c>
      <c r="B980" t="s">
        <v>29</v>
      </c>
      <c r="C980" t="s">
        <v>94</v>
      </c>
      <c r="D980">
        <v>3</v>
      </c>
      <c r="E980">
        <v>4</v>
      </c>
      <c r="F980">
        <v>1</v>
      </c>
      <c r="G980">
        <v>1</v>
      </c>
      <c r="H980">
        <v>0</v>
      </c>
      <c r="I980">
        <v>1</v>
      </c>
      <c r="J980">
        <v>1</v>
      </c>
      <c r="K980" t="s">
        <v>37</v>
      </c>
      <c r="L980" t="s">
        <v>50</v>
      </c>
    </row>
    <row r="981" spans="1:12">
      <c r="A981" t="s">
        <v>298</v>
      </c>
      <c r="B981" t="s">
        <v>29</v>
      </c>
      <c r="C981" t="s">
        <v>95</v>
      </c>
      <c r="D981">
        <v>3</v>
      </c>
      <c r="E981">
        <v>4</v>
      </c>
      <c r="F981">
        <v>1</v>
      </c>
      <c r="G981">
        <v>1</v>
      </c>
      <c r="H981">
        <v>0</v>
      </c>
      <c r="I981">
        <v>1</v>
      </c>
      <c r="J981">
        <v>1</v>
      </c>
      <c r="K981" t="s">
        <v>37</v>
      </c>
      <c r="L981" t="s">
        <v>50</v>
      </c>
    </row>
    <row r="982" spans="1:12">
      <c r="A982" t="s">
        <v>298</v>
      </c>
      <c r="B982" t="s">
        <v>29</v>
      </c>
      <c r="C982" t="s">
        <v>96</v>
      </c>
      <c r="D982">
        <v>3</v>
      </c>
      <c r="E982">
        <v>4</v>
      </c>
      <c r="F982">
        <v>1</v>
      </c>
      <c r="G982">
        <v>1</v>
      </c>
      <c r="H982">
        <v>0</v>
      </c>
      <c r="I982">
        <v>1</v>
      </c>
      <c r="J982">
        <v>1</v>
      </c>
      <c r="K982" t="s">
        <v>37</v>
      </c>
      <c r="L982" t="s">
        <v>40</v>
      </c>
    </row>
    <row r="983" spans="1:12">
      <c r="A983" t="s">
        <v>298</v>
      </c>
      <c r="B983" t="s">
        <v>29</v>
      </c>
      <c r="C983" t="s">
        <v>31</v>
      </c>
      <c r="D983">
        <v>4</v>
      </c>
      <c r="E983">
        <v>2.15</v>
      </c>
      <c r="F983">
        <v>-1.85</v>
      </c>
      <c r="G983">
        <v>1.85</v>
      </c>
      <c r="H983">
        <v>1</v>
      </c>
      <c r="I983">
        <v>0</v>
      </c>
      <c r="J983">
        <v>1</v>
      </c>
      <c r="K983" t="s">
        <v>33</v>
      </c>
      <c r="L983" t="s">
        <v>40</v>
      </c>
    </row>
    <row r="984" spans="1:12">
      <c r="A984" t="s">
        <v>298</v>
      </c>
      <c r="B984" t="s">
        <v>29</v>
      </c>
      <c r="C984" t="s">
        <v>30</v>
      </c>
      <c r="D984">
        <v>4</v>
      </c>
      <c r="E984">
        <v>2.15</v>
      </c>
      <c r="F984">
        <v>-1.85</v>
      </c>
      <c r="G984">
        <v>1.85</v>
      </c>
      <c r="H984">
        <v>1</v>
      </c>
      <c r="I984">
        <v>0</v>
      </c>
      <c r="J984">
        <v>1</v>
      </c>
      <c r="K984" t="s">
        <v>33</v>
      </c>
      <c r="L984" t="s">
        <v>40</v>
      </c>
    </row>
    <row r="985" spans="1:12">
      <c r="A985" t="s">
        <v>298</v>
      </c>
      <c r="B985" t="s">
        <v>29</v>
      </c>
      <c r="C985" t="s">
        <v>97</v>
      </c>
      <c r="D985">
        <v>4</v>
      </c>
      <c r="E985">
        <v>4</v>
      </c>
      <c r="F985">
        <v>0</v>
      </c>
      <c r="G985">
        <v>0</v>
      </c>
      <c r="H985">
        <v>0</v>
      </c>
      <c r="I985">
        <v>1</v>
      </c>
      <c r="J985">
        <v>0</v>
      </c>
      <c r="K985" t="s">
        <v>34</v>
      </c>
      <c r="L985" t="s">
        <v>40</v>
      </c>
    </row>
    <row r="986" spans="1:12">
      <c r="A986" t="s">
        <v>298</v>
      </c>
      <c r="B986" t="s">
        <v>29</v>
      </c>
      <c r="C986" t="s">
        <v>98</v>
      </c>
      <c r="D986">
        <v>4</v>
      </c>
      <c r="E986">
        <v>4</v>
      </c>
      <c r="F986">
        <v>0</v>
      </c>
      <c r="G986">
        <v>0</v>
      </c>
      <c r="H986">
        <v>0</v>
      </c>
      <c r="I986">
        <v>1</v>
      </c>
      <c r="J986">
        <v>0</v>
      </c>
      <c r="K986" t="s">
        <v>34</v>
      </c>
      <c r="L986" t="s">
        <v>40</v>
      </c>
    </row>
    <row r="987" spans="1:12">
      <c r="A987" t="s">
        <v>298</v>
      </c>
      <c r="B987" t="s">
        <v>29</v>
      </c>
      <c r="C987" t="s">
        <v>99</v>
      </c>
      <c r="D987">
        <v>4</v>
      </c>
      <c r="E987">
        <v>4</v>
      </c>
      <c r="F987">
        <v>0</v>
      </c>
      <c r="G987">
        <v>0</v>
      </c>
      <c r="H987">
        <v>0</v>
      </c>
      <c r="I987">
        <v>1</v>
      </c>
      <c r="J987">
        <v>0</v>
      </c>
      <c r="K987" t="s">
        <v>34</v>
      </c>
      <c r="L987" t="s">
        <v>39</v>
      </c>
    </row>
    <row r="988" spans="1:12">
      <c r="A988" t="s">
        <v>298</v>
      </c>
      <c r="B988" t="s">
        <v>29</v>
      </c>
      <c r="C988" t="s">
        <v>100</v>
      </c>
      <c r="D988">
        <v>4</v>
      </c>
      <c r="E988">
        <v>4</v>
      </c>
      <c r="F988">
        <v>0</v>
      </c>
      <c r="G988">
        <v>0</v>
      </c>
      <c r="H988">
        <v>0</v>
      </c>
      <c r="I988">
        <v>1</v>
      </c>
      <c r="J988">
        <v>0</v>
      </c>
      <c r="K988" t="s">
        <v>34</v>
      </c>
      <c r="L988" t="s">
        <v>39</v>
      </c>
    </row>
    <row r="989" spans="1:12">
      <c r="A989" t="s">
        <v>298</v>
      </c>
      <c r="B989" t="s">
        <v>29</v>
      </c>
      <c r="C989" t="s">
        <v>101</v>
      </c>
      <c r="D989">
        <v>4</v>
      </c>
      <c r="E989">
        <v>5</v>
      </c>
      <c r="F989">
        <v>1</v>
      </c>
      <c r="G989">
        <v>1</v>
      </c>
      <c r="H989">
        <v>0</v>
      </c>
      <c r="I989">
        <v>1</v>
      </c>
      <c r="J989">
        <v>1</v>
      </c>
      <c r="K989" t="s">
        <v>37</v>
      </c>
      <c r="L989" t="s">
        <v>39</v>
      </c>
    </row>
    <row r="990" spans="1:12">
      <c r="A990" t="s">
        <v>298</v>
      </c>
      <c r="B990" t="s">
        <v>29</v>
      </c>
      <c r="C990" t="s">
        <v>102</v>
      </c>
      <c r="D990">
        <v>4</v>
      </c>
      <c r="E990">
        <v>5</v>
      </c>
      <c r="F990">
        <v>1</v>
      </c>
      <c r="G990">
        <v>1</v>
      </c>
      <c r="H990">
        <v>0</v>
      </c>
      <c r="I990">
        <v>1</v>
      </c>
      <c r="J990">
        <v>1</v>
      </c>
      <c r="K990" t="s">
        <v>37</v>
      </c>
      <c r="L990" t="s">
        <v>39</v>
      </c>
    </row>
    <row r="991" spans="1:12">
      <c r="A991" t="s">
        <v>298</v>
      </c>
      <c r="B991" t="s">
        <v>29</v>
      </c>
      <c r="C991" t="s">
        <v>103</v>
      </c>
      <c r="D991">
        <v>4</v>
      </c>
      <c r="E991">
        <v>2.15</v>
      </c>
      <c r="F991">
        <v>-1.85</v>
      </c>
      <c r="G991">
        <v>1.85</v>
      </c>
      <c r="H991">
        <v>1</v>
      </c>
      <c r="I991">
        <v>0</v>
      </c>
      <c r="J991">
        <v>1</v>
      </c>
      <c r="K991" t="s">
        <v>33</v>
      </c>
      <c r="L991" t="s">
        <v>39</v>
      </c>
    </row>
    <row r="992" spans="1:12">
      <c r="A992" t="s">
        <v>298</v>
      </c>
      <c r="B992" t="s">
        <v>29</v>
      </c>
      <c r="C992" t="s">
        <v>104</v>
      </c>
      <c r="D992">
        <v>3</v>
      </c>
      <c r="E992">
        <v>2.15</v>
      </c>
      <c r="F992">
        <v>-0.85000000000000009</v>
      </c>
      <c r="G992">
        <v>0.85000000000000009</v>
      </c>
      <c r="H992">
        <v>0</v>
      </c>
      <c r="I992">
        <v>1</v>
      </c>
      <c r="J992">
        <v>0</v>
      </c>
      <c r="K992" t="s">
        <v>34</v>
      </c>
      <c r="L992" t="s">
        <v>41</v>
      </c>
    </row>
    <row r="993" spans="1:12">
      <c r="A993" t="s">
        <v>298</v>
      </c>
      <c r="B993" t="s">
        <v>29</v>
      </c>
      <c r="C993" t="s">
        <v>105</v>
      </c>
      <c r="D993">
        <v>3</v>
      </c>
      <c r="E993">
        <v>2.15</v>
      </c>
      <c r="F993">
        <v>-0.85000000000000009</v>
      </c>
      <c r="G993">
        <v>0.85000000000000009</v>
      </c>
      <c r="H993">
        <v>0</v>
      </c>
      <c r="I993">
        <v>1</v>
      </c>
      <c r="J993">
        <v>0</v>
      </c>
      <c r="K993" t="s">
        <v>34</v>
      </c>
      <c r="L993" t="s">
        <v>41</v>
      </c>
    </row>
    <row r="994" spans="1:12">
      <c r="A994" t="s">
        <v>298</v>
      </c>
      <c r="B994" t="s">
        <v>29</v>
      </c>
      <c r="C994" t="s">
        <v>106</v>
      </c>
      <c r="D994">
        <v>3</v>
      </c>
      <c r="E994">
        <v>2.15</v>
      </c>
      <c r="F994">
        <v>-0.85000000000000009</v>
      </c>
      <c r="G994">
        <v>0.85000000000000009</v>
      </c>
      <c r="H994">
        <v>0</v>
      </c>
      <c r="I994">
        <v>1</v>
      </c>
      <c r="J994">
        <v>0</v>
      </c>
      <c r="K994" t="s">
        <v>34</v>
      </c>
      <c r="L994" t="s">
        <v>41</v>
      </c>
    </row>
    <row r="995" spans="1:12">
      <c r="A995" t="s">
        <v>298</v>
      </c>
      <c r="B995" t="s">
        <v>29</v>
      </c>
      <c r="C995" t="s">
        <v>107</v>
      </c>
      <c r="D995">
        <v>3</v>
      </c>
      <c r="E995">
        <v>4</v>
      </c>
      <c r="F995">
        <v>1</v>
      </c>
      <c r="G995">
        <v>1</v>
      </c>
      <c r="H995">
        <v>0</v>
      </c>
      <c r="I995">
        <v>1</v>
      </c>
      <c r="J995">
        <v>1</v>
      </c>
      <c r="K995" t="s">
        <v>37</v>
      </c>
      <c r="L995" t="s">
        <v>41</v>
      </c>
    </row>
    <row r="996" spans="1:12">
      <c r="A996" t="s">
        <v>298</v>
      </c>
      <c r="B996" t="s">
        <v>29</v>
      </c>
      <c r="C996" t="s">
        <v>108</v>
      </c>
      <c r="D996">
        <v>3</v>
      </c>
      <c r="E996">
        <v>4</v>
      </c>
      <c r="F996">
        <v>1</v>
      </c>
      <c r="G996">
        <v>1</v>
      </c>
      <c r="H996">
        <v>0</v>
      </c>
      <c r="I996">
        <v>1</v>
      </c>
      <c r="J996">
        <v>1</v>
      </c>
      <c r="K996" t="s">
        <v>37</v>
      </c>
      <c r="L996" t="s">
        <v>41</v>
      </c>
    </row>
    <row r="997" spans="1:12">
      <c r="A997" t="s">
        <v>298</v>
      </c>
      <c r="B997" t="s">
        <v>29</v>
      </c>
      <c r="C997" t="s">
        <v>109</v>
      </c>
      <c r="D997">
        <v>4</v>
      </c>
      <c r="E997">
        <v>2.15</v>
      </c>
      <c r="F997">
        <v>-1.85</v>
      </c>
      <c r="G997">
        <v>1.85</v>
      </c>
      <c r="H997">
        <v>1</v>
      </c>
      <c r="I997">
        <v>0</v>
      </c>
      <c r="J997">
        <v>1</v>
      </c>
      <c r="K997" t="s">
        <v>33</v>
      </c>
      <c r="L997" t="s">
        <v>38</v>
      </c>
    </row>
    <row r="998" spans="1:12">
      <c r="A998" t="s">
        <v>298</v>
      </c>
      <c r="B998" t="s">
        <v>29</v>
      </c>
      <c r="C998" t="s">
        <v>110</v>
      </c>
      <c r="D998">
        <v>4</v>
      </c>
      <c r="E998">
        <v>2.15</v>
      </c>
      <c r="F998">
        <v>-1.85</v>
      </c>
      <c r="G998">
        <v>1.85</v>
      </c>
      <c r="H998">
        <v>1</v>
      </c>
      <c r="I998">
        <v>0</v>
      </c>
      <c r="J998">
        <v>1</v>
      </c>
      <c r="K998" t="s">
        <v>33</v>
      </c>
      <c r="L998" t="s">
        <v>38</v>
      </c>
    </row>
    <row r="999" spans="1:12">
      <c r="A999" t="s">
        <v>298</v>
      </c>
      <c r="B999" t="s">
        <v>29</v>
      </c>
      <c r="C999" t="s">
        <v>111</v>
      </c>
      <c r="D999">
        <v>4</v>
      </c>
      <c r="E999">
        <v>2.15</v>
      </c>
      <c r="F999">
        <v>-1.85</v>
      </c>
      <c r="G999">
        <v>1.85</v>
      </c>
      <c r="H999">
        <v>1</v>
      </c>
      <c r="I999">
        <v>0</v>
      </c>
      <c r="J999">
        <v>1</v>
      </c>
      <c r="K999" t="s">
        <v>33</v>
      </c>
      <c r="L999" t="s">
        <v>38</v>
      </c>
    </row>
    <row r="1000" spans="1:12">
      <c r="A1000" t="s">
        <v>298</v>
      </c>
      <c r="B1000" t="s">
        <v>29</v>
      </c>
      <c r="C1000" t="s">
        <v>112</v>
      </c>
      <c r="D1000">
        <v>4</v>
      </c>
      <c r="E1000">
        <v>2.15</v>
      </c>
      <c r="F1000">
        <v>-1.85</v>
      </c>
      <c r="G1000">
        <v>1.85</v>
      </c>
      <c r="H1000">
        <v>1</v>
      </c>
      <c r="I1000">
        <v>0</v>
      </c>
      <c r="J1000">
        <v>1</v>
      </c>
      <c r="K1000" t="s">
        <v>33</v>
      </c>
      <c r="L1000" t="s">
        <v>38</v>
      </c>
    </row>
    <row r="1001" spans="1:12">
      <c r="A1001" t="s">
        <v>298</v>
      </c>
      <c r="B1001" t="s">
        <v>29</v>
      </c>
      <c r="C1001" t="s">
        <v>113</v>
      </c>
      <c r="D1001">
        <v>3</v>
      </c>
      <c r="E1001">
        <v>2.15</v>
      </c>
      <c r="F1001">
        <v>-0.85000000000000009</v>
      </c>
      <c r="G1001">
        <v>0.85000000000000009</v>
      </c>
      <c r="H1001">
        <v>0</v>
      </c>
      <c r="I1001">
        <v>1</v>
      </c>
      <c r="J1001">
        <v>0</v>
      </c>
      <c r="K1001" t="s">
        <v>34</v>
      </c>
      <c r="L1001" t="s">
        <v>38</v>
      </c>
    </row>
    <row r="1002" spans="1:12">
      <c r="A1002" t="s">
        <v>298</v>
      </c>
      <c r="B1002" t="s">
        <v>29</v>
      </c>
      <c r="C1002" t="s">
        <v>114</v>
      </c>
      <c r="D1002">
        <v>4</v>
      </c>
      <c r="E1002">
        <v>2.15</v>
      </c>
      <c r="F1002">
        <v>-1.85</v>
      </c>
      <c r="G1002">
        <v>1.85</v>
      </c>
      <c r="H1002">
        <v>1</v>
      </c>
      <c r="I1002">
        <v>0</v>
      </c>
      <c r="J1002">
        <v>1</v>
      </c>
      <c r="K1002" t="s">
        <v>33</v>
      </c>
      <c r="L1002" t="s">
        <v>38</v>
      </c>
    </row>
    <row r="1003" spans="1:12">
      <c r="A1003" t="s">
        <v>298</v>
      </c>
      <c r="B1003" t="s">
        <v>29</v>
      </c>
      <c r="C1003" t="s">
        <v>115</v>
      </c>
      <c r="D1003">
        <v>4</v>
      </c>
      <c r="E1003">
        <v>4</v>
      </c>
      <c r="F1003">
        <v>0</v>
      </c>
      <c r="G1003">
        <v>0</v>
      </c>
      <c r="H1003">
        <v>0</v>
      </c>
      <c r="I1003">
        <v>1</v>
      </c>
      <c r="J1003">
        <v>0</v>
      </c>
      <c r="K1003" t="s">
        <v>34</v>
      </c>
      <c r="L1003" t="s">
        <v>38</v>
      </c>
    </row>
    <row r="1004" spans="1:12">
      <c r="A1004" t="s">
        <v>298</v>
      </c>
      <c r="B1004" t="s">
        <v>29</v>
      </c>
      <c r="C1004" t="s">
        <v>116</v>
      </c>
      <c r="D1004">
        <v>3</v>
      </c>
      <c r="E1004">
        <v>4</v>
      </c>
      <c r="F1004">
        <v>1</v>
      </c>
      <c r="G1004">
        <v>1</v>
      </c>
      <c r="H1004">
        <v>0</v>
      </c>
      <c r="I1004">
        <v>1</v>
      </c>
      <c r="J1004">
        <v>1</v>
      </c>
      <c r="K1004" t="s">
        <v>37</v>
      </c>
      <c r="L1004" t="s">
        <v>38</v>
      </c>
    </row>
    <row r="1005" spans="1:12">
      <c r="A1005" t="s">
        <v>298</v>
      </c>
      <c r="B1005" t="s">
        <v>29</v>
      </c>
      <c r="C1005" t="s">
        <v>117</v>
      </c>
      <c r="D1005">
        <v>3</v>
      </c>
      <c r="E1005">
        <v>4</v>
      </c>
      <c r="F1005">
        <v>1</v>
      </c>
      <c r="G1005">
        <v>1</v>
      </c>
      <c r="H1005">
        <v>0</v>
      </c>
      <c r="I1005">
        <v>1</v>
      </c>
      <c r="J1005">
        <v>1</v>
      </c>
      <c r="K1005" t="s">
        <v>37</v>
      </c>
      <c r="L1005" t="s">
        <v>38</v>
      </c>
    </row>
    <row r="1006" spans="1:12">
      <c r="A1006" t="s">
        <v>298</v>
      </c>
      <c r="B1006" t="s">
        <v>29</v>
      </c>
      <c r="C1006" t="s">
        <v>118</v>
      </c>
      <c r="D1006">
        <v>4</v>
      </c>
      <c r="E1006">
        <v>4</v>
      </c>
      <c r="F1006">
        <v>0</v>
      </c>
      <c r="G1006">
        <v>0</v>
      </c>
      <c r="H1006">
        <v>0</v>
      </c>
      <c r="I1006">
        <v>1</v>
      </c>
      <c r="J1006">
        <v>0</v>
      </c>
      <c r="K1006" t="s">
        <v>34</v>
      </c>
      <c r="L1006" t="s">
        <v>38</v>
      </c>
    </row>
    <row r="1007" spans="1:12">
      <c r="A1007" t="s">
        <v>298</v>
      </c>
      <c r="B1007" t="s">
        <v>29</v>
      </c>
      <c r="C1007" t="s">
        <v>119</v>
      </c>
      <c r="D1007">
        <v>3</v>
      </c>
      <c r="E1007">
        <v>4</v>
      </c>
      <c r="F1007">
        <v>1</v>
      </c>
      <c r="G1007">
        <v>1</v>
      </c>
      <c r="H1007">
        <v>0</v>
      </c>
      <c r="I1007">
        <v>1</v>
      </c>
      <c r="J1007">
        <v>1</v>
      </c>
      <c r="K1007" t="s">
        <v>37</v>
      </c>
      <c r="L1007" t="s">
        <v>44</v>
      </c>
    </row>
    <row r="1008" spans="1:12">
      <c r="A1008" t="s">
        <v>298</v>
      </c>
      <c r="B1008" t="s">
        <v>29</v>
      </c>
      <c r="C1008" t="s">
        <v>120</v>
      </c>
      <c r="D1008">
        <v>3</v>
      </c>
      <c r="E1008">
        <v>4</v>
      </c>
      <c r="F1008">
        <v>1</v>
      </c>
      <c r="G1008">
        <v>1</v>
      </c>
      <c r="H1008">
        <v>0</v>
      </c>
      <c r="I1008">
        <v>1</v>
      </c>
      <c r="J1008">
        <v>1</v>
      </c>
      <c r="K1008" t="s">
        <v>37</v>
      </c>
      <c r="L1008" t="s">
        <v>44</v>
      </c>
    </row>
    <row r="1009" spans="1:12">
      <c r="A1009" t="s">
        <v>298</v>
      </c>
      <c r="B1009" t="s">
        <v>29</v>
      </c>
      <c r="C1009" t="s">
        <v>121</v>
      </c>
      <c r="D1009">
        <v>4</v>
      </c>
      <c r="E1009">
        <v>4</v>
      </c>
      <c r="F1009">
        <v>0</v>
      </c>
      <c r="G1009">
        <v>0</v>
      </c>
      <c r="H1009">
        <v>0</v>
      </c>
      <c r="I1009">
        <v>1</v>
      </c>
      <c r="J1009">
        <v>0</v>
      </c>
      <c r="K1009" t="s">
        <v>34</v>
      </c>
      <c r="L1009" t="s">
        <v>44</v>
      </c>
    </row>
    <row r="1010" spans="1:12">
      <c r="A1010" t="s">
        <v>298</v>
      </c>
      <c r="B1010" t="s">
        <v>29</v>
      </c>
      <c r="C1010" t="s">
        <v>122</v>
      </c>
      <c r="D1010">
        <v>3</v>
      </c>
      <c r="E1010">
        <v>4</v>
      </c>
      <c r="F1010">
        <v>1</v>
      </c>
      <c r="G1010">
        <v>1</v>
      </c>
      <c r="H1010">
        <v>0</v>
      </c>
      <c r="I1010">
        <v>1</v>
      </c>
      <c r="J1010">
        <v>1</v>
      </c>
      <c r="K1010" t="s">
        <v>37</v>
      </c>
      <c r="L1010" t="s">
        <v>44</v>
      </c>
    </row>
    <row r="1011" spans="1:12">
      <c r="A1011" t="s">
        <v>298</v>
      </c>
      <c r="B1011" t="s">
        <v>29</v>
      </c>
      <c r="C1011" t="s">
        <v>123</v>
      </c>
      <c r="D1011">
        <v>3</v>
      </c>
      <c r="E1011">
        <v>4.3899999999999997</v>
      </c>
      <c r="F1011">
        <v>1.3899999999999997</v>
      </c>
      <c r="G1011">
        <v>1.3899999999999997</v>
      </c>
      <c r="H1011">
        <v>0</v>
      </c>
      <c r="I1011">
        <v>1</v>
      </c>
      <c r="J1011">
        <v>1</v>
      </c>
      <c r="K1011" t="s">
        <v>37</v>
      </c>
      <c r="L1011" t="s">
        <v>44</v>
      </c>
    </row>
    <row r="1012" spans="1:12">
      <c r="A1012" t="s">
        <v>298</v>
      </c>
      <c r="B1012" t="s">
        <v>29</v>
      </c>
      <c r="C1012" t="s">
        <v>124</v>
      </c>
      <c r="D1012">
        <v>5</v>
      </c>
      <c r="E1012">
        <v>4.3899999999999997</v>
      </c>
      <c r="F1012">
        <v>-0.61000000000000032</v>
      </c>
      <c r="G1012">
        <v>0.61000000000000032</v>
      </c>
      <c r="H1012">
        <v>0</v>
      </c>
      <c r="I1012">
        <v>1</v>
      </c>
      <c r="J1012">
        <v>0</v>
      </c>
      <c r="K1012" t="s">
        <v>34</v>
      </c>
      <c r="L1012" t="s">
        <v>45</v>
      </c>
    </row>
    <row r="1013" spans="1:12">
      <c r="A1013" t="s">
        <v>298</v>
      </c>
      <c r="B1013" t="s">
        <v>29</v>
      </c>
      <c r="C1013" t="s">
        <v>125</v>
      </c>
      <c r="D1013">
        <v>5</v>
      </c>
      <c r="E1013">
        <v>4.3899999999999997</v>
      </c>
      <c r="F1013">
        <v>-0.61000000000000032</v>
      </c>
      <c r="G1013">
        <v>0.61000000000000032</v>
      </c>
      <c r="H1013">
        <v>0</v>
      </c>
      <c r="I1013">
        <v>1</v>
      </c>
      <c r="J1013">
        <v>0</v>
      </c>
      <c r="K1013" t="s">
        <v>34</v>
      </c>
      <c r="L1013" t="s">
        <v>45</v>
      </c>
    </row>
    <row r="1014" spans="1:12">
      <c r="A1014" t="s">
        <v>298</v>
      </c>
      <c r="B1014" t="s">
        <v>29</v>
      </c>
      <c r="C1014" t="s">
        <v>126</v>
      </c>
      <c r="D1014">
        <v>5</v>
      </c>
      <c r="E1014">
        <v>4.3899999999999997</v>
      </c>
      <c r="F1014">
        <v>-0.61000000000000032</v>
      </c>
      <c r="G1014">
        <v>0.61000000000000032</v>
      </c>
      <c r="H1014">
        <v>0</v>
      </c>
      <c r="I1014">
        <v>1</v>
      </c>
      <c r="J1014">
        <v>0</v>
      </c>
      <c r="K1014" t="s">
        <v>34</v>
      </c>
      <c r="L1014" t="s">
        <v>45</v>
      </c>
    </row>
    <row r="1015" spans="1:12">
      <c r="A1015" t="s">
        <v>298</v>
      </c>
      <c r="B1015" t="s">
        <v>29</v>
      </c>
      <c r="C1015" t="s">
        <v>127</v>
      </c>
      <c r="D1015">
        <v>5</v>
      </c>
      <c r="E1015">
        <v>4.3899999999999997</v>
      </c>
      <c r="F1015">
        <v>-0.61000000000000032</v>
      </c>
      <c r="G1015">
        <v>0.61000000000000032</v>
      </c>
      <c r="H1015">
        <v>0</v>
      </c>
      <c r="I1015">
        <v>1</v>
      </c>
      <c r="J1015">
        <v>0</v>
      </c>
      <c r="K1015" t="s">
        <v>34</v>
      </c>
      <c r="L1015" t="s">
        <v>45</v>
      </c>
    </row>
    <row r="1016" spans="1:12">
      <c r="A1016" t="s">
        <v>298</v>
      </c>
      <c r="B1016" t="s">
        <v>29</v>
      </c>
      <c r="C1016" t="s">
        <v>128</v>
      </c>
      <c r="D1016">
        <v>5</v>
      </c>
      <c r="E1016">
        <v>4.3899999999999997</v>
      </c>
      <c r="F1016">
        <v>-0.61000000000000032</v>
      </c>
      <c r="G1016">
        <v>0.61000000000000032</v>
      </c>
      <c r="H1016">
        <v>0</v>
      </c>
      <c r="I1016">
        <v>1</v>
      </c>
      <c r="J1016">
        <v>0</v>
      </c>
      <c r="K1016" t="s">
        <v>34</v>
      </c>
      <c r="L1016" t="s">
        <v>45</v>
      </c>
    </row>
    <row r="1017" spans="1:12">
      <c r="A1017" t="s">
        <v>298</v>
      </c>
      <c r="B1017" t="s">
        <v>29</v>
      </c>
      <c r="C1017" t="s">
        <v>129</v>
      </c>
      <c r="D1017">
        <v>4</v>
      </c>
      <c r="E1017">
        <v>4.3899999999999997</v>
      </c>
      <c r="F1017">
        <v>0.38999999999999968</v>
      </c>
      <c r="G1017">
        <v>0.38999999999999968</v>
      </c>
      <c r="H1017">
        <v>0</v>
      </c>
      <c r="I1017">
        <v>1</v>
      </c>
      <c r="J1017">
        <v>0</v>
      </c>
      <c r="K1017" t="s">
        <v>34</v>
      </c>
      <c r="L1017" t="s">
        <v>46</v>
      </c>
    </row>
    <row r="1018" spans="1:12">
      <c r="A1018" t="s">
        <v>298</v>
      </c>
      <c r="B1018" t="s">
        <v>29</v>
      </c>
      <c r="C1018" t="s">
        <v>130</v>
      </c>
      <c r="D1018">
        <v>4</v>
      </c>
      <c r="E1018">
        <v>4.3899999999999997</v>
      </c>
      <c r="F1018">
        <v>0.38999999999999968</v>
      </c>
      <c r="G1018">
        <v>0.38999999999999968</v>
      </c>
      <c r="H1018">
        <v>0</v>
      </c>
      <c r="I1018">
        <v>1</v>
      </c>
      <c r="J1018">
        <v>0</v>
      </c>
      <c r="K1018" t="s">
        <v>34</v>
      </c>
      <c r="L1018" t="s">
        <v>46</v>
      </c>
    </row>
    <row r="1019" spans="1:12">
      <c r="A1019" t="s">
        <v>298</v>
      </c>
      <c r="B1019" t="s">
        <v>29</v>
      </c>
      <c r="C1019" t="s">
        <v>131</v>
      </c>
      <c r="D1019">
        <v>4</v>
      </c>
      <c r="E1019">
        <v>4.3899999999999997</v>
      </c>
      <c r="F1019">
        <v>0.38999999999999968</v>
      </c>
      <c r="G1019">
        <v>0.38999999999999968</v>
      </c>
      <c r="H1019">
        <v>0</v>
      </c>
      <c r="I1019">
        <v>1</v>
      </c>
      <c r="J1019">
        <v>0</v>
      </c>
      <c r="K1019" t="s">
        <v>34</v>
      </c>
      <c r="L1019" t="s">
        <v>46</v>
      </c>
    </row>
    <row r="1020" spans="1:12">
      <c r="A1020" t="s">
        <v>298</v>
      </c>
      <c r="B1020" t="s">
        <v>29</v>
      </c>
      <c r="C1020" t="s">
        <v>132</v>
      </c>
      <c r="D1020">
        <v>4</v>
      </c>
      <c r="E1020">
        <v>4.3899999999999997</v>
      </c>
      <c r="F1020">
        <v>0.38999999999999968</v>
      </c>
      <c r="G1020">
        <v>0.38999999999999968</v>
      </c>
      <c r="H1020">
        <v>0</v>
      </c>
      <c r="I1020">
        <v>1</v>
      </c>
      <c r="J1020">
        <v>0</v>
      </c>
      <c r="K1020" t="s">
        <v>34</v>
      </c>
      <c r="L1020" t="s">
        <v>46</v>
      </c>
    </row>
    <row r="1021" spans="1:12">
      <c r="A1021" t="s">
        <v>298</v>
      </c>
      <c r="B1021" t="s">
        <v>29</v>
      </c>
      <c r="C1021" t="s">
        <v>133</v>
      </c>
      <c r="D1021">
        <v>4</v>
      </c>
      <c r="E1021">
        <v>2.15</v>
      </c>
      <c r="F1021">
        <v>-1.85</v>
      </c>
      <c r="G1021">
        <v>1.85</v>
      </c>
      <c r="H1021">
        <v>1</v>
      </c>
      <c r="I1021">
        <v>0</v>
      </c>
      <c r="J1021">
        <v>1</v>
      </c>
      <c r="K1021" t="s">
        <v>33</v>
      </c>
      <c r="L1021" t="s">
        <v>46</v>
      </c>
    </row>
    <row r="1022" spans="1:12">
      <c r="A1022" t="s">
        <v>298</v>
      </c>
      <c r="B1022" t="s">
        <v>29</v>
      </c>
      <c r="C1022" t="s">
        <v>134</v>
      </c>
      <c r="D1022">
        <v>4</v>
      </c>
      <c r="E1022">
        <v>2.15</v>
      </c>
      <c r="F1022">
        <v>-1.85</v>
      </c>
      <c r="G1022">
        <v>1.85</v>
      </c>
      <c r="H1022">
        <v>1</v>
      </c>
      <c r="I1022">
        <v>0</v>
      </c>
      <c r="J1022">
        <v>1</v>
      </c>
      <c r="K1022" t="s">
        <v>33</v>
      </c>
      <c r="L1022" t="s">
        <v>47</v>
      </c>
    </row>
    <row r="1023" spans="1:12">
      <c r="A1023" t="s">
        <v>298</v>
      </c>
      <c r="B1023" t="s">
        <v>29</v>
      </c>
      <c r="C1023" t="s">
        <v>135</v>
      </c>
      <c r="D1023">
        <v>4</v>
      </c>
      <c r="E1023">
        <v>2.15</v>
      </c>
      <c r="F1023">
        <v>-1.85</v>
      </c>
      <c r="G1023">
        <v>1.85</v>
      </c>
      <c r="H1023">
        <v>1</v>
      </c>
      <c r="I1023">
        <v>0</v>
      </c>
      <c r="J1023">
        <v>1</v>
      </c>
      <c r="K1023" t="s">
        <v>33</v>
      </c>
      <c r="L1023" t="s">
        <v>47</v>
      </c>
    </row>
    <row r="1024" spans="1:12">
      <c r="A1024" t="s">
        <v>298</v>
      </c>
      <c r="B1024" t="s">
        <v>29</v>
      </c>
      <c r="C1024" t="s">
        <v>136</v>
      </c>
      <c r="D1024">
        <v>4</v>
      </c>
      <c r="E1024">
        <v>2.15</v>
      </c>
      <c r="F1024">
        <v>-1.85</v>
      </c>
      <c r="G1024">
        <v>1.85</v>
      </c>
      <c r="H1024">
        <v>1</v>
      </c>
      <c r="I1024">
        <v>0</v>
      </c>
      <c r="J1024">
        <v>1</v>
      </c>
      <c r="K1024" t="s">
        <v>33</v>
      </c>
      <c r="L1024" t="s">
        <v>47</v>
      </c>
    </row>
    <row r="1025" spans="1:12">
      <c r="A1025" t="s">
        <v>298</v>
      </c>
      <c r="B1025" t="s">
        <v>29</v>
      </c>
      <c r="C1025" t="s">
        <v>137</v>
      </c>
      <c r="D1025">
        <v>4</v>
      </c>
      <c r="E1025">
        <v>2.15</v>
      </c>
      <c r="F1025">
        <v>-1.85</v>
      </c>
      <c r="G1025">
        <v>1.85</v>
      </c>
      <c r="H1025">
        <v>1</v>
      </c>
      <c r="I1025">
        <v>0</v>
      </c>
      <c r="J1025">
        <v>1</v>
      </c>
      <c r="K1025" t="s">
        <v>33</v>
      </c>
      <c r="L1025" t="s">
        <v>47</v>
      </c>
    </row>
    <row r="1026" spans="1:12">
      <c r="A1026" t="s">
        <v>298</v>
      </c>
      <c r="B1026" t="s">
        <v>29</v>
      </c>
      <c r="C1026" t="s">
        <v>138</v>
      </c>
      <c r="D1026">
        <v>4</v>
      </c>
      <c r="E1026">
        <v>2.15</v>
      </c>
      <c r="F1026">
        <v>-1.85</v>
      </c>
      <c r="G1026">
        <v>1.85</v>
      </c>
      <c r="H1026">
        <v>1</v>
      </c>
      <c r="I1026">
        <v>0</v>
      </c>
      <c r="J1026">
        <v>1</v>
      </c>
      <c r="K1026" t="s">
        <v>33</v>
      </c>
      <c r="L1026" t="s">
        <v>47</v>
      </c>
    </row>
    <row r="1027" spans="1:12">
      <c r="A1027" t="s">
        <v>298</v>
      </c>
      <c r="B1027" t="s">
        <v>29</v>
      </c>
      <c r="C1027" t="s">
        <v>139</v>
      </c>
      <c r="D1027">
        <v>5</v>
      </c>
      <c r="E1027">
        <v>2.15</v>
      </c>
      <c r="F1027">
        <v>-2.85</v>
      </c>
      <c r="G1027">
        <v>2.85</v>
      </c>
      <c r="H1027">
        <v>1</v>
      </c>
      <c r="I1027">
        <v>0</v>
      </c>
      <c r="J1027">
        <v>1</v>
      </c>
      <c r="K1027" t="s">
        <v>36</v>
      </c>
      <c r="L1027" t="s">
        <v>42</v>
      </c>
    </row>
    <row r="1028" spans="1:12">
      <c r="A1028" t="s">
        <v>298</v>
      </c>
      <c r="B1028" t="s">
        <v>29</v>
      </c>
      <c r="C1028" t="s">
        <v>140</v>
      </c>
      <c r="D1028">
        <v>5</v>
      </c>
      <c r="E1028">
        <v>2.15</v>
      </c>
      <c r="F1028">
        <v>-2.85</v>
      </c>
      <c r="G1028">
        <v>2.85</v>
      </c>
      <c r="H1028">
        <v>1</v>
      </c>
      <c r="I1028">
        <v>0</v>
      </c>
      <c r="J1028">
        <v>1</v>
      </c>
      <c r="K1028" t="s">
        <v>36</v>
      </c>
      <c r="L1028" t="s">
        <v>42</v>
      </c>
    </row>
    <row r="1029" spans="1:12">
      <c r="A1029" t="s">
        <v>298</v>
      </c>
      <c r="B1029" t="s">
        <v>29</v>
      </c>
      <c r="C1029" t="s">
        <v>141</v>
      </c>
      <c r="D1029">
        <v>5</v>
      </c>
      <c r="E1029">
        <v>2.15</v>
      </c>
      <c r="F1029">
        <v>-2.85</v>
      </c>
      <c r="G1029">
        <v>2.85</v>
      </c>
      <c r="H1029">
        <v>1</v>
      </c>
      <c r="I1029">
        <v>0</v>
      </c>
      <c r="J1029">
        <v>1</v>
      </c>
      <c r="K1029" t="s">
        <v>36</v>
      </c>
      <c r="L1029" t="s">
        <v>42</v>
      </c>
    </row>
    <row r="1030" spans="1:12">
      <c r="A1030" t="s">
        <v>298</v>
      </c>
      <c r="B1030" t="s">
        <v>29</v>
      </c>
      <c r="C1030" t="s">
        <v>142</v>
      </c>
      <c r="D1030">
        <v>5</v>
      </c>
      <c r="E1030">
        <v>2.15</v>
      </c>
      <c r="F1030">
        <v>-2.85</v>
      </c>
      <c r="G1030">
        <v>2.85</v>
      </c>
      <c r="H1030">
        <v>1</v>
      </c>
      <c r="I1030">
        <v>0</v>
      </c>
      <c r="J1030">
        <v>1</v>
      </c>
      <c r="K1030" t="s">
        <v>36</v>
      </c>
      <c r="L1030" t="s">
        <v>42</v>
      </c>
    </row>
    <row r="1031" spans="1:12">
      <c r="A1031" t="s">
        <v>298</v>
      </c>
      <c r="B1031" t="s">
        <v>29</v>
      </c>
      <c r="C1031" t="s">
        <v>143</v>
      </c>
      <c r="D1031">
        <v>5</v>
      </c>
      <c r="E1031">
        <v>4.3899999999999997</v>
      </c>
      <c r="F1031">
        <v>-0.61000000000000032</v>
      </c>
      <c r="G1031">
        <v>0.61000000000000032</v>
      </c>
      <c r="H1031">
        <v>0</v>
      </c>
      <c r="I1031">
        <v>1</v>
      </c>
      <c r="J1031">
        <v>0</v>
      </c>
      <c r="K1031" t="s">
        <v>34</v>
      </c>
      <c r="L1031" t="s">
        <v>42</v>
      </c>
    </row>
    <row r="1032" spans="1:12">
      <c r="A1032" t="s">
        <v>298</v>
      </c>
      <c r="B1032" t="s">
        <v>29</v>
      </c>
      <c r="C1032" t="s">
        <v>144</v>
      </c>
      <c r="D1032">
        <v>4</v>
      </c>
      <c r="E1032">
        <v>4.3899999999999997</v>
      </c>
      <c r="F1032">
        <v>0.38999999999999968</v>
      </c>
      <c r="G1032">
        <v>0.38999999999999968</v>
      </c>
      <c r="H1032">
        <v>0</v>
      </c>
      <c r="I1032">
        <v>1</v>
      </c>
      <c r="J1032">
        <v>0</v>
      </c>
      <c r="K1032" t="s">
        <v>34</v>
      </c>
      <c r="L1032" t="s">
        <v>43</v>
      </c>
    </row>
    <row r="1033" spans="1:12">
      <c r="A1033" t="s">
        <v>298</v>
      </c>
      <c r="B1033" t="s">
        <v>29</v>
      </c>
      <c r="C1033" t="s">
        <v>145</v>
      </c>
      <c r="D1033">
        <v>4</v>
      </c>
      <c r="E1033">
        <v>4.3899999999999997</v>
      </c>
      <c r="F1033">
        <v>0.38999999999999968</v>
      </c>
      <c r="G1033">
        <v>0.38999999999999968</v>
      </c>
      <c r="H1033">
        <v>0</v>
      </c>
      <c r="I1033">
        <v>1</v>
      </c>
      <c r="J1033">
        <v>0</v>
      </c>
      <c r="K1033" t="s">
        <v>34</v>
      </c>
      <c r="L1033" t="s">
        <v>43</v>
      </c>
    </row>
    <row r="1034" spans="1:12">
      <c r="A1034" t="s">
        <v>298</v>
      </c>
      <c r="B1034" t="s">
        <v>29</v>
      </c>
      <c r="C1034" t="s">
        <v>146</v>
      </c>
      <c r="D1034">
        <v>5</v>
      </c>
      <c r="E1034">
        <v>4.3899999999999997</v>
      </c>
      <c r="F1034">
        <v>-0.61000000000000032</v>
      </c>
      <c r="G1034">
        <v>0.61000000000000032</v>
      </c>
      <c r="H1034">
        <v>0</v>
      </c>
      <c r="I1034">
        <v>1</v>
      </c>
      <c r="J1034">
        <v>0</v>
      </c>
      <c r="K1034" t="s">
        <v>34</v>
      </c>
      <c r="L1034" t="s">
        <v>43</v>
      </c>
    </row>
    <row r="1035" spans="1:12">
      <c r="A1035" t="s">
        <v>298</v>
      </c>
      <c r="B1035" t="s">
        <v>29</v>
      </c>
      <c r="C1035" t="s">
        <v>147</v>
      </c>
      <c r="D1035">
        <v>4</v>
      </c>
      <c r="E1035">
        <v>4.3899999999999997</v>
      </c>
      <c r="F1035">
        <v>0.38999999999999968</v>
      </c>
      <c r="G1035">
        <v>0.38999999999999968</v>
      </c>
      <c r="H1035">
        <v>0</v>
      </c>
      <c r="I1035">
        <v>1</v>
      </c>
      <c r="J1035">
        <v>0</v>
      </c>
      <c r="K1035" t="s">
        <v>34</v>
      </c>
      <c r="L1035" t="s">
        <v>43</v>
      </c>
    </row>
    <row r="1036" spans="1:12">
      <c r="A1036" t="s">
        <v>298</v>
      </c>
      <c r="B1036" t="s">
        <v>29</v>
      </c>
      <c r="C1036" t="s">
        <v>148</v>
      </c>
      <c r="D1036">
        <v>2</v>
      </c>
      <c r="E1036">
        <v>4.3899999999999997</v>
      </c>
      <c r="F1036">
        <v>2.3899999999999997</v>
      </c>
      <c r="G1036">
        <v>2.3899999999999997</v>
      </c>
      <c r="H1036">
        <v>0</v>
      </c>
      <c r="I1036">
        <v>1</v>
      </c>
      <c r="J1036">
        <v>1</v>
      </c>
      <c r="K1036" t="s">
        <v>35</v>
      </c>
      <c r="L1036" t="s">
        <v>43</v>
      </c>
    </row>
    <row r="1037" spans="1:12">
      <c r="A1037" t="s">
        <v>298</v>
      </c>
      <c r="B1037" t="s">
        <v>29</v>
      </c>
      <c r="C1037" t="s">
        <v>149</v>
      </c>
      <c r="D1037">
        <v>1</v>
      </c>
      <c r="E1037">
        <v>4.3899999999999997</v>
      </c>
      <c r="F1037">
        <v>3.3899999999999997</v>
      </c>
      <c r="G1037">
        <v>3.3899999999999997</v>
      </c>
      <c r="H1037">
        <v>0</v>
      </c>
      <c r="I1037">
        <v>1</v>
      </c>
      <c r="J1037">
        <v>1</v>
      </c>
      <c r="K1037" t="s">
        <v>35</v>
      </c>
      <c r="L1037" t="s">
        <v>48</v>
      </c>
    </row>
    <row r="1038" spans="1:12">
      <c r="A1038" t="s">
        <v>298</v>
      </c>
      <c r="B1038" t="s">
        <v>29</v>
      </c>
      <c r="C1038" t="s">
        <v>150</v>
      </c>
      <c r="D1038">
        <v>1</v>
      </c>
      <c r="E1038">
        <v>4.3899999999999997</v>
      </c>
      <c r="F1038">
        <v>3.3899999999999997</v>
      </c>
      <c r="G1038">
        <v>3.3899999999999997</v>
      </c>
      <c r="H1038">
        <v>0</v>
      </c>
      <c r="I1038">
        <v>1</v>
      </c>
      <c r="J1038">
        <v>1</v>
      </c>
      <c r="K1038" t="s">
        <v>35</v>
      </c>
      <c r="L1038" t="s">
        <v>48</v>
      </c>
    </row>
    <row r="1039" spans="1:12">
      <c r="A1039" t="s">
        <v>298</v>
      </c>
      <c r="B1039" t="s">
        <v>29</v>
      </c>
      <c r="C1039" t="s">
        <v>151</v>
      </c>
      <c r="D1039">
        <v>1</v>
      </c>
      <c r="E1039">
        <v>3</v>
      </c>
      <c r="F1039">
        <v>2</v>
      </c>
      <c r="G1039">
        <v>2</v>
      </c>
      <c r="H1039">
        <v>0</v>
      </c>
      <c r="I1039">
        <v>1</v>
      </c>
      <c r="J1039">
        <v>1</v>
      </c>
      <c r="K1039" t="s">
        <v>35</v>
      </c>
      <c r="L1039" t="s">
        <v>48</v>
      </c>
    </row>
    <row r="1040" spans="1:12">
      <c r="A1040" t="s">
        <v>298</v>
      </c>
      <c r="B1040" t="s">
        <v>29</v>
      </c>
      <c r="C1040" t="s">
        <v>152</v>
      </c>
      <c r="D1040">
        <v>1</v>
      </c>
      <c r="E1040">
        <v>3</v>
      </c>
      <c r="F1040">
        <v>2</v>
      </c>
      <c r="G1040">
        <v>2</v>
      </c>
      <c r="H1040">
        <v>0</v>
      </c>
      <c r="I1040">
        <v>1</v>
      </c>
      <c r="J1040">
        <v>1</v>
      </c>
      <c r="K1040" t="s">
        <v>35</v>
      </c>
      <c r="L1040" t="s">
        <v>48</v>
      </c>
    </row>
    <row r="1041" spans="1:12">
      <c r="A1041" t="s">
        <v>298</v>
      </c>
      <c r="B1041" t="s">
        <v>29</v>
      </c>
      <c r="C1041" t="s">
        <v>153</v>
      </c>
      <c r="D1041">
        <v>1</v>
      </c>
      <c r="E1041">
        <v>4.3899999999999997</v>
      </c>
      <c r="F1041">
        <v>3.3899999999999997</v>
      </c>
      <c r="G1041">
        <v>3.3899999999999997</v>
      </c>
      <c r="H1041">
        <v>0</v>
      </c>
      <c r="I1041">
        <v>1</v>
      </c>
      <c r="J1041">
        <v>1</v>
      </c>
      <c r="K1041" t="s">
        <v>35</v>
      </c>
      <c r="L1041" t="s">
        <v>48</v>
      </c>
    </row>
    <row r="1042" spans="1:12">
      <c r="A1042" t="s">
        <v>301</v>
      </c>
      <c r="B1042" t="s">
        <v>30</v>
      </c>
      <c r="C1042" t="s">
        <v>76</v>
      </c>
      <c r="D1042">
        <v>1</v>
      </c>
      <c r="E1042">
        <v>0.72</v>
      </c>
      <c r="F1042">
        <v>-0.28000000000000003</v>
      </c>
      <c r="G1042">
        <v>0.28000000000000003</v>
      </c>
      <c r="H1042">
        <v>0</v>
      </c>
      <c r="I1042">
        <v>1</v>
      </c>
      <c r="J1042">
        <v>0</v>
      </c>
      <c r="K1042" t="s">
        <v>34</v>
      </c>
      <c r="L1042" t="s">
        <v>49</v>
      </c>
    </row>
    <row r="1043" spans="1:12">
      <c r="A1043" t="s">
        <v>301</v>
      </c>
      <c r="B1043" t="s">
        <v>30</v>
      </c>
      <c r="C1043" t="s">
        <v>77</v>
      </c>
      <c r="D1043">
        <v>5</v>
      </c>
      <c r="E1043">
        <v>5</v>
      </c>
      <c r="F1043">
        <v>0</v>
      </c>
      <c r="G1043">
        <v>0</v>
      </c>
      <c r="H1043">
        <v>0</v>
      </c>
      <c r="I1043">
        <v>1</v>
      </c>
      <c r="J1043">
        <v>0</v>
      </c>
      <c r="K1043" t="s">
        <v>34</v>
      </c>
      <c r="L1043" t="s">
        <v>49</v>
      </c>
    </row>
    <row r="1044" spans="1:12">
      <c r="A1044" t="s">
        <v>301</v>
      </c>
      <c r="B1044" t="s">
        <v>30</v>
      </c>
      <c r="C1044" t="s">
        <v>78</v>
      </c>
      <c r="D1044">
        <v>2</v>
      </c>
      <c r="E1044">
        <v>5</v>
      </c>
      <c r="F1044">
        <v>3</v>
      </c>
      <c r="G1044">
        <v>3</v>
      </c>
      <c r="H1044">
        <v>0</v>
      </c>
      <c r="I1044">
        <v>1</v>
      </c>
      <c r="J1044">
        <v>1</v>
      </c>
      <c r="K1044" t="s">
        <v>35</v>
      </c>
      <c r="L1044" t="s">
        <v>49</v>
      </c>
    </row>
    <row r="1045" spans="1:12">
      <c r="A1045" t="s">
        <v>301</v>
      </c>
      <c r="B1045" t="s">
        <v>30</v>
      </c>
      <c r="C1045" t="s">
        <v>79</v>
      </c>
      <c r="D1045">
        <v>5</v>
      </c>
      <c r="E1045">
        <v>1.61</v>
      </c>
      <c r="F1045">
        <v>-3.3899999999999997</v>
      </c>
      <c r="G1045">
        <v>3.3899999999999997</v>
      </c>
      <c r="H1045">
        <v>1</v>
      </c>
      <c r="I1045">
        <v>0</v>
      </c>
      <c r="J1045">
        <v>1</v>
      </c>
      <c r="K1045" t="s">
        <v>36</v>
      </c>
      <c r="L1045" t="s">
        <v>49</v>
      </c>
    </row>
    <row r="1046" spans="1:12">
      <c r="A1046" t="s">
        <v>301</v>
      </c>
      <c r="B1046" t="s">
        <v>30</v>
      </c>
      <c r="C1046" t="s">
        <v>80</v>
      </c>
      <c r="D1046">
        <v>5</v>
      </c>
      <c r="E1046">
        <v>1.61</v>
      </c>
      <c r="F1046">
        <v>-3.3899999999999997</v>
      </c>
      <c r="G1046">
        <v>3.3899999999999997</v>
      </c>
      <c r="H1046">
        <v>1</v>
      </c>
      <c r="I1046">
        <v>0</v>
      </c>
      <c r="J1046">
        <v>1</v>
      </c>
      <c r="K1046" t="s">
        <v>36</v>
      </c>
      <c r="L1046" t="s">
        <v>49</v>
      </c>
    </row>
    <row r="1047" spans="1:12">
      <c r="A1047" t="s">
        <v>301</v>
      </c>
      <c r="B1047" t="s">
        <v>30</v>
      </c>
      <c r="C1047" t="s">
        <v>81</v>
      </c>
      <c r="D1047">
        <v>5</v>
      </c>
      <c r="E1047">
        <v>5</v>
      </c>
      <c r="F1047">
        <v>0</v>
      </c>
      <c r="G1047">
        <v>0</v>
      </c>
      <c r="H1047">
        <v>0</v>
      </c>
      <c r="I1047">
        <v>1</v>
      </c>
      <c r="J1047">
        <v>0</v>
      </c>
      <c r="K1047" t="s">
        <v>34</v>
      </c>
      <c r="L1047" t="s">
        <v>49</v>
      </c>
    </row>
    <row r="1048" spans="1:12">
      <c r="A1048" t="s">
        <v>301</v>
      </c>
      <c r="B1048" t="s">
        <v>30</v>
      </c>
      <c r="C1048" t="s">
        <v>82</v>
      </c>
      <c r="D1048">
        <v>5</v>
      </c>
      <c r="E1048">
        <v>5</v>
      </c>
      <c r="F1048">
        <v>0</v>
      </c>
      <c r="G1048">
        <v>0</v>
      </c>
      <c r="H1048">
        <v>0</v>
      </c>
      <c r="I1048">
        <v>1</v>
      </c>
      <c r="J1048">
        <v>0</v>
      </c>
      <c r="K1048" t="s">
        <v>34</v>
      </c>
      <c r="L1048" t="s">
        <v>49</v>
      </c>
    </row>
    <row r="1049" spans="1:12">
      <c r="A1049" t="s">
        <v>301</v>
      </c>
      <c r="B1049" t="s">
        <v>30</v>
      </c>
      <c r="C1049" t="s">
        <v>83</v>
      </c>
      <c r="D1049">
        <v>5</v>
      </c>
      <c r="E1049">
        <v>5</v>
      </c>
      <c r="F1049">
        <v>0</v>
      </c>
      <c r="G1049">
        <v>0</v>
      </c>
      <c r="H1049">
        <v>0</v>
      </c>
      <c r="I1049">
        <v>1</v>
      </c>
      <c r="J1049">
        <v>0</v>
      </c>
      <c r="K1049" t="s">
        <v>34</v>
      </c>
      <c r="L1049" t="s">
        <v>49</v>
      </c>
    </row>
    <row r="1050" spans="1:12">
      <c r="A1050" t="s">
        <v>301</v>
      </c>
      <c r="B1050" t="s">
        <v>30</v>
      </c>
      <c r="C1050" t="s">
        <v>84</v>
      </c>
      <c r="D1050">
        <v>5</v>
      </c>
      <c r="E1050">
        <v>5</v>
      </c>
      <c r="F1050">
        <v>0</v>
      </c>
      <c r="G1050">
        <v>0</v>
      </c>
      <c r="H1050">
        <v>0</v>
      </c>
      <c r="I1050">
        <v>1</v>
      </c>
      <c r="J1050">
        <v>0</v>
      </c>
      <c r="K1050" t="s">
        <v>34</v>
      </c>
      <c r="L1050" t="s">
        <v>49</v>
      </c>
    </row>
    <row r="1051" spans="1:12">
      <c r="A1051" t="s">
        <v>301</v>
      </c>
      <c r="B1051" t="s">
        <v>30</v>
      </c>
      <c r="C1051" t="s">
        <v>85</v>
      </c>
      <c r="D1051">
        <v>5</v>
      </c>
      <c r="E1051">
        <v>5</v>
      </c>
      <c r="F1051">
        <v>0</v>
      </c>
      <c r="G1051">
        <v>0</v>
      </c>
      <c r="H1051">
        <v>0</v>
      </c>
      <c r="I1051">
        <v>1</v>
      </c>
      <c r="J1051">
        <v>0</v>
      </c>
      <c r="K1051" t="s">
        <v>34</v>
      </c>
      <c r="L1051" t="s">
        <v>49</v>
      </c>
    </row>
    <row r="1052" spans="1:12">
      <c r="A1052" t="s">
        <v>301</v>
      </c>
      <c r="B1052" t="s">
        <v>30</v>
      </c>
      <c r="C1052" t="s">
        <v>86</v>
      </c>
      <c r="D1052">
        <v>5</v>
      </c>
      <c r="E1052">
        <v>5</v>
      </c>
      <c r="F1052">
        <v>0</v>
      </c>
      <c r="G1052">
        <v>0</v>
      </c>
      <c r="H1052">
        <v>0</v>
      </c>
      <c r="I1052">
        <v>1</v>
      </c>
      <c r="J1052">
        <v>0</v>
      </c>
      <c r="K1052" t="s">
        <v>34</v>
      </c>
      <c r="L1052" t="s">
        <v>50</v>
      </c>
    </row>
    <row r="1053" spans="1:12">
      <c r="A1053" t="s">
        <v>301</v>
      </c>
      <c r="B1053" t="s">
        <v>30</v>
      </c>
      <c r="C1053" t="s">
        <v>87</v>
      </c>
      <c r="D1053">
        <v>5</v>
      </c>
      <c r="E1053">
        <v>5</v>
      </c>
      <c r="F1053">
        <v>0</v>
      </c>
      <c r="G1053">
        <v>0</v>
      </c>
      <c r="H1053">
        <v>0</v>
      </c>
      <c r="I1053">
        <v>1</v>
      </c>
      <c r="J1053">
        <v>0</v>
      </c>
      <c r="K1053" t="s">
        <v>34</v>
      </c>
      <c r="L1053" t="s">
        <v>50</v>
      </c>
    </row>
    <row r="1054" spans="1:12">
      <c r="A1054" t="s">
        <v>301</v>
      </c>
      <c r="B1054" t="s">
        <v>30</v>
      </c>
      <c r="C1054" t="s">
        <v>88</v>
      </c>
      <c r="D1054">
        <v>5</v>
      </c>
      <c r="E1054">
        <v>5</v>
      </c>
      <c r="F1054">
        <v>0</v>
      </c>
      <c r="G1054">
        <v>0</v>
      </c>
      <c r="H1054">
        <v>0</v>
      </c>
      <c r="I1054">
        <v>1</v>
      </c>
      <c r="J1054">
        <v>0</v>
      </c>
      <c r="K1054" t="s">
        <v>34</v>
      </c>
      <c r="L1054" t="s">
        <v>50</v>
      </c>
    </row>
    <row r="1055" spans="1:12">
      <c r="A1055" t="s">
        <v>301</v>
      </c>
      <c r="B1055" t="s">
        <v>30</v>
      </c>
      <c r="C1055" t="s">
        <v>89</v>
      </c>
      <c r="D1055">
        <v>5</v>
      </c>
      <c r="E1055">
        <v>5</v>
      </c>
      <c r="F1055">
        <v>0</v>
      </c>
      <c r="G1055">
        <v>0</v>
      </c>
      <c r="H1055">
        <v>0</v>
      </c>
      <c r="I1055">
        <v>1</v>
      </c>
      <c r="J1055">
        <v>0</v>
      </c>
      <c r="K1055" t="s">
        <v>34</v>
      </c>
      <c r="L1055" t="s">
        <v>50</v>
      </c>
    </row>
    <row r="1056" spans="1:12">
      <c r="A1056" t="s">
        <v>301</v>
      </c>
      <c r="B1056" t="s">
        <v>30</v>
      </c>
      <c r="C1056" t="s">
        <v>90</v>
      </c>
      <c r="D1056">
        <v>5</v>
      </c>
      <c r="E1056">
        <v>5</v>
      </c>
      <c r="F1056">
        <v>0</v>
      </c>
      <c r="G1056">
        <v>0</v>
      </c>
      <c r="H1056">
        <v>0</v>
      </c>
      <c r="I1056">
        <v>1</v>
      </c>
      <c r="J1056">
        <v>0</v>
      </c>
      <c r="K1056" t="s">
        <v>34</v>
      </c>
      <c r="L1056" t="s">
        <v>50</v>
      </c>
    </row>
    <row r="1057" spans="1:12">
      <c r="A1057" t="s">
        <v>301</v>
      </c>
      <c r="B1057" t="s">
        <v>30</v>
      </c>
      <c r="C1057" t="s">
        <v>91</v>
      </c>
      <c r="D1057">
        <v>5</v>
      </c>
      <c r="E1057">
        <v>5</v>
      </c>
      <c r="F1057">
        <v>0</v>
      </c>
      <c r="G1057">
        <v>0</v>
      </c>
      <c r="H1057">
        <v>0</v>
      </c>
      <c r="I1057">
        <v>1</v>
      </c>
      <c r="J1057">
        <v>0</v>
      </c>
      <c r="K1057" t="s">
        <v>34</v>
      </c>
      <c r="L1057" t="s">
        <v>50</v>
      </c>
    </row>
    <row r="1058" spans="1:12">
      <c r="A1058" t="s">
        <v>301</v>
      </c>
      <c r="B1058" t="s">
        <v>30</v>
      </c>
      <c r="C1058" t="s">
        <v>92</v>
      </c>
      <c r="D1058">
        <v>5</v>
      </c>
      <c r="E1058">
        <v>5</v>
      </c>
      <c r="F1058">
        <v>0</v>
      </c>
      <c r="G1058">
        <v>0</v>
      </c>
      <c r="H1058">
        <v>0</v>
      </c>
      <c r="I1058">
        <v>1</v>
      </c>
      <c r="J1058">
        <v>0</v>
      </c>
      <c r="K1058" t="s">
        <v>34</v>
      </c>
      <c r="L1058" t="s">
        <v>50</v>
      </c>
    </row>
    <row r="1059" spans="1:12">
      <c r="A1059" t="s">
        <v>301</v>
      </c>
      <c r="B1059" t="s">
        <v>30</v>
      </c>
      <c r="C1059" t="s">
        <v>93</v>
      </c>
      <c r="D1059">
        <v>5</v>
      </c>
      <c r="E1059">
        <v>5</v>
      </c>
      <c r="F1059">
        <v>0</v>
      </c>
      <c r="G1059">
        <v>0</v>
      </c>
      <c r="H1059">
        <v>0</v>
      </c>
      <c r="I1059">
        <v>1</v>
      </c>
      <c r="J1059">
        <v>0</v>
      </c>
      <c r="K1059" t="s">
        <v>34</v>
      </c>
      <c r="L1059" t="s">
        <v>50</v>
      </c>
    </row>
    <row r="1060" spans="1:12">
      <c r="A1060" t="s">
        <v>301</v>
      </c>
      <c r="B1060" t="s">
        <v>30</v>
      </c>
      <c r="C1060" t="s">
        <v>94</v>
      </c>
      <c r="D1060">
        <v>5</v>
      </c>
      <c r="E1060">
        <v>5</v>
      </c>
      <c r="F1060">
        <v>0</v>
      </c>
      <c r="G1060">
        <v>0</v>
      </c>
      <c r="H1060">
        <v>0</v>
      </c>
      <c r="I1060">
        <v>1</v>
      </c>
      <c r="J1060">
        <v>0</v>
      </c>
      <c r="K1060" t="s">
        <v>34</v>
      </c>
      <c r="L1060" t="s">
        <v>50</v>
      </c>
    </row>
    <row r="1061" spans="1:12">
      <c r="A1061" t="s">
        <v>301</v>
      </c>
      <c r="B1061" t="s">
        <v>30</v>
      </c>
      <c r="C1061" t="s">
        <v>95</v>
      </c>
      <c r="D1061">
        <v>5</v>
      </c>
      <c r="E1061">
        <v>5</v>
      </c>
      <c r="F1061">
        <v>0</v>
      </c>
      <c r="G1061">
        <v>0</v>
      </c>
      <c r="H1061">
        <v>0</v>
      </c>
      <c r="I1061">
        <v>1</v>
      </c>
      <c r="J1061">
        <v>0</v>
      </c>
      <c r="K1061" t="s">
        <v>34</v>
      </c>
      <c r="L1061" t="s">
        <v>50</v>
      </c>
    </row>
    <row r="1062" spans="1:12">
      <c r="A1062" t="s">
        <v>301</v>
      </c>
      <c r="B1062" t="s">
        <v>30</v>
      </c>
      <c r="C1062" t="s">
        <v>96</v>
      </c>
      <c r="D1062">
        <v>5</v>
      </c>
      <c r="E1062">
        <v>5</v>
      </c>
      <c r="F1062">
        <v>0</v>
      </c>
      <c r="G1062">
        <v>0</v>
      </c>
      <c r="H1062">
        <v>0</v>
      </c>
      <c r="I1062">
        <v>1</v>
      </c>
      <c r="J1062">
        <v>0</v>
      </c>
      <c r="K1062" t="s">
        <v>34</v>
      </c>
      <c r="L1062" t="s">
        <v>40</v>
      </c>
    </row>
    <row r="1063" spans="1:12">
      <c r="A1063" t="s">
        <v>301</v>
      </c>
      <c r="B1063" t="s">
        <v>30</v>
      </c>
      <c r="C1063" t="s">
        <v>31</v>
      </c>
      <c r="D1063">
        <v>5</v>
      </c>
      <c r="E1063">
        <v>5</v>
      </c>
      <c r="F1063">
        <v>0</v>
      </c>
      <c r="G1063">
        <v>0</v>
      </c>
      <c r="H1063">
        <v>0</v>
      </c>
      <c r="I1063">
        <v>1</v>
      </c>
      <c r="J1063">
        <v>0</v>
      </c>
      <c r="K1063" t="s">
        <v>34</v>
      </c>
      <c r="L1063" t="s">
        <v>40</v>
      </c>
    </row>
    <row r="1064" spans="1:12">
      <c r="A1064" t="s">
        <v>301</v>
      </c>
      <c r="B1064" t="s">
        <v>30</v>
      </c>
      <c r="C1064" t="s">
        <v>30</v>
      </c>
      <c r="D1064">
        <v>5</v>
      </c>
      <c r="E1064">
        <v>5</v>
      </c>
      <c r="F1064">
        <v>0</v>
      </c>
      <c r="G1064">
        <v>0</v>
      </c>
      <c r="H1064">
        <v>0</v>
      </c>
      <c r="I1064">
        <v>1</v>
      </c>
      <c r="J1064">
        <v>0</v>
      </c>
      <c r="K1064" t="s">
        <v>34</v>
      </c>
      <c r="L1064" t="s">
        <v>40</v>
      </c>
    </row>
    <row r="1065" spans="1:12">
      <c r="A1065" t="s">
        <v>301</v>
      </c>
      <c r="B1065" t="s">
        <v>30</v>
      </c>
      <c r="C1065" t="s">
        <v>97</v>
      </c>
      <c r="D1065">
        <v>5</v>
      </c>
      <c r="E1065">
        <v>5</v>
      </c>
      <c r="F1065">
        <v>0</v>
      </c>
      <c r="G1065">
        <v>0</v>
      </c>
      <c r="H1065">
        <v>0</v>
      </c>
      <c r="I1065">
        <v>1</v>
      </c>
      <c r="J1065">
        <v>0</v>
      </c>
      <c r="K1065" t="s">
        <v>34</v>
      </c>
      <c r="L1065" t="s">
        <v>40</v>
      </c>
    </row>
    <row r="1066" spans="1:12">
      <c r="A1066" t="s">
        <v>301</v>
      </c>
      <c r="B1066" t="s">
        <v>30</v>
      </c>
      <c r="C1066" t="s">
        <v>98</v>
      </c>
      <c r="D1066">
        <v>5</v>
      </c>
      <c r="E1066">
        <v>5</v>
      </c>
      <c r="F1066">
        <v>0</v>
      </c>
      <c r="G1066">
        <v>0</v>
      </c>
      <c r="H1066">
        <v>0</v>
      </c>
      <c r="I1066">
        <v>1</v>
      </c>
      <c r="J1066">
        <v>0</v>
      </c>
      <c r="K1066" t="s">
        <v>34</v>
      </c>
      <c r="L1066" t="s">
        <v>40</v>
      </c>
    </row>
    <row r="1067" spans="1:12">
      <c r="A1067" t="s">
        <v>301</v>
      </c>
      <c r="B1067" t="s">
        <v>30</v>
      </c>
      <c r="C1067" t="s">
        <v>99</v>
      </c>
      <c r="D1067">
        <v>5</v>
      </c>
      <c r="E1067">
        <v>5</v>
      </c>
      <c r="F1067">
        <v>0</v>
      </c>
      <c r="G1067">
        <v>0</v>
      </c>
      <c r="H1067">
        <v>0</v>
      </c>
      <c r="I1067">
        <v>1</v>
      </c>
      <c r="J1067">
        <v>0</v>
      </c>
      <c r="K1067" t="s">
        <v>34</v>
      </c>
      <c r="L1067" t="s">
        <v>39</v>
      </c>
    </row>
    <row r="1068" spans="1:12">
      <c r="A1068" t="s">
        <v>301</v>
      </c>
      <c r="B1068" t="s">
        <v>30</v>
      </c>
      <c r="C1068" t="s">
        <v>100</v>
      </c>
      <c r="D1068">
        <v>5</v>
      </c>
      <c r="E1068">
        <v>5</v>
      </c>
      <c r="F1068">
        <v>0</v>
      </c>
      <c r="G1068">
        <v>0</v>
      </c>
      <c r="H1068">
        <v>0</v>
      </c>
      <c r="I1068">
        <v>1</v>
      </c>
      <c r="J1068">
        <v>0</v>
      </c>
      <c r="K1068" t="s">
        <v>34</v>
      </c>
      <c r="L1068" t="s">
        <v>39</v>
      </c>
    </row>
    <row r="1069" spans="1:12">
      <c r="A1069" t="s">
        <v>301</v>
      </c>
      <c r="B1069" t="s">
        <v>30</v>
      </c>
      <c r="C1069" t="s">
        <v>101</v>
      </c>
      <c r="D1069">
        <v>5</v>
      </c>
      <c r="E1069">
        <v>5</v>
      </c>
      <c r="F1069">
        <v>0</v>
      </c>
      <c r="G1069">
        <v>0</v>
      </c>
      <c r="H1069">
        <v>0</v>
      </c>
      <c r="I1069">
        <v>1</v>
      </c>
      <c r="J1069">
        <v>0</v>
      </c>
      <c r="K1069" t="s">
        <v>34</v>
      </c>
      <c r="L1069" t="s">
        <v>39</v>
      </c>
    </row>
    <row r="1070" spans="1:12">
      <c r="A1070" t="s">
        <v>301</v>
      </c>
      <c r="B1070" t="s">
        <v>30</v>
      </c>
      <c r="C1070" t="s">
        <v>102</v>
      </c>
      <c r="D1070">
        <v>5</v>
      </c>
      <c r="E1070">
        <v>5</v>
      </c>
      <c r="F1070">
        <v>0</v>
      </c>
      <c r="G1070">
        <v>0</v>
      </c>
      <c r="H1070">
        <v>0</v>
      </c>
      <c r="I1070">
        <v>1</v>
      </c>
      <c r="J1070">
        <v>0</v>
      </c>
      <c r="K1070" t="s">
        <v>34</v>
      </c>
      <c r="L1070" t="s">
        <v>39</v>
      </c>
    </row>
    <row r="1071" spans="1:12">
      <c r="A1071" t="s">
        <v>301</v>
      </c>
      <c r="B1071" t="s">
        <v>30</v>
      </c>
      <c r="C1071" t="s">
        <v>103</v>
      </c>
      <c r="D1071">
        <v>5</v>
      </c>
      <c r="E1071">
        <v>5</v>
      </c>
      <c r="F1071">
        <v>0</v>
      </c>
      <c r="G1071">
        <v>0</v>
      </c>
      <c r="H1071">
        <v>0</v>
      </c>
      <c r="I1071">
        <v>1</v>
      </c>
      <c r="J1071">
        <v>0</v>
      </c>
      <c r="K1071" t="s">
        <v>34</v>
      </c>
      <c r="L1071" t="s">
        <v>39</v>
      </c>
    </row>
    <row r="1072" spans="1:12">
      <c r="A1072" t="s">
        <v>301</v>
      </c>
      <c r="B1072" t="s">
        <v>30</v>
      </c>
      <c r="C1072" t="s">
        <v>104</v>
      </c>
      <c r="D1072">
        <v>5</v>
      </c>
      <c r="E1072">
        <v>5</v>
      </c>
      <c r="F1072">
        <v>0</v>
      </c>
      <c r="G1072">
        <v>0</v>
      </c>
      <c r="H1072">
        <v>0</v>
      </c>
      <c r="I1072">
        <v>1</v>
      </c>
      <c r="J1072">
        <v>0</v>
      </c>
      <c r="K1072" t="s">
        <v>34</v>
      </c>
      <c r="L1072" t="s">
        <v>41</v>
      </c>
    </row>
    <row r="1073" spans="1:12">
      <c r="A1073" t="s">
        <v>301</v>
      </c>
      <c r="B1073" t="s">
        <v>30</v>
      </c>
      <c r="C1073" t="s">
        <v>105</v>
      </c>
      <c r="D1073">
        <v>5</v>
      </c>
      <c r="E1073">
        <v>5</v>
      </c>
      <c r="F1073">
        <v>0</v>
      </c>
      <c r="G1073">
        <v>0</v>
      </c>
      <c r="H1073">
        <v>0</v>
      </c>
      <c r="I1073">
        <v>1</v>
      </c>
      <c r="J1073">
        <v>0</v>
      </c>
      <c r="K1073" t="s">
        <v>34</v>
      </c>
      <c r="L1073" t="s">
        <v>41</v>
      </c>
    </row>
    <row r="1074" spans="1:12">
      <c r="A1074" t="s">
        <v>301</v>
      </c>
      <c r="B1074" t="s">
        <v>30</v>
      </c>
      <c r="C1074" t="s">
        <v>106</v>
      </c>
      <c r="D1074">
        <v>5</v>
      </c>
      <c r="E1074">
        <v>5</v>
      </c>
      <c r="F1074">
        <v>0</v>
      </c>
      <c r="G1074">
        <v>0</v>
      </c>
      <c r="H1074">
        <v>0</v>
      </c>
      <c r="I1074">
        <v>1</v>
      </c>
      <c r="J1074">
        <v>0</v>
      </c>
      <c r="K1074" t="s">
        <v>34</v>
      </c>
      <c r="L1074" t="s">
        <v>41</v>
      </c>
    </row>
    <row r="1075" spans="1:12">
      <c r="A1075" t="s">
        <v>301</v>
      </c>
      <c r="B1075" t="s">
        <v>30</v>
      </c>
      <c r="C1075" t="s">
        <v>107</v>
      </c>
      <c r="D1075">
        <v>5</v>
      </c>
      <c r="E1075">
        <v>5</v>
      </c>
      <c r="F1075">
        <v>0</v>
      </c>
      <c r="G1075">
        <v>0</v>
      </c>
      <c r="H1075">
        <v>0</v>
      </c>
      <c r="I1075">
        <v>1</v>
      </c>
      <c r="J1075">
        <v>0</v>
      </c>
      <c r="K1075" t="s">
        <v>34</v>
      </c>
      <c r="L1075" t="s">
        <v>41</v>
      </c>
    </row>
    <row r="1076" spans="1:12">
      <c r="A1076" t="s">
        <v>301</v>
      </c>
      <c r="B1076" t="s">
        <v>30</v>
      </c>
      <c r="C1076" t="s">
        <v>108</v>
      </c>
      <c r="D1076">
        <v>5</v>
      </c>
      <c r="E1076">
        <v>5</v>
      </c>
      <c r="F1076">
        <v>0</v>
      </c>
      <c r="G1076">
        <v>0</v>
      </c>
      <c r="H1076">
        <v>0</v>
      </c>
      <c r="I1076">
        <v>1</v>
      </c>
      <c r="J1076">
        <v>0</v>
      </c>
      <c r="K1076" t="s">
        <v>34</v>
      </c>
      <c r="L1076" t="s">
        <v>41</v>
      </c>
    </row>
    <row r="1077" spans="1:12">
      <c r="A1077" t="s">
        <v>301</v>
      </c>
      <c r="B1077" t="s">
        <v>30</v>
      </c>
      <c r="C1077" t="s">
        <v>109</v>
      </c>
      <c r="D1077">
        <v>5</v>
      </c>
      <c r="E1077">
        <v>5</v>
      </c>
      <c r="F1077">
        <v>0</v>
      </c>
      <c r="G1077">
        <v>0</v>
      </c>
      <c r="H1077">
        <v>0</v>
      </c>
      <c r="I1077">
        <v>1</v>
      </c>
      <c r="J1077">
        <v>0</v>
      </c>
      <c r="K1077" t="s">
        <v>34</v>
      </c>
      <c r="L1077" t="s">
        <v>38</v>
      </c>
    </row>
    <row r="1078" spans="1:12">
      <c r="A1078" t="s">
        <v>301</v>
      </c>
      <c r="B1078" t="s">
        <v>30</v>
      </c>
      <c r="C1078" t="s">
        <v>110</v>
      </c>
      <c r="D1078">
        <v>5</v>
      </c>
      <c r="E1078">
        <v>5</v>
      </c>
      <c r="F1078">
        <v>0</v>
      </c>
      <c r="G1078">
        <v>0</v>
      </c>
      <c r="H1078">
        <v>0</v>
      </c>
      <c r="I1078">
        <v>1</v>
      </c>
      <c r="J1078">
        <v>0</v>
      </c>
      <c r="K1078" t="s">
        <v>34</v>
      </c>
      <c r="L1078" t="s">
        <v>38</v>
      </c>
    </row>
    <row r="1079" spans="1:12">
      <c r="A1079" t="s">
        <v>301</v>
      </c>
      <c r="B1079" t="s">
        <v>30</v>
      </c>
      <c r="C1079" t="s">
        <v>111</v>
      </c>
      <c r="D1079">
        <v>5</v>
      </c>
      <c r="E1079">
        <v>5</v>
      </c>
      <c r="F1079">
        <v>0</v>
      </c>
      <c r="G1079">
        <v>0</v>
      </c>
      <c r="H1079">
        <v>0</v>
      </c>
      <c r="I1079">
        <v>1</v>
      </c>
      <c r="J1079">
        <v>0</v>
      </c>
      <c r="K1079" t="s">
        <v>34</v>
      </c>
      <c r="L1079" t="s">
        <v>38</v>
      </c>
    </row>
    <row r="1080" spans="1:12">
      <c r="A1080" t="s">
        <v>301</v>
      </c>
      <c r="B1080" t="s">
        <v>30</v>
      </c>
      <c r="C1080" t="s">
        <v>112</v>
      </c>
      <c r="D1080">
        <v>5</v>
      </c>
      <c r="E1080">
        <v>5</v>
      </c>
      <c r="F1080">
        <v>0</v>
      </c>
      <c r="G1080">
        <v>0</v>
      </c>
      <c r="H1080">
        <v>0</v>
      </c>
      <c r="I1080">
        <v>1</v>
      </c>
      <c r="J1080">
        <v>0</v>
      </c>
      <c r="K1080" t="s">
        <v>34</v>
      </c>
      <c r="L1080" t="s">
        <v>38</v>
      </c>
    </row>
    <row r="1081" spans="1:12">
      <c r="A1081" t="s">
        <v>301</v>
      </c>
      <c r="B1081" t="s">
        <v>30</v>
      </c>
      <c r="C1081" t="s">
        <v>113</v>
      </c>
      <c r="D1081">
        <v>5</v>
      </c>
      <c r="E1081">
        <v>5</v>
      </c>
      <c r="F1081">
        <v>0</v>
      </c>
      <c r="G1081">
        <v>0</v>
      </c>
      <c r="H1081">
        <v>0</v>
      </c>
      <c r="I1081">
        <v>1</v>
      </c>
      <c r="J1081">
        <v>0</v>
      </c>
      <c r="K1081" t="s">
        <v>34</v>
      </c>
      <c r="L1081" t="s">
        <v>38</v>
      </c>
    </row>
    <row r="1082" spans="1:12">
      <c r="A1082" t="s">
        <v>301</v>
      </c>
      <c r="B1082" t="s">
        <v>30</v>
      </c>
      <c r="C1082" t="s">
        <v>114</v>
      </c>
      <c r="D1082">
        <v>5</v>
      </c>
      <c r="E1082">
        <v>5</v>
      </c>
      <c r="F1082">
        <v>0</v>
      </c>
      <c r="G1082">
        <v>0</v>
      </c>
      <c r="H1082">
        <v>0</v>
      </c>
      <c r="I1082">
        <v>1</v>
      </c>
      <c r="J1082">
        <v>0</v>
      </c>
      <c r="K1082" t="s">
        <v>34</v>
      </c>
      <c r="L1082" t="s">
        <v>38</v>
      </c>
    </row>
    <row r="1083" spans="1:12">
      <c r="A1083" t="s">
        <v>301</v>
      </c>
      <c r="B1083" t="s">
        <v>30</v>
      </c>
      <c r="C1083" t="s">
        <v>115</v>
      </c>
      <c r="D1083">
        <v>5</v>
      </c>
      <c r="E1083">
        <v>5</v>
      </c>
      <c r="F1083">
        <v>0</v>
      </c>
      <c r="G1083">
        <v>0</v>
      </c>
      <c r="H1083">
        <v>0</v>
      </c>
      <c r="I1083">
        <v>1</v>
      </c>
      <c r="J1083">
        <v>0</v>
      </c>
      <c r="K1083" t="s">
        <v>34</v>
      </c>
      <c r="L1083" t="s">
        <v>38</v>
      </c>
    </row>
    <row r="1084" spans="1:12">
      <c r="A1084" t="s">
        <v>301</v>
      </c>
      <c r="B1084" t="s">
        <v>30</v>
      </c>
      <c r="C1084" t="s">
        <v>116</v>
      </c>
      <c r="D1084">
        <v>5</v>
      </c>
      <c r="E1084">
        <v>5</v>
      </c>
      <c r="F1084">
        <v>0</v>
      </c>
      <c r="G1084">
        <v>0</v>
      </c>
      <c r="H1084">
        <v>0</v>
      </c>
      <c r="I1084">
        <v>1</v>
      </c>
      <c r="J1084">
        <v>0</v>
      </c>
      <c r="K1084" t="s">
        <v>34</v>
      </c>
      <c r="L1084" t="s">
        <v>38</v>
      </c>
    </row>
    <row r="1085" spans="1:12">
      <c r="A1085" t="s">
        <v>301</v>
      </c>
      <c r="B1085" t="s">
        <v>30</v>
      </c>
      <c r="C1085" t="s">
        <v>117</v>
      </c>
      <c r="D1085">
        <v>5</v>
      </c>
      <c r="E1085">
        <v>5</v>
      </c>
      <c r="F1085">
        <v>0</v>
      </c>
      <c r="G1085">
        <v>0</v>
      </c>
      <c r="H1085">
        <v>0</v>
      </c>
      <c r="I1085">
        <v>1</v>
      </c>
      <c r="J1085">
        <v>0</v>
      </c>
      <c r="K1085" t="s">
        <v>34</v>
      </c>
      <c r="L1085" t="s">
        <v>38</v>
      </c>
    </row>
    <row r="1086" spans="1:12">
      <c r="A1086" t="s">
        <v>301</v>
      </c>
      <c r="B1086" t="s">
        <v>30</v>
      </c>
      <c r="C1086" t="s">
        <v>118</v>
      </c>
      <c r="D1086">
        <v>5</v>
      </c>
      <c r="E1086">
        <v>5</v>
      </c>
      <c r="F1086">
        <v>0</v>
      </c>
      <c r="G1086">
        <v>0</v>
      </c>
      <c r="H1086">
        <v>0</v>
      </c>
      <c r="I1086">
        <v>1</v>
      </c>
      <c r="J1086">
        <v>0</v>
      </c>
      <c r="K1086" t="s">
        <v>34</v>
      </c>
      <c r="L1086" t="s">
        <v>38</v>
      </c>
    </row>
    <row r="1087" spans="1:12">
      <c r="A1087" t="s">
        <v>301</v>
      </c>
      <c r="B1087" t="s">
        <v>30</v>
      </c>
      <c r="C1087" t="s">
        <v>119</v>
      </c>
      <c r="D1087">
        <v>5</v>
      </c>
      <c r="E1087">
        <v>5</v>
      </c>
      <c r="F1087">
        <v>0</v>
      </c>
      <c r="G1087">
        <v>0</v>
      </c>
      <c r="H1087">
        <v>0</v>
      </c>
      <c r="I1087">
        <v>1</v>
      </c>
      <c r="J1087">
        <v>0</v>
      </c>
      <c r="K1087" t="s">
        <v>34</v>
      </c>
      <c r="L1087" t="s">
        <v>44</v>
      </c>
    </row>
    <row r="1088" spans="1:12">
      <c r="A1088" t="s">
        <v>301</v>
      </c>
      <c r="B1088" t="s">
        <v>30</v>
      </c>
      <c r="C1088" t="s">
        <v>120</v>
      </c>
      <c r="D1088">
        <v>5</v>
      </c>
      <c r="E1088">
        <v>5</v>
      </c>
      <c r="F1088">
        <v>0</v>
      </c>
      <c r="G1088">
        <v>0</v>
      </c>
      <c r="H1088">
        <v>0</v>
      </c>
      <c r="I1088">
        <v>1</v>
      </c>
      <c r="J1088">
        <v>0</v>
      </c>
      <c r="K1088" t="s">
        <v>34</v>
      </c>
      <c r="L1088" t="s">
        <v>44</v>
      </c>
    </row>
    <row r="1089" spans="1:12">
      <c r="A1089" t="s">
        <v>301</v>
      </c>
      <c r="B1089" t="s">
        <v>30</v>
      </c>
      <c r="C1089" t="s">
        <v>121</v>
      </c>
      <c r="D1089">
        <v>5</v>
      </c>
      <c r="E1089">
        <v>5</v>
      </c>
      <c r="F1089">
        <v>0</v>
      </c>
      <c r="G1089">
        <v>0</v>
      </c>
      <c r="H1089">
        <v>0</v>
      </c>
      <c r="I1089">
        <v>1</v>
      </c>
      <c r="J1089">
        <v>0</v>
      </c>
      <c r="K1089" t="s">
        <v>34</v>
      </c>
      <c r="L1089" t="s">
        <v>44</v>
      </c>
    </row>
    <row r="1090" spans="1:12">
      <c r="A1090" t="s">
        <v>301</v>
      </c>
      <c r="B1090" t="s">
        <v>30</v>
      </c>
      <c r="C1090" t="s">
        <v>122</v>
      </c>
      <c r="D1090">
        <v>5</v>
      </c>
      <c r="E1090">
        <v>5</v>
      </c>
      <c r="F1090">
        <v>0</v>
      </c>
      <c r="G1090">
        <v>0</v>
      </c>
      <c r="H1090">
        <v>0</v>
      </c>
      <c r="I1090">
        <v>1</v>
      </c>
      <c r="J1090">
        <v>0</v>
      </c>
      <c r="K1090" t="s">
        <v>34</v>
      </c>
      <c r="L1090" t="s">
        <v>44</v>
      </c>
    </row>
    <row r="1091" spans="1:12">
      <c r="A1091" t="s">
        <v>301</v>
      </c>
      <c r="B1091" t="s">
        <v>30</v>
      </c>
      <c r="C1091" t="s">
        <v>123</v>
      </c>
      <c r="D1091">
        <v>5</v>
      </c>
      <c r="E1091">
        <v>3.81</v>
      </c>
      <c r="F1091">
        <v>-1.19</v>
      </c>
      <c r="G1091">
        <v>1.19</v>
      </c>
      <c r="H1091">
        <v>1</v>
      </c>
      <c r="I1091">
        <v>0</v>
      </c>
      <c r="J1091">
        <v>1</v>
      </c>
      <c r="K1091" t="s">
        <v>33</v>
      </c>
      <c r="L1091" t="s">
        <v>44</v>
      </c>
    </row>
    <row r="1092" spans="1:12">
      <c r="A1092" t="s">
        <v>301</v>
      </c>
      <c r="B1092" t="s">
        <v>30</v>
      </c>
      <c r="C1092" t="s">
        <v>124</v>
      </c>
      <c r="D1092">
        <v>5</v>
      </c>
      <c r="E1092">
        <v>3.81</v>
      </c>
      <c r="F1092">
        <v>-1.19</v>
      </c>
      <c r="G1092">
        <v>1.19</v>
      </c>
      <c r="H1092">
        <v>1</v>
      </c>
      <c r="I1092">
        <v>0</v>
      </c>
      <c r="J1092">
        <v>1</v>
      </c>
      <c r="K1092" t="s">
        <v>33</v>
      </c>
      <c r="L1092" t="s">
        <v>45</v>
      </c>
    </row>
    <row r="1093" spans="1:12">
      <c r="A1093" t="s">
        <v>301</v>
      </c>
      <c r="B1093" t="s">
        <v>30</v>
      </c>
      <c r="C1093" t="s">
        <v>125</v>
      </c>
      <c r="D1093">
        <v>5</v>
      </c>
      <c r="E1093">
        <v>3.81</v>
      </c>
      <c r="F1093">
        <v>-1.19</v>
      </c>
      <c r="G1093">
        <v>1.19</v>
      </c>
      <c r="H1093">
        <v>1</v>
      </c>
      <c r="I1093">
        <v>0</v>
      </c>
      <c r="J1093">
        <v>1</v>
      </c>
      <c r="K1093" t="s">
        <v>33</v>
      </c>
      <c r="L1093" t="s">
        <v>45</v>
      </c>
    </row>
    <row r="1094" spans="1:12">
      <c r="A1094" t="s">
        <v>301</v>
      </c>
      <c r="B1094" t="s">
        <v>30</v>
      </c>
      <c r="C1094" t="s">
        <v>126</v>
      </c>
      <c r="D1094">
        <v>5</v>
      </c>
      <c r="E1094">
        <v>3.81</v>
      </c>
      <c r="F1094">
        <v>-1.19</v>
      </c>
      <c r="G1094">
        <v>1.19</v>
      </c>
      <c r="H1094">
        <v>1</v>
      </c>
      <c r="I1094">
        <v>0</v>
      </c>
      <c r="J1094">
        <v>1</v>
      </c>
      <c r="K1094" t="s">
        <v>33</v>
      </c>
      <c r="L1094" t="s">
        <v>45</v>
      </c>
    </row>
    <row r="1095" spans="1:12">
      <c r="A1095" t="s">
        <v>301</v>
      </c>
      <c r="B1095" t="s">
        <v>30</v>
      </c>
      <c r="C1095" t="s">
        <v>127</v>
      </c>
      <c r="D1095">
        <v>5</v>
      </c>
      <c r="E1095">
        <v>3.81</v>
      </c>
      <c r="F1095">
        <v>-1.19</v>
      </c>
      <c r="G1095">
        <v>1.19</v>
      </c>
      <c r="H1095">
        <v>1</v>
      </c>
      <c r="I1095">
        <v>0</v>
      </c>
      <c r="J1095">
        <v>1</v>
      </c>
      <c r="K1095" t="s">
        <v>33</v>
      </c>
      <c r="L1095" t="s">
        <v>45</v>
      </c>
    </row>
    <row r="1096" spans="1:12">
      <c r="A1096" t="s">
        <v>301</v>
      </c>
      <c r="B1096" t="s">
        <v>30</v>
      </c>
      <c r="C1096" t="s">
        <v>128</v>
      </c>
      <c r="D1096">
        <v>5</v>
      </c>
      <c r="E1096">
        <v>3.81</v>
      </c>
      <c r="F1096">
        <v>-1.19</v>
      </c>
      <c r="G1096">
        <v>1.19</v>
      </c>
      <c r="H1096">
        <v>1</v>
      </c>
      <c r="I1096">
        <v>0</v>
      </c>
      <c r="J1096">
        <v>1</v>
      </c>
      <c r="K1096" t="s">
        <v>33</v>
      </c>
      <c r="L1096" t="s">
        <v>45</v>
      </c>
    </row>
    <row r="1097" spans="1:12">
      <c r="A1097" t="s">
        <v>301</v>
      </c>
      <c r="B1097" t="s">
        <v>30</v>
      </c>
      <c r="C1097" t="s">
        <v>129</v>
      </c>
      <c r="D1097">
        <v>5</v>
      </c>
      <c r="E1097">
        <v>3.81</v>
      </c>
      <c r="F1097">
        <v>-1.19</v>
      </c>
      <c r="G1097">
        <v>1.19</v>
      </c>
      <c r="H1097">
        <v>1</v>
      </c>
      <c r="I1097">
        <v>0</v>
      </c>
      <c r="J1097">
        <v>1</v>
      </c>
      <c r="K1097" t="s">
        <v>33</v>
      </c>
      <c r="L1097" t="s">
        <v>46</v>
      </c>
    </row>
    <row r="1098" spans="1:12">
      <c r="A1098" t="s">
        <v>301</v>
      </c>
      <c r="B1098" t="s">
        <v>30</v>
      </c>
      <c r="C1098" t="s">
        <v>130</v>
      </c>
      <c r="D1098">
        <v>5</v>
      </c>
      <c r="E1098">
        <v>3.81</v>
      </c>
      <c r="F1098">
        <v>-1.19</v>
      </c>
      <c r="G1098">
        <v>1.19</v>
      </c>
      <c r="H1098">
        <v>1</v>
      </c>
      <c r="I1098">
        <v>0</v>
      </c>
      <c r="J1098">
        <v>1</v>
      </c>
      <c r="K1098" t="s">
        <v>33</v>
      </c>
      <c r="L1098" t="s">
        <v>46</v>
      </c>
    </row>
    <row r="1099" spans="1:12">
      <c r="A1099" t="s">
        <v>301</v>
      </c>
      <c r="B1099" t="s">
        <v>30</v>
      </c>
      <c r="C1099" t="s">
        <v>131</v>
      </c>
      <c r="D1099">
        <v>5</v>
      </c>
      <c r="E1099">
        <v>5</v>
      </c>
      <c r="F1099">
        <v>0</v>
      </c>
      <c r="G1099">
        <v>0</v>
      </c>
      <c r="H1099">
        <v>0</v>
      </c>
      <c r="I1099">
        <v>1</v>
      </c>
      <c r="J1099">
        <v>0</v>
      </c>
      <c r="K1099" t="s">
        <v>34</v>
      </c>
      <c r="L1099" t="s">
        <v>46</v>
      </c>
    </row>
    <row r="1100" spans="1:12">
      <c r="A1100" t="s">
        <v>301</v>
      </c>
      <c r="B1100" t="s">
        <v>30</v>
      </c>
      <c r="C1100" t="s">
        <v>132</v>
      </c>
      <c r="D1100">
        <v>5</v>
      </c>
      <c r="E1100">
        <v>5</v>
      </c>
      <c r="F1100">
        <v>0</v>
      </c>
      <c r="G1100">
        <v>0</v>
      </c>
      <c r="H1100">
        <v>0</v>
      </c>
      <c r="I1100">
        <v>1</v>
      </c>
      <c r="J1100">
        <v>0</v>
      </c>
      <c r="K1100" t="s">
        <v>34</v>
      </c>
      <c r="L1100" t="s">
        <v>46</v>
      </c>
    </row>
    <row r="1101" spans="1:12">
      <c r="A1101" t="s">
        <v>301</v>
      </c>
      <c r="B1101" t="s">
        <v>30</v>
      </c>
      <c r="C1101" t="s">
        <v>133</v>
      </c>
      <c r="D1101">
        <v>5</v>
      </c>
      <c r="E1101">
        <v>5</v>
      </c>
      <c r="F1101">
        <v>0</v>
      </c>
      <c r="G1101">
        <v>0</v>
      </c>
      <c r="H1101">
        <v>0</v>
      </c>
      <c r="I1101">
        <v>1</v>
      </c>
      <c r="J1101">
        <v>0</v>
      </c>
      <c r="K1101" t="s">
        <v>34</v>
      </c>
      <c r="L1101" t="s">
        <v>46</v>
      </c>
    </row>
    <row r="1102" spans="1:12">
      <c r="A1102" t="s">
        <v>301</v>
      </c>
      <c r="B1102" t="s">
        <v>30</v>
      </c>
      <c r="C1102" t="s">
        <v>134</v>
      </c>
      <c r="D1102">
        <v>5</v>
      </c>
      <c r="E1102">
        <v>5</v>
      </c>
      <c r="F1102">
        <v>0</v>
      </c>
      <c r="G1102">
        <v>0</v>
      </c>
      <c r="H1102">
        <v>0</v>
      </c>
      <c r="I1102">
        <v>1</v>
      </c>
      <c r="J1102">
        <v>0</v>
      </c>
      <c r="K1102" t="s">
        <v>34</v>
      </c>
      <c r="L1102" t="s">
        <v>47</v>
      </c>
    </row>
    <row r="1103" spans="1:12">
      <c r="A1103" t="s">
        <v>301</v>
      </c>
      <c r="B1103" t="s">
        <v>30</v>
      </c>
      <c r="C1103" t="s">
        <v>135</v>
      </c>
      <c r="D1103">
        <v>5</v>
      </c>
      <c r="E1103">
        <v>5</v>
      </c>
      <c r="F1103">
        <v>0</v>
      </c>
      <c r="G1103">
        <v>0</v>
      </c>
      <c r="H1103">
        <v>0</v>
      </c>
      <c r="I1103">
        <v>1</v>
      </c>
      <c r="J1103">
        <v>0</v>
      </c>
      <c r="K1103" t="s">
        <v>34</v>
      </c>
      <c r="L1103" t="s">
        <v>47</v>
      </c>
    </row>
    <row r="1104" spans="1:12">
      <c r="A1104" t="s">
        <v>301</v>
      </c>
      <c r="B1104" t="s">
        <v>30</v>
      </c>
      <c r="C1104" t="s">
        <v>136</v>
      </c>
      <c r="D1104">
        <v>5</v>
      </c>
      <c r="E1104">
        <v>5</v>
      </c>
      <c r="F1104">
        <v>0</v>
      </c>
      <c r="G1104">
        <v>0</v>
      </c>
      <c r="H1104">
        <v>0</v>
      </c>
      <c r="I1104">
        <v>1</v>
      </c>
      <c r="J1104">
        <v>0</v>
      </c>
      <c r="K1104" t="s">
        <v>34</v>
      </c>
      <c r="L1104" t="s">
        <v>47</v>
      </c>
    </row>
    <row r="1105" spans="1:12">
      <c r="A1105" t="s">
        <v>301</v>
      </c>
      <c r="B1105" t="s">
        <v>30</v>
      </c>
      <c r="C1105" t="s">
        <v>137</v>
      </c>
      <c r="D1105">
        <v>5</v>
      </c>
      <c r="E1105">
        <v>5</v>
      </c>
      <c r="F1105">
        <v>0</v>
      </c>
      <c r="G1105">
        <v>0</v>
      </c>
      <c r="H1105">
        <v>0</v>
      </c>
      <c r="I1105">
        <v>1</v>
      </c>
      <c r="J1105">
        <v>0</v>
      </c>
      <c r="K1105" t="s">
        <v>34</v>
      </c>
      <c r="L1105" t="s">
        <v>47</v>
      </c>
    </row>
    <row r="1106" spans="1:12">
      <c r="A1106" t="s">
        <v>301</v>
      </c>
      <c r="B1106" t="s">
        <v>30</v>
      </c>
      <c r="C1106" t="s">
        <v>138</v>
      </c>
      <c r="D1106">
        <v>5</v>
      </c>
      <c r="E1106">
        <v>5</v>
      </c>
      <c r="F1106">
        <v>0</v>
      </c>
      <c r="G1106">
        <v>0</v>
      </c>
      <c r="H1106">
        <v>0</v>
      </c>
      <c r="I1106">
        <v>1</v>
      </c>
      <c r="J1106">
        <v>0</v>
      </c>
      <c r="K1106" t="s">
        <v>34</v>
      </c>
      <c r="L1106" t="s">
        <v>47</v>
      </c>
    </row>
    <row r="1107" spans="1:12">
      <c r="A1107" t="s">
        <v>301</v>
      </c>
      <c r="B1107" t="s">
        <v>30</v>
      </c>
      <c r="C1107" t="s">
        <v>139</v>
      </c>
      <c r="D1107">
        <v>5</v>
      </c>
      <c r="E1107">
        <v>5</v>
      </c>
      <c r="F1107">
        <v>0</v>
      </c>
      <c r="G1107">
        <v>0</v>
      </c>
      <c r="H1107">
        <v>0</v>
      </c>
      <c r="I1107">
        <v>1</v>
      </c>
      <c r="J1107">
        <v>0</v>
      </c>
      <c r="K1107" t="s">
        <v>34</v>
      </c>
      <c r="L1107" t="s">
        <v>42</v>
      </c>
    </row>
    <row r="1108" spans="1:12">
      <c r="A1108" t="s">
        <v>301</v>
      </c>
      <c r="B1108" t="s">
        <v>30</v>
      </c>
      <c r="C1108" t="s">
        <v>140</v>
      </c>
      <c r="D1108">
        <v>5</v>
      </c>
      <c r="E1108">
        <v>5</v>
      </c>
      <c r="F1108">
        <v>0</v>
      </c>
      <c r="G1108">
        <v>0</v>
      </c>
      <c r="H1108">
        <v>0</v>
      </c>
      <c r="I1108">
        <v>1</v>
      </c>
      <c r="J1108">
        <v>0</v>
      </c>
      <c r="K1108" t="s">
        <v>34</v>
      </c>
      <c r="L1108" t="s">
        <v>42</v>
      </c>
    </row>
    <row r="1109" spans="1:12">
      <c r="A1109" t="s">
        <v>301</v>
      </c>
      <c r="B1109" t="s">
        <v>30</v>
      </c>
      <c r="C1109" t="s">
        <v>141</v>
      </c>
      <c r="D1109">
        <v>5</v>
      </c>
      <c r="E1109">
        <v>5</v>
      </c>
      <c r="F1109">
        <v>0</v>
      </c>
      <c r="G1109">
        <v>0</v>
      </c>
      <c r="H1109">
        <v>0</v>
      </c>
      <c r="I1109">
        <v>1</v>
      </c>
      <c r="J1109">
        <v>0</v>
      </c>
      <c r="K1109" t="s">
        <v>34</v>
      </c>
      <c r="L1109" t="s">
        <v>42</v>
      </c>
    </row>
    <row r="1110" spans="1:12">
      <c r="A1110" t="s">
        <v>301</v>
      </c>
      <c r="B1110" t="s">
        <v>30</v>
      </c>
      <c r="C1110" t="s">
        <v>142</v>
      </c>
      <c r="D1110">
        <v>5</v>
      </c>
      <c r="E1110">
        <v>5</v>
      </c>
      <c r="F1110">
        <v>0</v>
      </c>
      <c r="G1110">
        <v>0</v>
      </c>
      <c r="H1110">
        <v>0</v>
      </c>
      <c r="I1110">
        <v>1</v>
      </c>
      <c r="J1110">
        <v>0</v>
      </c>
      <c r="K1110" t="s">
        <v>34</v>
      </c>
      <c r="L1110" t="s">
        <v>42</v>
      </c>
    </row>
    <row r="1111" spans="1:12">
      <c r="A1111" t="s">
        <v>301</v>
      </c>
      <c r="B1111" t="s">
        <v>30</v>
      </c>
      <c r="C1111" t="s">
        <v>143</v>
      </c>
      <c r="D1111">
        <v>5</v>
      </c>
      <c r="E1111">
        <v>5</v>
      </c>
      <c r="F1111">
        <v>0</v>
      </c>
      <c r="G1111">
        <v>0</v>
      </c>
      <c r="H1111">
        <v>0</v>
      </c>
      <c r="I1111">
        <v>1</v>
      </c>
      <c r="J1111">
        <v>0</v>
      </c>
      <c r="K1111" t="s">
        <v>34</v>
      </c>
      <c r="L1111" t="s">
        <v>42</v>
      </c>
    </row>
    <row r="1112" spans="1:12">
      <c r="A1112" t="s">
        <v>301</v>
      </c>
      <c r="B1112" t="s">
        <v>30</v>
      </c>
      <c r="C1112" t="s">
        <v>144</v>
      </c>
      <c r="D1112">
        <v>5</v>
      </c>
      <c r="E1112">
        <v>5</v>
      </c>
      <c r="F1112">
        <v>0</v>
      </c>
      <c r="G1112">
        <v>0</v>
      </c>
      <c r="H1112">
        <v>0</v>
      </c>
      <c r="I1112">
        <v>1</v>
      </c>
      <c r="J1112">
        <v>0</v>
      </c>
      <c r="K1112" t="s">
        <v>34</v>
      </c>
      <c r="L1112" t="s">
        <v>43</v>
      </c>
    </row>
    <row r="1113" spans="1:12">
      <c r="A1113" t="s">
        <v>301</v>
      </c>
      <c r="B1113" t="s">
        <v>30</v>
      </c>
      <c r="C1113" t="s">
        <v>145</v>
      </c>
      <c r="D1113">
        <v>5</v>
      </c>
      <c r="E1113">
        <v>5</v>
      </c>
      <c r="F1113">
        <v>0</v>
      </c>
      <c r="G1113">
        <v>0</v>
      </c>
      <c r="H1113">
        <v>0</v>
      </c>
      <c r="I1113">
        <v>1</v>
      </c>
      <c r="J1113">
        <v>0</v>
      </c>
      <c r="K1113" t="s">
        <v>34</v>
      </c>
      <c r="L1113" t="s">
        <v>43</v>
      </c>
    </row>
    <row r="1114" spans="1:12">
      <c r="A1114" t="s">
        <v>301</v>
      </c>
      <c r="B1114" t="s">
        <v>30</v>
      </c>
      <c r="C1114" t="s">
        <v>146</v>
      </c>
      <c r="D1114">
        <v>5</v>
      </c>
      <c r="E1114">
        <v>5</v>
      </c>
      <c r="F1114">
        <v>0</v>
      </c>
      <c r="G1114">
        <v>0</v>
      </c>
      <c r="H1114">
        <v>0</v>
      </c>
      <c r="I1114">
        <v>1</v>
      </c>
      <c r="J1114">
        <v>0</v>
      </c>
      <c r="K1114" t="s">
        <v>34</v>
      </c>
      <c r="L1114" t="s">
        <v>43</v>
      </c>
    </row>
    <row r="1115" spans="1:12">
      <c r="A1115" t="s">
        <v>301</v>
      </c>
      <c r="B1115" t="s">
        <v>30</v>
      </c>
      <c r="C1115" t="s">
        <v>147</v>
      </c>
      <c r="D1115">
        <v>5</v>
      </c>
      <c r="E1115">
        <v>5</v>
      </c>
      <c r="F1115">
        <v>0</v>
      </c>
      <c r="G1115">
        <v>0</v>
      </c>
      <c r="H1115">
        <v>0</v>
      </c>
      <c r="I1115">
        <v>1</v>
      </c>
      <c r="J1115">
        <v>0</v>
      </c>
      <c r="K1115" t="s">
        <v>34</v>
      </c>
      <c r="L1115" t="s">
        <v>43</v>
      </c>
    </row>
    <row r="1116" spans="1:12">
      <c r="A1116" t="s">
        <v>301</v>
      </c>
      <c r="B1116" t="s">
        <v>30</v>
      </c>
      <c r="C1116" t="s">
        <v>148</v>
      </c>
      <c r="D1116">
        <v>5</v>
      </c>
      <c r="E1116">
        <v>5</v>
      </c>
      <c r="F1116">
        <v>0</v>
      </c>
      <c r="G1116">
        <v>0</v>
      </c>
      <c r="H1116">
        <v>0</v>
      </c>
      <c r="I1116">
        <v>1</v>
      </c>
      <c r="J1116">
        <v>0</v>
      </c>
      <c r="K1116" t="s">
        <v>34</v>
      </c>
      <c r="L1116" t="s">
        <v>43</v>
      </c>
    </row>
    <row r="1117" spans="1:12">
      <c r="A1117" t="s">
        <v>301</v>
      </c>
      <c r="B1117" t="s">
        <v>30</v>
      </c>
      <c r="C1117" t="s">
        <v>149</v>
      </c>
      <c r="D1117">
        <v>5</v>
      </c>
      <c r="E1117">
        <v>5</v>
      </c>
      <c r="F1117">
        <v>0</v>
      </c>
      <c r="G1117">
        <v>0</v>
      </c>
      <c r="H1117">
        <v>0</v>
      </c>
      <c r="I1117">
        <v>1</v>
      </c>
      <c r="J1117">
        <v>0</v>
      </c>
      <c r="K1117" t="s">
        <v>34</v>
      </c>
      <c r="L1117" t="s">
        <v>48</v>
      </c>
    </row>
    <row r="1118" spans="1:12">
      <c r="A1118" t="s">
        <v>301</v>
      </c>
      <c r="B1118" t="s">
        <v>30</v>
      </c>
      <c r="C1118" t="s">
        <v>150</v>
      </c>
      <c r="D1118">
        <v>5</v>
      </c>
      <c r="E1118">
        <v>5</v>
      </c>
      <c r="F1118">
        <v>0</v>
      </c>
      <c r="G1118">
        <v>0</v>
      </c>
      <c r="H1118">
        <v>0</v>
      </c>
      <c r="I1118">
        <v>1</v>
      </c>
      <c r="J1118">
        <v>0</v>
      </c>
      <c r="K1118" t="s">
        <v>34</v>
      </c>
      <c r="L1118" t="s">
        <v>48</v>
      </c>
    </row>
    <row r="1119" spans="1:12">
      <c r="A1119" t="s">
        <v>301</v>
      </c>
      <c r="B1119" t="s">
        <v>30</v>
      </c>
      <c r="C1119" t="s">
        <v>151</v>
      </c>
      <c r="D1119">
        <v>5</v>
      </c>
      <c r="E1119">
        <v>5</v>
      </c>
      <c r="F1119">
        <v>0</v>
      </c>
      <c r="G1119">
        <v>0</v>
      </c>
      <c r="H1119">
        <v>0</v>
      </c>
      <c r="I1119">
        <v>1</v>
      </c>
      <c r="J1119">
        <v>0</v>
      </c>
      <c r="K1119" t="s">
        <v>34</v>
      </c>
      <c r="L1119" t="s">
        <v>48</v>
      </c>
    </row>
    <row r="1120" spans="1:12">
      <c r="A1120" t="s">
        <v>301</v>
      </c>
      <c r="B1120" t="s">
        <v>30</v>
      </c>
      <c r="C1120" t="s">
        <v>152</v>
      </c>
      <c r="D1120">
        <v>5</v>
      </c>
      <c r="E1120">
        <v>5</v>
      </c>
      <c r="F1120">
        <v>0</v>
      </c>
      <c r="G1120">
        <v>0</v>
      </c>
      <c r="H1120">
        <v>0</v>
      </c>
      <c r="I1120">
        <v>1</v>
      </c>
      <c r="J1120">
        <v>0</v>
      </c>
      <c r="K1120" t="s">
        <v>34</v>
      </c>
      <c r="L1120" t="s">
        <v>48</v>
      </c>
    </row>
    <row r="1121" spans="1:12">
      <c r="A1121" t="s">
        <v>301</v>
      </c>
      <c r="B1121" t="s">
        <v>30</v>
      </c>
      <c r="C1121" t="s">
        <v>153</v>
      </c>
      <c r="D1121">
        <v>5</v>
      </c>
      <c r="E1121">
        <v>5</v>
      </c>
      <c r="F1121">
        <v>0</v>
      </c>
      <c r="G1121">
        <v>0</v>
      </c>
      <c r="H1121">
        <v>0</v>
      </c>
      <c r="I1121">
        <v>1</v>
      </c>
      <c r="J1121">
        <v>0</v>
      </c>
      <c r="K1121" t="s">
        <v>34</v>
      </c>
      <c r="L1121" t="s">
        <v>48</v>
      </c>
    </row>
    <row r="1122" spans="1:12">
      <c r="A1122" t="s">
        <v>314</v>
      </c>
      <c r="B1122" t="s">
        <v>27</v>
      </c>
      <c r="C1122" t="s">
        <v>76</v>
      </c>
      <c r="D1122">
        <v>1</v>
      </c>
      <c r="E1122">
        <v>0.38</v>
      </c>
      <c r="F1122">
        <v>-0.62</v>
      </c>
      <c r="G1122">
        <v>0.62</v>
      </c>
      <c r="H1122">
        <v>0</v>
      </c>
      <c r="I1122">
        <v>1</v>
      </c>
      <c r="J1122">
        <v>0</v>
      </c>
      <c r="K1122" t="s">
        <v>34</v>
      </c>
      <c r="L1122" t="s">
        <v>49</v>
      </c>
    </row>
    <row r="1123" spans="1:12">
      <c r="A1123" t="s">
        <v>314</v>
      </c>
      <c r="B1123" t="s">
        <v>27</v>
      </c>
      <c r="C1123" t="s">
        <v>77</v>
      </c>
      <c r="D1123">
        <v>5</v>
      </c>
      <c r="E1123">
        <v>5</v>
      </c>
      <c r="F1123">
        <v>0</v>
      </c>
      <c r="G1123">
        <v>0</v>
      </c>
      <c r="H1123">
        <v>0</v>
      </c>
      <c r="I1123">
        <v>1</v>
      </c>
      <c r="J1123">
        <v>0</v>
      </c>
      <c r="K1123" t="s">
        <v>34</v>
      </c>
      <c r="L1123" t="s">
        <v>49</v>
      </c>
    </row>
    <row r="1124" spans="1:12">
      <c r="A1124" t="s">
        <v>314</v>
      </c>
      <c r="B1124" t="s">
        <v>27</v>
      </c>
      <c r="C1124" t="s">
        <v>78</v>
      </c>
      <c r="D1124">
        <v>2</v>
      </c>
      <c r="E1124">
        <v>5</v>
      </c>
      <c r="F1124">
        <v>3</v>
      </c>
      <c r="G1124">
        <v>3</v>
      </c>
      <c r="H1124">
        <v>0</v>
      </c>
      <c r="I1124">
        <v>1</v>
      </c>
      <c r="J1124">
        <v>1</v>
      </c>
      <c r="K1124" t="s">
        <v>35</v>
      </c>
      <c r="L1124" t="s">
        <v>49</v>
      </c>
    </row>
    <row r="1125" spans="1:12">
      <c r="A1125" t="s">
        <v>314</v>
      </c>
      <c r="B1125" t="s">
        <v>27</v>
      </c>
      <c r="C1125" t="s">
        <v>79</v>
      </c>
      <c r="D1125">
        <v>5</v>
      </c>
      <c r="E1125">
        <v>0.95</v>
      </c>
      <c r="F1125">
        <v>-4.05</v>
      </c>
      <c r="G1125">
        <v>4.05</v>
      </c>
      <c r="H1125">
        <v>1</v>
      </c>
      <c r="I1125">
        <v>0</v>
      </c>
      <c r="J1125">
        <v>1</v>
      </c>
      <c r="K1125" t="s">
        <v>36</v>
      </c>
      <c r="L1125" t="s">
        <v>49</v>
      </c>
    </row>
    <row r="1126" spans="1:12">
      <c r="A1126" t="s">
        <v>314</v>
      </c>
      <c r="B1126" t="s">
        <v>27</v>
      </c>
      <c r="C1126" t="s">
        <v>80</v>
      </c>
      <c r="D1126">
        <v>5</v>
      </c>
      <c r="E1126">
        <v>0.95</v>
      </c>
      <c r="F1126">
        <v>-4.05</v>
      </c>
      <c r="G1126">
        <v>4.05</v>
      </c>
      <c r="H1126">
        <v>1</v>
      </c>
      <c r="I1126">
        <v>0</v>
      </c>
      <c r="J1126">
        <v>1</v>
      </c>
      <c r="K1126" t="s">
        <v>36</v>
      </c>
      <c r="L1126" t="s">
        <v>49</v>
      </c>
    </row>
    <row r="1127" spans="1:12">
      <c r="A1127" t="s">
        <v>314</v>
      </c>
      <c r="B1127" t="s">
        <v>27</v>
      </c>
      <c r="C1127" t="s">
        <v>81</v>
      </c>
      <c r="D1127">
        <v>5</v>
      </c>
      <c r="E1127">
        <v>5</v>
      </c>
      <c r="F1127">
        <v>0</v>
      </c>
      <c r="G1127">
        <v>0</v>
      </c>
      <c r="H1127">
        <v>0</v>
      </c>
      <c r="I1127">
        <v>1</v>
      </c>
      <c r="J1127">
        <v>0</v>
      </c>
      <c r="K1127" t="s">
        <v>34</v>
      </c>
      <c r="L1127" t="s">
        <v>49</v>
      </c>
    </row>
    <row r="1128" spans="1:12">
      <c r="A1128" t="s">
        <v>314</v>
      </c>
      <c r="B1128" t="s">
        <v>27</v>
      </c>
      <c r="C1128" t="s">
        <v>82</v>
      </c>
      <c r="D1128">
        <v>5</v>
      </c>
      <c r="E1128">
        <v>5</v>
      </c>
      <c r="F1128">
        <v>0</v>
      </c>
      <c r="G1128">
        <v>0</v>
      </c>
      <c r="H1128">
        <v>0</v>
      </c>
      <c r="I1128">
        <v>1</v>
      </c>
      <c r="J1128">
        <v>0</v>
      </c>
      <c r="K1128" t="s">
        <v>34</v>
      </c>
      <c r="L1128" t="s">
        <v>49</v>
      </c>
    </row>
    <row r="1129" spans="1:12">
      <c r="A1129" t="s">
        <v>314</v>
      </c>
      <c r="B1129" t="s">
        <v>27</v>
      </c>
      <c r="C1129" t="s">
        <v>83</v>
      </c>
      <c r="D1129">
        <v>4</v>
      </c>
      <c r="E1129">
        <v>5</v>
      </c>
      <c r="F1129">
        <v>1</v>
      </c>
      <c r="G1129">
        <v>1</v>
      </c>
      <c r="H1129">
        <v>0</v>
      </c>
      <c r="I1129">
        <v>1</v>
      </c>
      <c r="J1129">
        <v>1</v>
      </c>
      <c r="K1129" t="s">
        <v>37</v>
      </c>
      <c r="L1129" t="s">
        <v>49</v>
      </c>
    </row>
    <row r="1130" spans="1:12">
      <c r="A1130" t="s">
        <v>314</v>
      </c>
      <c r="B1130" t="s">
        <v>27</v>
      </c>
      <c r="C1130" t="s">
        <v>84</v>
      </c>
      <c r="D1130">
        <v>4</v>
      </c>
      <c r="E1130">
        <v>5</v>
      </c>
      <c r="F1130">
        <v>1</v>
      </c>
      <c r="G1130">
        <v>1</v>
      </c>
      <c r="H1130">
        <v>0</v>
      </c>
      <c r="I1130">
        <v>1</v>
      </c>
      <c r="J1130">
        <v>1</v>
      </c>
      <c r="K1130" t="s">
        <v>37</v>
      </c>
      <c r="L1130" t="s">
        <v>49</v>
      </c>
    </row>
    <row r="1131" spans="1:12">
      <c r="A1131" t="s">
        <v>314</v>
      </c>
      <c r="B1131" t="s">
        <v>27</v>
      </c>
      <c r="C1131" t="s">
        <v>85</v>
      </c>
      <c r="D1131">
        <v>4</v>
      </c>
      <c r="E1131">
        <v>5</v>
      </c>
      <c r="F1131">
        <v>1</v>
      </c>
      <c r="G1131">
        <v>1</v>
      </c>
      <c r="H1131">
        <v>0</v>
      </c>
      <c r="I1131">
        <v>1</v>
      </c>
      <c r="J1131">
        <v>1</v>
      </c>
      <c r="K1131" t="s">
        <v>37</v>
      </c>
      <c r="L1131" t="s">
        <v>49</v>
      </c>
    </row>
    <row r="1132" spans="1:12">
      <c r="A1132" t="s">
        <v>314</v>
      </c>
      <c r="B1132" t="s">
        <v>27</v>
      </c>
      <c r="C1132" t="s">
        <v>86</v>
      </c>
      <c r="D1132">
        <v>4</v>
      </c>
      <c r="E1132">
        <v>5</v>
      </c>
      <c r="F1132">
        <v>1</v>
      </c>
      <c r="G1132">
        <v>1</v>
      </c>
      <c r="H1132">
        <v>0</v>
      </c>
      <c r="I1132">
        <v>1</v>
      </c>
      <c r="J1132">
        <v>1</v>
      </c>
      <c r="K1132" t="s">
        <v>37</v>
      </c>
      <c r="L1132" t="s">
        <v>50</v>
      </c>
    </row>
    <row r="1133" spans="1:12">
      <c r="A1133" t="s">
        <v>314</v>
      </c>
      <c r="B1133" t="s">
        <v>27</v>
      </c>
      <c r="C1133" t="s">
        <v>87</v>
      </c>
      <c r="D1133">
        <v>4</v>
      </c>
      <c r="E1133">
        <v>5</v>
      </c>
      <c r="F1133">
        <v>1</v>
      </c>
      <c r="G1133">
        <v>1</v>
      </c>
      <c r="H1133">
        <v>0</v>
      </c>
      <c r="I1133">
        <v>1</v>
      </c>
      <c r="J1133">
        <v>1</v>
      </c>
      <c r="K1133" t="s">
        <v>37</v>
      </c>
      <c r="L1133" t="s">
        <v>50</v>
      </c>
    </row>
    <row r="1134" spans="1:12">
      <c r="A1134" t="s">
        <v>314</v>
      </c>
      <c r="B1134" t="s">
        <v>27</v>
      </c>
      <c r="C1134" t="s">
        <v>88</v>
      </c>
      <c r="D1134">
        <v>3</v>
      </c>
      <c r="E1134">
        <v>5</v>
      </c>
      <c r="F1134">
        <v>2</v>
      </c>
      <c r="G1134">
        <v>2</v>
      </c>
      <c r="H1134">
        <v>0</v>
      </c>
      <c r="I1134">
        <v>1</v>
      </c>
      <c r="J1134">
        <v>1</v>
      </c>
      <c r="K1134" t="s">
        <v>35</v>
      </c>
      <c r="L1134" t="s">
        <v>50</v>
      </c>
    </row>
    <row r="1135" spans="1:12">
      <c r="A1135" t="s">
        <v>314</v>
      </c>
      <c r="B1135" t="s">
        <v>27</v>
      </c>
      <c r="C1135" t="s">
        <v>89</v>
      </c>
      <c r="D1135">
        <v>3</v>
      </c>
      <c r="E1135">
        <v>4</v>
      </c>
      <c r="F1135">
        <v>1</v>
      </c>
      <c r="G1135">
        <v>1</v>
      </c>
      <c r="H1135">
        <v>0</v>
      </c>
      <c r="I1135">
        <v>1</v>
      </c>
      <c r="J1135">
        <v>1</v>
      </c>
      <c r="K1135" t="s">
        <v>37</v>
      </c>
      <c r="L1135" t="s">
        <v>50</v>
      </c>
    </row>
    <row r="1136" spans="1:12">
      <c r="A1136" t="s">
        <v>314</v>
      </c>
      <c r="B1136" t="s">
        <v>27</v>
      </c>
      <c r="C1136" t="s">
        <v>90</v>
      </c>
      <c r="D1136">
        <v>3</v>
      </c>
      <c r="E1136">
        <v>4</v>
      </c>
      <c r="F1136">
        <v>1</v>
      </c>
      <c r="G1136">
        <v>1</v>
      </c>
      <c r="H1136">
        <v>0</v>
      </c>
      <c r="I1136">
        <v>1</v>
      </c>
      <c r="J1136">
        <v>1</v>
      </c>
      <c r="K1136" t="s">
        <v>37</v>
      </c>
      <c r="L1136" t="s">
        <v>50</v>
      </c>
    </row>
    <row r="1137" spans="1:12">
      <c r="A1137" t="s">
        <v>314</v>
      </c>
      <c r="B1137" t="s">
        <v>27</v>
      </c>
      <c r="C1137" t="s">
        <v>91</v>
      </c>
      <c r="D1137">
        <v>3</v>
      </c>
      <c r="E1137">
        <v>4</v>
      </c>
      <c r="F1137">
        <v>1</v>
      </c>
      <c r="G1137">
        <v>1</v>
      </c>
      <c r="H1137">
        <v>0</v>
      </c>
      <c r="I1137">
        <v>1</v>
      </c>
      <c r="J1137">
        <v>1</v>
      </c>
      <c r="K1137" t="s">
        <v>37</v>
      </c>
      <c r="L1137" t="s">
        <v>50</v>
      </c>
    </row>
    <row r="1138" spans="1:12">
      <c r="A1138" t="s">
        <v>314</v>
      </c>
      <c r="B1138" t="s">
        <v>27</v>
      </c>
      <c r="C1138" t="s">
        <v>92</v>
      </c>
      <c r="D1138">
        <v>3</v>
      </c>
      <c r="E1138">
        <v>4</v>
      </c>
      <c r="F1138">
        <v>1</v>
      </c>
      <c r="G1138">
        <v>1</v>
      </c>
      <c r="H1138">
        <v>0</v>
      </c>
      <c r="I1138">
        <v>1</v>
      </c>
      <c r="J1138">
        <v>1</v>
      </c>
      <c r="K1138" t="s">
        <v>37</v>
      </c>
      <c r="L1138" t="s">
        <v>50</v>
      </c>
    </row>
    <row r="1139" spans="1:12">
      <c r="A1139" t="s">
        <v>314</v>
      </c>
      <c r="B1139" t="s">
        <v>27</v>
      </c>
      <c r="C1139" t="s">
        <v>93</v>
      </c>
      <c r="D1139">
        <v>3</v>
      </c>
      <c r="E1139">
        <v>4</v>
      </c>
      <c r="F1139">
        <v>1</v>
      </c>
      <c r="G1139">
        <v>1</v>
      </c>
      <c r="H1139">
        <v>0</v>
      </c>
      <c r="I1139">
        <v>1</v>
      </c>
      <c r="J1139">
        <v>1</v>
      </c>
      <c r="K1139" t="s">
        <v>37</v>
      </c>
      <c r="L1139" t="s">
        <v>50</v>
      </c>
    </row>
    <row r="1140" spans="1:12">
      <c r="A1140" t="s">
        <v>314</v>
      </c>
      <c r="B1140" t="s">
        <v>27</v>
      </c>
      <c r="C1140" t="s">
        <v>94</v>
      </c>
      <c r="D1140">
        <v>2</v>
      </c>
      <c r="E1140">
        <v>4</v>
      </c>
      <c r="F1140">
        <v>2</v>
      </c>
      <c r="G1140">
        <v>2</v>
      </c>
      <c r="H1140">
        <v>0</v>
      </c>
      <c r="I1140">
        <v>1</v>
      </c>
      <c r="J1140">
        <v>1</v>
      </c>
      <c r="K1140" t="s">
        <v>35</v>
      </c>
      <c r="L1140" t="s">
        <v>50</v>
      </c>
    </row>
    <row r="1141" spans="1:12">
      <c r="A1141" t="s">
        <v>314</v>
      </c>
      <c r="B1141" t="s">
        <v>27</v>
      </c>
      <c r="C1141" t="s">
        <v>95</v>
      </c>
      <c r="D1141">
        <v>2</v>
      </c>
      <c r="E1141">
        <v>4</v>
      </c>
      <c r="F1141">
        <v>2</v>
      </c>
      <c r="G1141">
        <v>2</v>
      </c>
      <c r="H1141">
        <v>0</v>
      </c>
      <c r="I1141">
        <v>1</v>
      </c>
      <c r="J1141">
        <v>1</v>
      </c>
      <c r="K1141" t="s">
        <v>35</v>
      </c>
      <c r="L1141" t="s">
        <v>50</v>
      </c>
    </row>
    <row r="1142" spans="1:12">
      <c r="A1142" t="s">
        <v>314</v>
      </c>
      <c r="B1142" t="s">
        <v>27</v>
      </c>
      <c r="C1142" t="s">
        <v>96</v>
      </c>
      <c r="D1142">
        <v>2</v>
      </c>
      <c r="E1142">
        <v>4</v>
      </c>
      <c r="F1142">
        <v>2</v>
      </c>
      <c r="G1142">
        <v>2</v>
      </c>
      <c r="H1142">
        <v>0</v>
      </c>
      <c r="I1142">
        <v>1</v>
      </c>
      <c r="J1142">
        <v>1</v>
      </c>
      <c r="K1142" t="s">
        <v>35</v>
      </c>
      <c r="L1142" t="s">
        <v>40</v>
      </c>
    </row>
    <row r="1143" spans="1:12">
      <c r="A1143" t="s">
        <v>314</v>
      </c>
      <c r="B1143" t="s">
        <v>27</v>
      </c>
      <c r="C1143" t="s">
        <v>31</v>
      </c>
      <c r="D1143">
        <v>2</v>
      </c>
      <c r="E1143">
        <v>4</v>
      </c>
      <c r="F1143">
        <v>2</v>
      </c>
      <c r="G1143">
        <v>2</v>
      </c>
      <c r="H1143">
        <v>0</v>
      </c>
      <c r="I1143">
        <v>1</v>
      </c>
      <c r="J1143">
        <v>1</v>
      </c>
      <c r="K1143" t="s">
        <v>35</v>
      </c>
      <c r="L1143" t="s">
        <v>40</v>
      </c>
    </row>
    <row r="1144" spans="1:12">
      <c r="A1144" t="s">
        <v>314</v>
      </c>
      <c r="B1144" t="s">
        <v>27</v>
      </c>
      <c r="C1144" t="s">
        <v>30</v>
      </c>
      <c r="D1144">
        <v>2</v>
      </c>
      <c r="E1144">
        <v>4</v>
      </c>
      <c r="F1144">
        <v>2</v>
      </c>
      <c r="G1144">
        <v>2</v>
      </c>
      <c r="H1144">
        <v>0</v>
      </c>
      <c r="I1144">
        <v>1</v>
      </c>
      <c r="J1144">
        <v>1</v>
      </c>
      <c r="K1144" t="s">
        <v>35</v>
      </c>
      <c r="L1144" t="s">
        <v>40</v>
      </c>
    </row>
    <row r="1145" spans="1:12">
      <c r="A1145" t="s">
        <v>314</v>
      </c>
      <c r="B1145" t="s">
        <v>27</v>
      </c>
      <c r="C1145" t="s">
        <v>97</v>
      </c>
      <c r="D1145">
        <v>3</v>
      </c>
      <c r="E1145">
        <v>2.15</v>
      </c>
      <c r="F1145">
        <v>-0.85000000000000009</v>
      </c>
      <c r="G1145">
        <v>0.85000000000000009</v>
      </c>
      <c r="H1145">
        <v>0</v>
      </c>
      <c r="I1145">
        <v>1</v>
      </c>
      <c r="J1145">
        <v>0</v>
      </c>
      <c r="K1145" t="s">
        <v>34</v>
      </c>
      <c r="L1145" t="s">
        <v>40</v>
      </c>
    </row>
    <row r="1146" spans="1:12">
      <c r="A1146" t="s">
        <v>314</v>
      </c>
      <c r="B1146" t="s">
        <v>27</v>
      </c>
      <c r="C1146" t="s">
        <v>98</v>
      </c>
      <c r="D1146">
        <v>3</v>
      </c>
      <c r="E1146">
        <v>2.15</v>
      </c>
      <c r="F1146">
        <v>-0.85000000000000009</v>
      </c>
      <c r="G1146">
        <v>0.85000000000000009</v>
      </c>
      <c r="H1146">
        <v>0</v>
      </c>
      <c r="I1146">
        <v>1</v>
      </c>
      <c r="J1146">
        <v>0</v>
      </c>
      <c r="K1146" t="s">
        <v>34</v>
      </c>
      <c r="L1146" t="s">
        <v>40</v>
      </c>
    </row>
    <row r="1147" spans="1:12">
      <c r="A1147" t="s">
        <v>314</v>
      </c>
      <c r="B1147" t="s">
        <v>27</v>
      </c>
      <c r="C1147" t="s">
        <v>99</v>
      </c>
      <c r="D1147">
        <v>3</v>
      </c>
      <c r="E1147">
        <v>2.15</v>
      </c>
      <c r="F1147">
        <v>-0.85000000000000009</v>
      </c>
      <c r="G1147">
        <v>0.85000000000000009</v>
      </c>
      <c r="H1147">
        <v>0</v>
      </c>
      <c r="I1147">
        <v>1</v>
      </c>
      <c r="J1147">
        <v>0</v>
      </c>
      <c r="K1147" t="s">
        <v>34</v>
      </c>
      <c r="L1147" t="s">
        <v>39</v>
      </c>
    </row>
    <row r="1148" spans="1:12">
      <c r="A1148" t="s">
        <v>314</v>
      </c>
      <c r="B1148" t="s">
        <v>27</v>
      </c>
      <c r="C1148" t="s">
        <v>100</v>
      </c>
      <c r="D1148">
        <v>3</v>
      </c>
      <c r="E1148">
        <v>2.15</v>
      </c>
      <c r="F1148">
        <v>-0.85000000000000009</v>
      </c>
      <c r="G1148">
        <v>0.85000000000000009</v>
      </c>
      <c r="H1148">
        <v>0</v>
      </c>
      <c r="I1148">
        <v>1</v>
      </c>
      <c r="J1148">
        <v>0</v>
      </c>
      <c r="K1148" t="s">
        <v>34</v>
      </c>
      <c r="L1148" t="s">
        <v>39</v>
      </c>
    </row>
    <row r="1149" spans="1:12">
      <c r="A1149" t="s">
        <v>314</v>
      </c>
      <c r="B1149" t="s">
        <v>27</v>
      </c>
      <c r="C1149" t="s">
        <v>101</v>
      </c>
      <c r="D1149">
        <v>2</v>
      </c>
      <c r="E1149">
        <v>2.15</v>
      </c>
      <c r="F1149">
        <v>0.14999999999999991</v>
      </c>
      <c r="G1149">
        <v>0.14999999999999991</v>
      </c>
      <c r="H1149">
        <v>0</v>
      </c>
      <c r="I1149">
        <v>1</v>
      </c>
      <c r="J1149">
        <v>0</v>
      </c>
      <c r="K1149" t="s">
        <v>34</v>
      </c>
      <c r="L1149" t="s">
        <v>39</v>
      </c>
    </row>
    <row r="1150" spans="1:12">
      <c r="A1150" t="s">
        <v>314</v>
      </c>
      <c r="B1150" t="s">
        <v>27</v>
      </c>
      <c r="C1150" t="s">
        <v>102</v>
      </c>
      <c r="D1150">
        <v>2</v>
      </c>
      <c r="E1150">
        <v>2.15</v>
      </c>
      <c r="F1150">
        <v>0.14999999999999991</v>
      </c>
      <c r="G1150">
        <v>0.14999999999999991</v>
      </c>
      <c r="H1150">
        <v>0</v>
      </c>
      <c r="I1150">
        <v>1</v>
      </c>
      <c r="J1150">
        <v>0</v>
      </c>
      <c r="K1150" t="s">
        <v>34</v>
      </c>
      <c r="L1150" t="s">
        <v>39</v>
      </c>
    </row>
    <row r="1151" spans="1:12">
      <c r="A1151" t="s">
        <v>314</v>
      </c>
      <c r="B1151" t="s">
        <v>27</v>
      </c>
      <c r="C1151" t="s">
        <v>103</v>
      </c>
      <c r="D1151">
        <v>2</v>
      </c>
      <c r="E1151">
        <v>2.15</v>
      </c>
      <c r="F1151">
        <v>0.14999999999999991</v>
      </c>
      <c r="G1151">
        <v>0.14999999999999991</v>
      </c>
      <c r="H1151">
        <v>0</v>
      </c>
      <c r="I1151">
        <v>1</v>
      </c>
      <c r="J1151">
        <v>0</v>
      </c>
      <c r="K1151" t="s">
        <v>34</v>
      </c>
      <c r="L1151" t="s">
        <v>39</v>
      </c>
    </row>
    <row r="1152" spans="1:12">
      <c r="A1152" t="s">
        <v>314</v>
      </c>
      <c r="B1152" t="s">
        <v>27</v>
      </c>
      <c r="C1152" t="s">
        <v>104</v>
      </c>
      <c r="D1152">
        <v>2</v>
      </c>
      <c r="E1152">
        <v>2.15</v>
      </c>
      <c r="F1152">
        <v>0.14999999999999991</v>
      </c>
      <c r="G1152">
        <v>0.14999999999999991</v>
      </c>
      <c r="H1152">
        <v>0</v>
      </c>
      <c r="I1152">
        <v>1</v>
      </c>
      <c r="J1152">
        <v>0</v>
      </c>
      <c r="K1152" t="s">
        <v>34</v>
      </c>
      <c r="L1152" t="s">
        <v>41</v>
      </c>
    </row>
    <row r="1153" spans="1:12">
      <c r="A1153" t="s">
        <v>314</v>
      </c>
      <c r="B1153" t="s">
        <v>27</v>
      </c>
      <c r="C1153" t="s">
        <v>105</v>
      </c>
      <c r="D1153">
        <v>2</v>
      </c>
      <c r="E1153">
        <v>2.15</v>
      </c>
      <c r="F1153">
        <v>0.14999999999999991</v>
      </c>
      <c r="G1153">
        <v>0.14999999999999991</v>
      </c>
      <c r="H1153">
        <v>0</v>
      </c>
      <c r="I1153">
        <v>1</v>
      </c>
      <c r="J1153">
        <v>0</v>
      </c>
      <c r="K1153" t="s">
        <v>34</v>
      </c>
      <c r="L1153" t="s">
        <v>41</v>
      </c>
    </row>
    <row r="1154" spans="1:12">
      <c r="A1154" t="s">
        <v>314</v>
      </c>
      <c r="B1154" t="s">
        <v>27</v>
      </c>
      <c r="C1154" t="s">
        <v>106</v>
      </c>
      <c r="D1154">
        <v>2</v>
      </c>
      <c r="E1154">
        <v>2.15</v>
      </c>
      <c r="F1154">
        <v>0.14999999999999991</v>
      </c>
      <c r="G1154">
        <v>0.14999999999999991</v>
      </c>
      <c r="H1154">
        <v>0</v>
      </c>
      <c r="I1154">
        <v>1</v>
      </c>
      <c r="J1154">
        <v>0</v>
      </c>
      <c r="K1154" t="s">
        <v>34</v>
      </c>
      <c r="L1154" t="s">
        <v>41</v>
      </c>
    </row>
    <row r="1155" spans="1:12">
      <c r="A1155" t="s">
        <v>314</v>
      </c>
      <c r="B1155" t="s">
        <v>27</v>
      </c>
      <c r="C1155" t="s">
        <v>107</v>
      </c>
      <c r="D1155">
        <v>2</v>
      </c>
      <c r="E1155">
        <v>2.15</v>
      </c>
      <c r="F1155">
        <v>0.14999999999999991</v>
      </c>
      <c r="G1155">
        <v>0.14999999999999991</v>
      </c>
      <c r="H1155">
        <v>0</v>
      </c>
      <c r="I1155">
        <v>1</v>
      </c>
      <c r="J1155">
        <v>0</v>
      </c>
      <c r="K1155" t="s">
        <v>34</v>
      </c>
      <c r="L1155" t="s">
        <v>41</v>
      </c>
    </row>
    <row r="1156" spans="1:12">
      <c r="A1156" t="s">
        <v>314</v>
      </c>
      <c r="B1156" t="s">
        <v>27</v>
      </c>
      <c r="C1156" t="s">
        <v>108</v>
      </c>
      <c r="D1156">
        <v>2</v>
      </c>
      <c r="E1156">
        <v>2.15</v>
      </c>
      <c r="F1156">
        <v>0.14999999999999991</v>
      </c>
      <c r="G1156">
        <v>0.14999999999999991</v>
      </c>
      <c r="H1156">
        <v>0</v>
      </c>
      <c r="I1156">
        <v>1</v>
      </c>
      <c r="J1156">
        <v>0</v>
      </c>
      <c r="K1156" t="s">
        <v>34</v>
      </c>
      <c r="L1156" t="s">
        <v>41</v>
      </c>
    </row>
    <row r="1157" spans="1:12">
      <c r="A1157" t="s">
        <v>314</v>
      </c>
      <c r="B1157" t="s">
        <v>27</v>
      </c>
      <c r="C1157" t="s">
        <v>109</v>
      </c>
      <c r="D1157">
        <v>2</v>
      </c>
      <c r="E1157">
        <v>0.95</v>
      </c>
      <c r="F1157">
        <v>-1.05</v>
      </c>
      <c r="G1157">
        <v>1.05</v>
      </c>
      <c r="H1157">
        <v>1</v>
      </c>
      <c r="I1157">
        <v>0</v>
      </c>
      <c r="J1157">
        <v>1</v>
      </c>
      <c r="K1157" t="s">
        <v>33</v>
      </c>
      <c r="L1157" t="s">
        <v>38</v>
      </c>
    </row>
    <row r="1158" spans="1:12">
      <c r="A1158" t="s">
        <v>314</v>
      </c>
      <c r="B1158" t="s">
        <v>27</v>
      </c>
      <c r="C1158" t="s">
        <v>110</v>
      </c>
      <c r="D1158">
        <v>2</v>
      </c>
      <c r="E1158">
        <v>0.95</v>
      </c>
      <c r="F1158">
        <v>-1.05</v>
      </c>
      <c r="G1158">
        <v>1.05</v>
      </c>
      <c r="H1158">
        <v>1</v>
      </c>
      <c r="I1158">
        <v>0</v>
      </c>
      <c r="J1158">
        <v>1</v>
      </c>
      <c r="K1158" t="s">
        <v>33</v>
      </c>
      <c r="L1158" t="s">
        <v>38</v>
      </c>
    </row>
    <row r="1159" spans="1:12">
      <c r="A1159" t="s">
        <v>314</v>
      </c>
      <c r="B1159" t="s">
        <v>27</v>
      </c>
      <c r="C1159" t="s">
        <v>111</v>
      </c>
      <c r="D1159">
        <v>2</v>
      </c>
      <c r="E1159">
        <v>0.95</v>
      </c>
      <c r="F1159">
        <v>-1.05</v>
      </c>
      <c r="G1159">
        <v>1.05</v>
      </c>
      <c r="H1159">
        <v>1</v>
      </c>
      <c r="I1159">
        <v>0</v>
      </c>
      <c r="J1159">
        <v>1</v>
      </c>
      <c r="K1159" t="s">
        <v>33</v>
      </c>
      <c r="L1159" t="s">
        <v>38</v>
      </c>
    </row>
    <row r="1160" spans="1:12">
      <c r="A1160" t="s">
        <v>314</v>
      </c>
      <c r="B1160" t="s">
        <v>27</v>
      </c>
      <c r="C1160" t="s">
        <v>112</v>
      </c>
      <c r="D1160">
        <v>2</v>
      </c>
      <c r="E1160">
        <v>0.95</v>
      </c>
      <c r="F1160">
        <v>-1.05</v>
      </c>
      <c r="G1160">
        <v>1.05</v>
      </c>
      <c r="H1160">
        <v>1</v>
      </c>
      <c r="I1160">
        <v>0</v>
      </c>
      <c r="J1160">
        <v>1</v>
      </c>
      <c r="K1160" t="s">
        <v>33</v>
      </c>
      <c r="L1160" t="s">
        <v>38</v>
      </c>
    </row>
    <row r="1161" spans="1:12">
      <c r="A1161" t="s">
        <v>314</v>
      </c>
      <c r="B1161" t="s">
        <v>27</v>
      </c>
      <c r="C1161" t="s">
        <v>113</v>
      </c>
      <c r="D1161">
        <v>2</v>
      </c>
      <c r="E1161">
        <v>0.95</v>
      </c>
      <c r="F1161">
        <v>-1.05</v>
      </c>
      <c r="G1161">
        <v>1.05</v>
      </c>
      <c r="H1161">
        <v>1</v>
      </c>
      <c r="I1161">
        <v>0</v>
      </c>
      <c r="J1161">
        <v>1</v>
      </c>
      <c r="K1161" t="s">
        <v>33</v>
      </c>
      <c r="L1161" t="s">
        <v>38</v>
      </c>
    </row>
    <row r="1162" spans="1:12">
      <c r="A1162" t="s">
        <v>314</v>
      </c>
      <c r="B1162" t="s">
        <v>27</v>
      </c>
      <c r="C1162" t="s">
        <v>114</v>
      </c>
      <c r="D1162">
        <v>2</v>
      </c>
      <c r="E1162">
        <v>0.95</v>
      </c>
      <c r="F1162">
        <v>-1.05</v>
      </c>
      <c r="G1162">
        <v>1.05</v>
      </c>
      <c r="H1162">
        <v>1</v>
      </c>
      <c r="I1162">
        <v>0</v>
      </c>
      <c r="J1162">
        <v>1</v>
      </c>
      <c r="K1162" t="s">
        <v>33</v>
      </c>
      <c r="L1162" t="s">
        <v>38</v>
      </c>
    </row>
    <row r="1163" spans="1:12">
      <c r="A1163" t="s">
        <v>314</v>
      </c>
      <c r="B1163" t="s">
        <v>27</v>
      </c>
      <c r="C1163" t="s">
        <v>115</v>
      </c>
      <c r="D1163">
        <v>1</v>
      </c>
      <c r="E1163">
        <v>0.95</v>
      </c>
      <c r="F1163">
        <v>-5.0000000000000044E-2</v>
      </c>
      <c r="G1163">
        <v>5.0000000000000044E-2</v>
      </c>
      <c r="H1163">
        <v>0</v>
      </c>
      <c r="I1163">
        <v>1</v>
      </c>
      <c r="J1163">
        <v>0</v>
      </c>
      <c r="K1163" t="s">
        <v>34</v>
      </c>
      <c r="L1163" t="s">
        <v>38</v>
      </c>
    </row>
    <row r="1164" spans="1:12">
      <c r="A1164" t="s">
        <v>314</v>
      </c>
      <c r="B1164" t="s">
        <v>27</v>
      </c>
      <c r="C1164" t="s">
        <v>116</v>
      </c>
      <c r="D1164">
        <v>1</v>
      </c>
      <c r="E1164">
        <v>0.95</v>
      </c>
      <c r="F1164">
        <v>-5.0000000000000044E-2</v>
      </c>
      <c r="G1164">
        <v>5.0000000000000044E-2</v>
      </c>
      <c r="H1164">
        <v>0</v>
      </c>
      <c r="I1164">
        <v>1</v>
      </c>
      <c r="J1164">
        <v>0</v>
      </c>
      <c r="K1164" t="s">
        <v>34</v>
      </c>
      <c r="L1164" t="s">
        <v>38</v>
      </c>
    </row>
    <row r="1165" spans="1:12">
      <c r="A1165" t="s">
        <v>314</v>
      </c>
      <c r="B1165" t="s">
        <v>27</v>
      </c>
      <c r="C1165" t="s">
        <v>117</v>
      </c>
      <c r="D1165">
        <v>2</v>
      </c>
      <c r="E1165">
        <v>0.95</v>
      </c>
      <c r="F1165">
        <v>-1.05</v>
      </c>
      <c r="G1165">
        <v>1.05</v>
      </c>
      <c r="H1165">
        <v>1</v>
      </c>
      <c r="I1165">
        <v>0</v>
      </c>
      <c r="J1165">
        <v>1</v>
      </c>
      <c r="K1165" t="s">
        <v>33</v>
      </c>
      <c r="L1165" t="s">
        <v>38</v>
      </c>
    </row>
    <row r="1166" spans="1:12">
      <c r="A1166" t="s">
        <v>314</v>
      </c>
      <c r="B1166" t="s">
        <v>27</v>
      </c>
      <c r="C1166" t="s">
        <v>118</v>
      </c>
      <c r="D1166">
        <v>2</v>
      </c>
      <c r="E1166">
        <v>0.95</v>
      </c>
      <c r="F1166">
        <v>-1.05</v>
      </c>
      <c r="G1166">
        <v>1.05</v>
      </c>
      <c r="H1166">
        <v>1</v>
      </c>
      <c r="I1166">
        <v>0</v>
      </c>
      <c r="J1166">
        <v>1</v>
      </c>
      <c r="K1166" t="s">
        <v>33</v>
      </c>
      <c r="L1166" t="s">
        <v>38</v>
      </c>
    </row>
    <row r="1167" spans="1:12">
      <c r="A1167" t="s">
        <v>314</v>
      </c>
      <c r="B1167" t="s">
        <v>27</v>
      </c>
      <c r="C1167" t="s">
        <v>119</v>
      </c>
      <c r="D1167">
        <v>2</v>
      </c>
      <c r="E1167">
        <v>2.15</v>
      </c>
      <c r="F1167">
        <v>0.14999999999999991</v>
      </c>
      <c r="G1167">
        <v>0.14999999999999991</v>
      </c>
      <c r="H1167">
        <v>0</v>
      </c>
      <c r="I1167">
        <v>1</v>
      </c>
      <c r="J1167">
        <v>0</v>
      </c>
      <c r="K1167" t="s">
        <v>34</v>
      </c>
      <c r="L1167" t="s">
        <v>44</v>
      </c>
    </row>
    <row r="1168" spans="1:12">
      <c r="A1168" t="s">
        <v>314</v>
      </c>
      <c r="B1168" t="s">
        <v>27</v>
      </c>
      <c r="C1168" t="s">
        <v>120</v>
      </c>
      <c r="D1168">
        <v>2</v>
      </c>
      <c r="E1168">
        <v>2.15</v>
      </c>
      <c r="F1168">
        <v>0.14999999999999991</v>
      </c>
      <c r="G1168">
        <v>0.14999999999999991</v>
      </c>
      <c r="H1168">
        <v>0</v>
      </c>
      <c r="I1168">
        <v>1</v>
      </c>
      <c r="J1168">
        <v>0</v>
      </c>
      <c r="K1168" t="s">
        <v>34</v>
      </c>
      <c r="L1168" t="s">
        <v>44</v>
      </c>
    </row>
    <row r="1169" spans="1:12">
      <c r="A1169" t="s">
        <v>314</v>
      </c>
      <c r="B1169" t="s">
        <v>27</v>
      </c>
      <c r="C1169" t="s">
        <v>121</v>
      </c>
      <c r="D1169">
        <v>2</v>
      </c>
      <c r="E1169">
        <v>2.15</v>
      </c>
      <c r="F1169">
        <v>0.14999999999999991</v>
      </c>
      <c r="G1169">
        <v>0.14999999999999991</v>
      </c>
      <c r="H1169">
        <v>0</v>
      </c>
      <c r="I1169">
        <v>1</v>
      </c>
      <c r="J1169">
        <v>0</v>
      </c>
      <c r="K1169" t="s">
        <v>34</v>
      </c>
      <c r="L1169" t="s">
        <v>44</v>
      </c>
    </row>
    <row r="1170" spans="1:12">
      <c r="A1170" t="s">
        <v>314</v>
      </c>
      <c r="B1170" t="s">
        <v>27</v>
      </c>
      <c r="C1170" t="s">
        <v>122</v>
      </c>
      <c r="D1170">
        <v>2</v>
      </c>
      <c r="E1170">
        <v>2.15</v>
      </c>
      <c r="F1170">
        <v>0.14999999999999991</v>
      </c>
      <c r="G1170">
        <v>0.14999999999999991</v>
      </c>
      <c r="H1170">
        <v>0</v>
      </c>
      <c r="I1170">
        <v>1</v>
      </c>
      <c r="J1170">
        <v>0</v>
      </c>
      <c r="K1170" t="s">
        <v>34</v>
      </c>
      <c r="L1170" t="s">
        <v>44</v>
      </c>
    </row>
    <row r="1171" spans="1:12">
      <c r="A1171" t="s">
        <v>314</v>
      </c>
      <c r="B1171" t="s">
        <v>27</v>
      </c>
      <c r="C1171" t="s">
        <v>123</v>
      </c>
      <c r="D1171">
        <v>1</v>
      </c>
      <c r="E1171">
        <v>1.19</v>
      </c>
      <c r="F1171">
        <v>0.18999999999999995</v>
      </c>
      <c r="G1171">
        <v>0.18999999999999995</v>
      </c>
      <c r="H1171">
        <v>0</v>
      </c>
      <c r="I1171">
        <v>1</v>
      </c>
      <c r="J1171">
        <v>0</v>
      </c>
      <c r="K1171" t="s">
        <v>34</v>
      </c>
      <c r="L1171" t="s">
        <v>44</v>
      </c>
    </row>
    <row r="1172" spans="1:12">
      <c r="A1172" t="s">
        <v>314</v>
      </c>
      <c r="B1172" t="s">
        <v>27</v>
      </c>
      <c r="C1172" t="s">
        <v>124</v>
      </c>
      <c r="D1172">
        <v>2</v>
      </c>
      <c r="E1172">
        <v>1.19</v>
      </c>
      <c r="F1172">
        <v>-0.81</v>
      </c>
      <c r="G1172">
        <v>0.81</v>
      </c>
      <c r="H1172">
        <v>0</v>
      </c>
      <c r="I1172">
        <v>1</v>
      </c>
      <c r="J1172">
        <v>0</v>
      </c>
      <c r="K1172" t="s">
        <v>34</v>
      </c>
      <c r="L1172" t="s">
        <v>45</v>
      </c>
    </row>
    <row r="1173" spans="1:12">
      <c r="A1173" t="s">
        <v>314</v>
      </c>
      <c r="B1173" t="s">
        <v>27</v>
      </c>
      <c r="C1173" t="s">
        <v>125</v>
      </c>
      <c r="D1173">
        <v>2</v>
      </c>
      <c r="E1173">
        <v>1.19</v>
      </c>
      <c r="F1173">
        <v>-0.81</v>
      </c>
      <c r="G1173">
        <v>0.81</v>
      </c>
      <c r="H1173">
        <v>0</v>
      </c>
      <c r="I1173">
        <v>1</v>
      </c>
      <c r="J1173">
        <v>0</v>
      </c>
      <c r="K1173" t="s">
        <v>34</v>
      </c>
      <c r="L1173" t="s">
        <v>45</v>
      </c>
    </row>
    <row r="1174" spans="1:12">
      <c r="A1174" t="s">
        <v>314</v>
      </c>
      <c r="B1174" t="s">
        <v>27</v>
      </c>
      <c r="C1174" t="s">
        <v>126</v>
      </c>
      <c r="D1174">
        <v>2</v>
      </c>
      <c r="E1174">
        <v>1.19</v>
      </c>
      <c r="F1174">
        <v>-0.81</v>
      </c>
      <c r="G1174">
        <v>0.81</v>
      </c>
      <c r="H1174">
        <v>0</v>
      </c>
      <c r="I1174">
        <v>1</v>
      </c>
      <c r="J1174">
        <v>0</v>
      </c>
      <c r="K1174" t="s">
        <v>34</v>
      </c>
      <c r="L1174" t="s">
        <v>45</v>
      </c>
    </row>
    <row r="1175" spans="1:12">
      <c r="A1175" t="s">
        <v>314</v>
      </c>
      <c r="B1175" t="s">
        <v>27</v>
      </c>
      <c r="C1175" t="s">
        <v>127</v>
      </c>
      <c r="D1175">
        <v>2</v>
      </c>
      <c r="E1175">
        <v>0.47</v>
      </c>
      <c r="F1175">
        <v>-1.53</v>
      </c>
      <c r="G1175">
        <v>1.53</v>
      </c>
      <c r="H1175">
        <v>1</v>
      </c>
      <c r="I1175">
        <v>0</v>
      </c>
      <c r="J1175">
        <v>1</v>
      </c>
      <c r="K1175" t="s">
        <v>33</v>
      </c>
      <c r="L1175" t="s">
        <v>45</v>
      </c>
    </row>
    <row r="1176" spans="1:12">
      <c r="A1176" t="s">
        <v>314</v>
      </c>
      <c r="B1176" t="s">
        <v>27</v>
      </c>
      <c r="C1176" t="s">
        <v>128</v>
      </c>
      <c r="D1176">
        <v>2</v>
      </c>
      <c r="E1176">
        <v>0.47</v>
      </c>
      <c r="F1176">
        <v>-1.53</v>
      </c>
      <c r="G1176">
        <v>1.53</v>
      </c>
      <c r="H1176">
        <v>1</v>
      </c>
      <c r="I1176">
        <v>0</v>
      </c>
      <c r="J1176">
        <v>1</v>
      </c>
      <c r="K1176" t="s">
        <v>33</v>
      </c>
      <c r="L1176" t="s">
        <v>45</v>
      </c>
    </row>
    <row r="1177" spans="1:12">
      <c r="A1177" t="s">
        <v>314</v>
      </c>
      <c r="B1177" t="s">
        <v>27</v>
      </c>
      <c r="C1177" t="s">
        <v>129</v>
      </c>
      <c r="D1177">
        <v>2</v>
      </c>
      <c r="E1177">
        <v>0.47</v>
      </c>
      <c r="F1177">
        <v>-1.53</v>
      </c>
      <c r="G1177">
        <v>1.53</v>
      </c>
      <c r="H1177">
        <v>1</v>
      </c>
      <c r="I1177">
        <v>0</v>
      </c>
      <c r="J1177">
        <v>1</v>
      </c>
      <c r="K1177" t="s">
        <v>33</v>
      </c>
      <c r="L1177" t="s">
        <v>46</v>
      </c>
    </row>
    <row r="1178" spans="1:12">
      <c r="A1178" t="s">
        <v>314</v>
      </c>
      <c r="B1178" t="s">
        <v>27</v>
      </c>
      <c r="C1178" t="s">
        <v>130</v>
      </c>
      <c r="D1178">
        <v>2</v>
      </c>
      <c r="E1178">
        <v>0.47</v>
      </c>
      <c r="F1178">
        <v>-1.53</v>
      </c>
      <c r="G1178">
        <v>1.53</v>
      </c>
      <c r="H1178">
        <v>1</v>
      </c>
      <c r="I1178">
        <v>0</v>
      </c>
      <c r="J1178">
        <v>1</v>
      </c>
      <c r="K1178" t="s">
        <v>33</v>
      </c>
      <c r="L1178" t="s">
        <v>46</v>
      </c>
    </row>
    <row r="1179" spans="1:12">
      <c r="A1179" t="s">
        <v>314</v>
      </c>
      <c r="B1179" t="s">
        <v>27</v>
      </c>
      <c r="C1179" t="s">
        <v>131</v>
      </c>
      <c r="D1179">
        <v>2</v>
      </c>
      <c r="E1179">
        <v>0.47</v>
      </c>
      <c r="F1179">
        <v>-1.53</v>
      </c>
      <c r="G1179">
        <v>1.53</v>
      </c>
      <c r="H1179">
        <v>1</v>
      </c>
      <c r="I1179">
        <v>0</v>
      </c>
      <c r="J1179">
        <v>1</v>
      </c>
      <c r="K1179" t="s">
        <v>33</v>
      </c>
      <c r="L1179" t="s">
        <v>46</v>
      </c>
    </row>
    <row r="1180" spans="1:12">
      <c r="A1180" t="s">
        <v>314</v>
      </c>
      <c r="B1180" t="s">
        <v>27</v>
      </c>
      <c r="C1180" t="s">
        <v>132</v>
      </c>
      <c r="D1180">
        <v>1</v>
      </c>
      <c r="E1180">
        <v>0.47</v>
      </c>
      <c r="F1180">
        <v>-0.53</v>
      </c>
      <c r="G1180">
        <v>0.53</v>
      </c>
      <c r="H1180">
        <v>0</v>
      </c>
      <c r="I1180">
        <v>1</v>
      </c>
      <c r="J1180">
        <v>0</v>
      </c>
      <c r="K1180" t="s">
        <v>34</v>
      </c>
      <c r="L1180" t="s">
        <v>46</v>
      </c>
    </row>
    <row r="1181" spans="1:12">
      <c r="A1181" t="s">
        <v>314</v>
      </c>
      <c r="B1181" t="s">
        <v>27</v>
      </c>
      <c r="C1181" t="s">
        <v>133</v>
      </c>
      <c r="D1181">
        <v>1</v>
      </c>
      <c r="E1181">
        <v>0.47</v>
      </c>
      <c r="F1181">
        <v>-0.53</v>
      </c>
      <c r="G1181">
        <v>0.53</v>
      </c>
      <c r="H1181">
        <v>0</v>
      </c>
      <c r="I1181">
        <v>1</v>
      </c>
      <c r="J1181">
        <v>0</v>
      </c>
      <c r="K1181" t="s">
        <v>34</v>
      </c>
      <c r="L1181" t="s">
        <v>46</v>
      </c>
    </row>
    <row r="1182" spans="1:12">
      <c r="A1182" t="s">
        <v>314</v>
      </c>
      <c r="B1182" t="s">
        <v>27</v>
      </c>
      <c r="C1182" t="s">
        <v>134</v>
      </c>
      <c r="D1182">
        <v>2</v>
      </c>
      <c r="E1182">
        <v>0.47</v>
      </c>
      <c r="F1182">
        <v>-1.53</v>
      </c>
      <c r="G1182">
        <v>1.53</v>
      </c>
      <c r="H1182">
        <v>1</v>
      </c>
      <c r="I1182">
        <v>0</v>
      </c>
      <c r="J1182">
        <v>1</v>
      </c>
      <c r="K1182" t="s">
        <v>33</v>
      </c>
      <c r="L1182" t="s">
        <v>47</v>
      </c>
    </row>
    <row r="1183" spans="1:12">
      <c r="A1183" t="s">
        <v>314</v>
      </c>
      <c r="B1183" t="s">
        <v>27</v>
      </c>
      <c r="C1183" t="s">
        <v>135</v>
      </c>
      <c r="D1183">
        <v>2</v>
      </c>
      <c r="E1183">
        <v>0.47</v>
      </c>
      <c r="F1183">
        <v>-1.53</v>
      </c>
      <c r="G1183">
        <v>1.53</v>
      </c>
      <c r="H1183">
        <v>1</v>
      </c>
      <c r="I1183">
        <v>0</v>
      </c>
      <c r="J1183">
        <v>1</v>
      </c>
      <c r="K1183" t="s">
        <v>33</v>
      </c>
      <c r="L1183" t="s">
        <v>47</v>
      </c>
    </row>
    <row r="1184" spans="1:12">
      <c r="A1184" t="s">
        <v>314</v>
      </c>
      <c r="B1184" t="s">
        <v>27</v>
      </c>
      <c r="C1184" t="s">
        <v>136</v>
      </c>
      <c r="D1184">
        <v>2</v>
      </c>
      <c r="E1184">
        <v>0.47</v>
      </c>
      <c r="F1184">
        <v>-1.53</v>
      </c>
      <c r="G1184">
        <v>1.53</v>
      </c>
      <c r="H1184">
        <v>1</v>
      </c>
      <c r="I1184">
        <v>0</v>
      </c>
      <c r="J1184">
        <v>1</v>
      </c>
      <c r="K1184" t="s">
        <v>33</v>
      </c>
      <c r="L1184" t="s">
        <v>47</v>
      </c>
    </row>
    <row r="1185" spans="1:12">
      <c r="A1185" t="s">
        <v>314</v>
      </c>
      <c r="B1185" t="s">
        <v>27</v>
      </c>
      <c r="C1185" t="s">
        <v>137</v>
      </c>
      <c r="D1185">
        <v>2</v>
      </c>
      <c r="E1185">
        <v>0.47</v>
      </c>
      <c r="F1185">
        <v>-1.53</v>
      </c>
      <c r="G1185">
        <v>1.53</v>
      </c>
      <c r="H1185">
        <v>1</v>
      </c>
      <c r="I1185">
        <v>0</v>
      </c>
      <c r="J1185">
        <v>1</v>
      </c>
      <c r="K1185" t="s">
        <v>33</v>
      </c>
      <c r="L1185" t="s">
        <v>47</v>
      </c>
    </row>
    <row r="1186" spans="1:12">
      <c r="A1186" t="s">
        <v>314</v>
      </c>
      <c r="B1186" t="s">
        <v>27</v>
      </c>
      <c r="C1186" t="s">
        <v>138</v>
      </c>
      <c r="D1186">
        <v>2</v>
      </c>
      <c r="E1186">
        <v>0.47</v>
      </c>
      <c r="F1186">
        <v>-1.53</v>
      </c>
      <c r="G1186">
        <v>1.53</v>
      </c>
      <c r="H1186">
        <v>1</v>
      </c>
      <c r="I1186">
        <v>0</v>
      </c>
      <c r="J1186">
        <v>1</v>
      </c>
      <c r="K1186" t="s">
        <v>33</v>
      </c>
      <c r="L1186" t="s">
        <v>47</v>
      </c>
    </row>
    <row r="1187" spans="1:12">
      <c r="A1187" t="s">
        <v>314</v>
      </c>
      <c r="B1187" t="s">
        <v>27</v>
      </c>
      <c r="C1187" t="s">
        <v>139</v>
      </c>
      <c r="D1187">
        <v>2</v>
      </c>
      <c r="E1187">
        <v>0.47</v>
      </c>
      <c r="F1187">
        <v>-1.53</v>
      </c>
      <c r="G1187">
        <v>1.53</v>
      </c>
      <c r="H1187">
        <v>1</v>
      </c>
      <c r="I1187">
        <v>0</v>
      </c>
      <c r="J1187">
        <v>1</v>
      </c>
      <c r="K1187" t="s">
        <v>33</v>
      </c>
      <c r="L1187" t="s">
        <v>42</v>
      </c>
    </row>
    <row r="1188" spans="1:12">
      <c r="A1188" t="s">
        <v>314</v>
      </c>
      <c r="B1188" t="s">
        <v>27</v>
      </c>
      <c r="C1188" t="s">
        <v>140</v>
      </c>
      <c r="D1188">
        <v>1</v>
      </c>
      <c r="E1188">
        <v>0.47</v>
      </c>
      <c r="F1188">
        <v>-0.53</v>
      </c>
      <c r="G1188">
        <v>0.53</v>
      </c>
      <c r="H1188">
        <v>0</v>
      </c>
      <c r="I1188">
        <v>1</v>
      </c>
      <c r="J1188">
        <v>0</v>
      </c>
      <c r="K1188" t="s">
        <v>34</v>
      </c>
      <c r="L1188" t="s">
        <v>42</v>
      </c>
    </row>
    <row r="1189" spans="1:12">
      <c r="A1189" t="s">
        <v>314</v>
      </c>
      <c r="B1189" t="s">
        <v>27</v>
      </c>
      <c r="C1189" t="s">
        <v>141</v>
      </c>
      <c r="D1189">
        <v>2</v>
      </c>
      <c r="E1189">
        <v>0.47</v>
      </c>
      <c r="F1189">
        <v>-1.53</v>
      </c>
      <c r="G1189">
        <v>1.53</v>
      </c>
      <c r="H1189">
        <v>1</v>
      </c>
      <c r="I1189">
        <v>0</v>
      </c>
      <c r="J1189">
        <v>1</v>
      </c>
      <c r="K1189" t="s">
        <v>33</v>
      </c>
      <c r="L1189" t="s">
        <v>42</v>
      </c>
    </row>
    <row r="1190" spans="1:12">
      <c r="A1190" t="s">
        <v>314</v>
      </c>
      <c r="B1190" t="s">
        <v>27</v>
      </c>
      <c r="C1190" t="s">
        <v>142</v>
      </c>
      <c r="D1190">
        <v>3</v>
      </c>
      <c r="E1190">
        <v>0.47</v>
      </c>
      <c r="F1190">
        <v>-2.5300000000000002</v>
      </c>
      <c r="G1190">
        <v>2.5300000000000002</v>
      </c>
      <c r="H1190">
        <v>1</v>
      </c>
      <c r="I1190">
        <v>0</v>
      </c>
      <c r="J1190">
        <v>1</v>
      </c>
      <c r="K1190" t="s">
        <v>36</v>
      </c>
      <c r="L1190" t="s">
        <v>42</v>
      </c>
    </row>
    <row r="1191" spans="1:12">
      <c r="A1191" t="s">
        <v>314</v>
      </c>
      <c r="B1191" t="s">
        <v>27</v>
      </c>
      <c r="C1191" t="s">
        <v>143</v>
      </c>
      <c r="D1191">
        <v>4</v>
      </c>
      <c r="E1191">
        <v>0.47</v>
      </c>
      <c r="F1191">
        <v>-3.5300000000000002</v>
      </c>
      <c r="G1191">
        <v>3.5300000000000002</v>
      </c>
      <c r="H1191">
        <v>1</v>
      </c>
      <c r="I1191">
        <v>0</v>
      </c>
      <c r="J1191">
        <v>1</v>
      </c>
      <c r="K1191" t="s">
        <v>36</v>
      </c>
      <c r="L1191" t="s">
        <v>42</v>
      </c>
    </row>
    <row r="1192" spans="1:12">
      <c r="A1192" t="s">
        <v>314</v>
      </c>
      <c r="B1192" t="s">
        <v>27</v>
      </c>
      <c r="C1192" t="s">
        <v>144</v>
      </c>
      <c r="D1192">
        <v>4</v>
      </c>
      <c r="E1192">
        <v>0.47</v>
      </c>
      <c r="F1192">
        <v>-3.5300000000000002</v>
      </c>
      <c r="G1192">
        <v>3.5300000000000002</v>
      </c>
      <c r="H1192">
        <v>1</v>
      </c>
      <c r="I1192">
        <v>0</v>
      </c>
      <c r="J1192">
        <v>1</v>
      </c>
      <c r="K1192" t="s">
        <v>36</v>
      </c>
      <c r="L1192" t="s">
        <v>43</v>
      </c>
    </row>
    <row r="1193" spans="1:12">
      <c r="A1193" t="s">
        <v>314</v>
      </c>
      <c r="B1193" t="s">
        <v>27</v>
      </c>
      <c r="C1193" t="s">
        <v>145</v>
      </c>
      <c r="D1193">
        <v>4</v>
      </c>
      <c r="E1193">
        <v>0.47</v>
      </c>
      <c r="F1193">
        <v>-3.5300000000000002</v>
      </c>
      <c r="G1193">
        <v>3.5300000000000002</v>
      </c>
      <c r="H1193">
        <v>1</v>
      </c>
      <c r="I1193">
        <v>0</v>
      </c>
      <c r="J1193">
        <v>1</v>
      </c>
      <c r="K1193" t="s">
        <v>36</v>
      </c>
      <c r="L1193" t="s">
        <v>43</v>
      </c>
    </row>
    <row r="1194" spans="1:12">
      <c r="A1194" t="s">
        <v>314</v>
      </c>
      <c r="B1194" t="s">
        <v>27</v>
      </c>
      <c r="C1194" t="s">
        <v>146</v>
      </c>
      <c r="D1194">
        <v>4</v>
      </c>
      <c r="E1194">
        <v>0.47</v>
      </c>
      <c r="F1194">
        <v>-3.5300000000000002</v>
      </c>
      <c r="G1194">
        <v>3.5300000000000002</v>
      </c>
      <c r="H1194">
        <v>1</v>
      </c>
      <c r="I1194">
        <v>0</v>
      </c>
      <c r="J1194">
        <v>1</v>
      </c>
      <c r="K1194" t="s">
        <v>36</v>
      </c>
      <c r="L1194" t="s">
        <v>43</v>
      </c>
    </row>
    <row r="1195" spans="1:12">
      <c r="A1195" t="s">
        <v>314</v>
      </c>
      <c r="B1195" t="s">
        <v>27</v>
      </c>
      <c r="C1195" t="s">
        <v>147</v>
      </c>
      <c r="D1195">
        <v>4</v>
      </c>
      <c r="E1195">
        <v>0.47</v>
      </c>
      <c r="F1195">
        <v>-3.5300000000000002</v>
      </c>
      <c r="G1195">
        <v>3.5300000000000002</v>
      </c>
      <c r="H1195">
        <v>1</v>
      </c>
      <c r="I1195">
        <v>0</v>
      </c>
      <c r="J1195">
        <v>1</v>
      </c>
      <c r="K1195" t="s">
        <v>36</v>
      </c>
      <c r="L1195" t="s">
        <v>43</v>
      </c>
    </row>
    <row r="1196" spans="1:12">
      <c r="A1196" t="s">
        <v>314</v>
      </c>
      <c r="B1196" t="s">
        <v>27</v>
      </c>
      <c r="C1196" t="s">
        <v>148</v>
      </c>
      <c r="D1196">
        <v>5</v>
      </c>
      <c r="E1196">
        <v>0.47</v>
      </c>
      <c r="F1196">
        <v>-4.53</v>
      </c>
      <c r="G1196">
        <v>4.53</v>
      </c>
      <c r="H1196">
        <v>1</v>
      </c>
      <c r="I1196">
        <v>0</v>
      </c>
      <c r="J1196">
        <v>1</v>
      </c>
      <c r="K1196" t="s">
        <v>36</v>
      </c>
      <c r="L1196" t="s">
        <v>43</v>
      </c>
    </row>
    <row r="1197" spans="1:12">
      <c r="A1197" t="s">
        <v>314</v>
      </c>
      <c r="B1197" t="s">
        <v>27</v>
      </c>
      <c r="C1197" t="s">
        <v>149</v>
      </c>
      <c r="D1197">
        <v>5</v>
      </c>
      <c r="E1197">
        <v>0.47</v>
      </c>
      <c r="F1197">
        <v>-4.53</v>
      </c>
      <c r="G1197">
        <v>4.53</v>
      </c>
      <c r="H1197">
        <v>1</v>
      </c>
      <c r="I1197">
        <v>0</v>
      </c>
      <c r="J1197">
        <v>1</v>
      </c>
      <c r="K1197" t="s">
        <v>36</v>
      </c>
      <c r="L1197" t="s">
        <v>48</v>
      </c>
    </row>
    <row r="1198" spans="1:12">
      <c r="A1198" t="s">
        <v>314</v>
      </c>
      <c r="B1198" t="s">
        <v>27</v>
      </c>
      <c r="C1198" t="s">
        <v>150</v>
      </c>
      <c r="D1198">
        <v>5</v>
      </c>
      <c r="E1198">
        <v>0.47</v>
      </c>
      <c r="F1198">
        <v>-4.53</v>
      </c>
      <c r="G1198">
        <v>4.53</v>
      </c>
      <c r="H1198">
        <v>1</v>
      </c>
      <c r="I1198">
        <v>0</v>
      </c>
      <c r="J1198">
        <v>1</v>
      </c>
      <c r="K1198" t="s">
        <v>36</v>
      </c>
      <c r="L1198" t="s">
        <v>48</v>
      </c>
    </row>
    <row r="1199" spans="1:12">
      <c r="A1199" t="s">
        <v>314</v>
      </c>
      <c r="B1199" t="s">
        <v>27</v>
      </c>
      <c r="C1199" t="s">
        <v>151</v>
      </c>
      <c r="D1199">
        <v>5</v>
      </c>
      <c r="E1199">
        <v>0.47</v>
      </c>
      <c r="F1199">
        <v>-4.53</v>
      </c>
      <c r="G1199">
        <v>4.53</v>
      </c>
      <c r="H1199">
        <v>1</v>
      </c>
      <c r="I1199">
        <v>0</v>
      </c>
      <c r="J1199">
        <v>1</v>
      </c>
      <c r="K1199" t="s">
        <v>36</v>
      </c>
      <c r="L1199" t="s">
        <v>48</v>
      </c>
    </row>
    <row r="1200" spans="1:12">
      <c r="A1200" t="s">
        <v>314</v>
      </c>
      <c r="B1200" t="s">
        <v>27</v>
      </c>
      <c r="C1200" t="s">
        <v>152</v>
      </c>
      <c r="D1200">
        <v>5</v>
      </c>
      <c r="E1200">
        <v>0.47</v>
      </c>
      <c r="F1200">
        <v>-4.53</v>
      </c>
      <c r="G1200">
        <v>4.53</v>
      </c>
      <c r="H1200">
        <v>1</v>
      </c>
      <c r="I1200">
        <v>0</v>
      </c>
      <c r="J1200">
        <v>1</v>
      </c>
      <c r="K1200" t="s">
        <v>36</v>
      </c>
      <c r="L1200" t="s">
        <v>48</v>
      </c>
    </row>
    <row r="1201" spans="1:12">
      <c r="A1201" t="s">
        <v>314</v>
      </c>
      <c r="B1201" t="s">
        <v>27</v>
      </c>
      <c r="C1201" t="s">
        <v>153</v>
      </c>
      <c r="D1201">
        <v>5</v>
      </c>
      <c r="E1201">
        <v>0.47</v>
      </c>
      <c r="F1201">
        <v>-4.53</v>
      </c>
      <c r="G1201">
        <v>4.53</v>
      </c>
      <c r="H1201">
        <v>1</v>
      </c>
      <c r="I1201">
        <v>0</v>
      </c>
      <c r="J1201">
        <v>1</v>
      </c>
      <c r="K1201" t="s">
        <v>36</v>
      </c>
      <c r="L1201" t="s">
        <v>48</v>
      </c>
    </row>
    <row r="1202" spans="1:12">
      <c r="A1202" t="s">
        <v>317</v>
      </c>
      <c r="B1202" t="s">
        <v>30</v>
      </c>
      <c r="C1202" t="s">
        <v>76</v>
      </c>
      <c r="D1202">
        <v>2</v>
      </c>
      <c r="E1202">
        <v>1.61</v>
      </c>
      <c r="F1202">
        <v>-0.3899999999999999</v>
      </c>
      <c r="G1202">
        <v>0.3899999999999999</v>
      </c>
      <c r="H1202">
        <v>0</v>
      </c>
      <c r="I1202">
        <v>1</v>
      </c>
      <c r="J1202">
        <v>0</v>
      </c>
      <c r="K1202" t="s">
        <v>34</v>
      </c>
      <c r="L1202" t="s">
        <v>49</v>
      </c>
    </row>
    <row r="1203" spans="1:12">
      <c r="A1203" t="s">
        <v>317</v>
      </c>
      <c r="B1203" t="s">
        <v>30</v>
      </c>
      <c r="C1203" t="s">
        <v>77</v>
      </c>
      <c r="D1203">
        <v>2</v>
      </c>
      <c r="E1203">
        <v>1.61</v>
      </c>
      <c r="F1203">
        <v>-0.3899999999999999</v>
      </c>
      <c r="G1203">
        <v>0.3899999999999999</v>
      </c>
      <c r="H1203">
        <v>0</v>
      </c>
      <c r="I1203">
        <v>1</v>
      </c>
      <c r="J1203">
        <v>0</v>
      </c>
      <c r="K1203" t="s">
        <v>34</v>
      </c>
      <c r="L1203" t="s">
        <v>49</v>
      </c>
    </row>
    <row r="1204" spans="1:12">
      <c r="A1204" t="s">
        <v>317</v>
      </c>
      <c r="B1204" t="s">
        <v>30</v>
      </c>
      <c r="C1204" t="s">
        <v>78</v>
      </c>
      <c r="D1204">
        <v>2</v>
      </c>
      <c r="E1204">
        <v>1.61</v>
      </c>
      <c r="F1204">
        <v>-0.3899999999999999</v>
      </c>
      <c r="G1204">
        <v>0.3899999999999999</v>
      </c>
      <c r="H1204">
        <v>0</v>
      </c>
      <c r="I1204">
        <v>1</v>
      </c>
      <c r="J1204">
        <v>0</v>
      </c>
      <c r="K1204" t="s">
        <v>34</v>
      </c>
      <c r="L1204" t="s">
        <v>49</v>
      </c>
    </row>
    <row r="1205" spans="1:12">
      <c r="A1205" t="s">
        <v>317</v>
      </c>
      <c r="B1205" t="s">
        <v>30</v>
      </c>
      <c r="C1205" t="s">
        <v>79</v>
      </c>
      <c r="D1205">
        <v>2</v>
      </c>
      <c r="E1205">
        <v>1.61</v>
      </c>
      <c r="F1205">
        <v>-0.3899999999999999</v>
      </c>
      <c r="G1205">
        <v>0.3899999999999999</v>
      </c>
      <c r="H1205">
        <v>0</v>
      </c>
      <c r="I1205">
        <v>1</v>
      </c>
      <c r="J1205">
        <v>0</v>
      </c>
      <c r="K1205" t="s">
        <v>34</v>
      </c>
      <c r="L1205" t="s">
        <v>49</v>
      </c>
    </row>
    <row r="1206" spans="1:12">
      <c r="A1206" t="s">
        <v>317</v>
      </c>
      <c r="B1206" t="s">
        <v>30</v>
      </c>
      <c r="C1206" t="s">
        <v>80</v>
      </c>
      <c r="D1206">
        <v>2</v>
      </c>
      <c r="E1206">
        <v>1.61</v>
      </c>
      <c r="F1206">
        <v>-0.3899999999999999</v>
      </c>
      <c r="G1206">
        <v>0.3899999999999999</v>
      </c>
      <c r="H1206">
        <v>0</v>
      </c>
      <c r="I1206">
        <v>1</v>
      </c>
      <c r="J1206">
        <v>0</v>
      </c>
      <c r="K1206" t="s">
        <v>34</v>
      </c>
      <c r="L1206" t="s">
        <v>49</v>
      </c>
    </row>
    <row r="1207" spans="1:12">
      <c r="A1207" t="s">
        <v>317</v>
      </c>
      <c r="B1207" t="s">
        <v>30</v>
      </c>
      <c r="C1207" t="s">
        <v>81</v>
      </c>
      <c r="D1207">
        <v>2</v>
      </c>
      <c r="E1207">
        <v>1.61</v>
      </c>
      <c r="F1207">
        <v>-0.3899999999999999</v>
      </c>
      <c r="G1207">
        <v>0.3899999999999999</v>
      </c>
      <c r="H1207">
        <v>0</v>
      </c>
      <c r="I1207">
        <v>1</v>
      </c>
      <c r="J1207">
        <v>0</v>
      </c>
      <c r="K1207" t="s">
        <v>34</v>
      </c>
      <c r="L1207" t="s">
        <v>49</v>
      </c>
    </row>
    <row r="1208" spans="1:12">
      <c r="A1208" t="s">
        <v>317</v>
      </c>
      <c r="B1208" t="s">
        <v>30</v>
      </c>
      <c r="C1208" t="s">
        <v>82</v>
      </c>
      <c r="D1208">
        <v>2</v>
      </c>
      <c r="E1208">
        <v>1.61</v>
      </c>
      <c r="F1208">
        <v>-0.3899999999999999</v>
      </c>
      <c r="G1208">
        <v>0.3899999999999999</v>
      </c>
      <c r="H1208">
        <v>0</v>
      </c>
      <c r="I1208">
        <v>1</v>
      </c>
      <c r="J1208">
        <v>0</v>
      </c>
      <c r="K1208" t="s">
        <v>34</v>
      </c>
      <c r="L1208" t="s">
        <v>49</v>
      </c>
    </row>
    <row r="1209" spans="1:12">
      <c r="A1209" t="s">
        <v>317</v>
      </c>
      <c r="B1209" t="s">
        <v>30</v>
      </c>
      <c r="C1209" t="s">
        <v>83</v>
      </c>
      <c r="D1209">
        <v>1</v>
      </c>
      <c r="E1209">
        <v>1.61</v>
      </c>
      <c r="F1209">
        <v>0.6100000000000001</v>
      </c>
      <c r="G1209">
        <v>0.6100000000000001</v>
      </c>
      <c r="H1209">
        <v>0</v>
      </c>
      <c r="I1209">
        <v>1</v>
      </c>
      <c r="J1209">
        <v>0</v>
      </c>
      <c r="K1209" t="s">
        <v>34</v>
      </c>
      <c r="L1209" t="s">
        <v>49</v>
      </c>
    </row>
    <row r="1210" spans="1:12">
      <c r="A1210" t="s">
        <v>317</v>
      </c>
      <c r="B1210" t="s">
        <v>30</v>
      </c>
      <c r="C1210" t="s">
        <v>84</v>
      </c>
      <c r="D1210">
        <v>1</v>
      </c>
      <c r="E1210">
        <v>1.61</v>
      </c>
      <c r="F1210">
        <v>0.6100000000000001</v>
      </c>
      <c r="G1210">
        <v>0.6100000000000001</v>
      </c>
      <c r="H1210">
        <v>0</v>
      </c>
      <c r="I1210">
        <v>1</v>
      </c>
      <c r="J1210">
        <v>0</v>
      </c>
      <c r="K1210" t="s">
        <v>34</v>
      </c>
      <c r="L1210" t="s">
        <v>49</v>
      </c>
    </row>
    <row r="1211" spans="1:12">
      <c r="A1211" t="s">
        <v>317</v>
      </c>
      <c r="B1211" t="s">
        <v>30</v>
      </c>
      <c r="C1211" t="s">
        <v>85</v>
      </c>
      <c r="D1211">
        <v>2</v>
      </c>
      <c r="E1211">
        <v>1.61</v>
      </c>
      <c r="F1211">
        <v>-0.3899999999999999</v>
      </c>
      <c r="G1211">
        <v>0.3899999999999999</v>
      </c>
      <c r="H1211">
        <v>0</v>
      </c>
      <c r="I1211">
        <v>1</v>
      </c>
      <c r="J1211">
        <v>0</v>
      </c>
      <c r="K1211" t="s">
        <v>34</v>
      </c>
      <c r="L1211" t="s">
        <v>49</v>
      </c>
    </row>
    <row r="1212" spans="1:12">
      <c r="A1212" t="s">
        <v>317</v>
      </c>
      <c r="B1212" t="s">
        <v>30</v>
      </c>
      <c r="C1212" t="s">
        <v>86</v>
      </c>
      <c r="D1212">
        <v>2</v>
      </c>
      <c r="E1212">
        <v>1.61</v>
      </c>
      <c r="F1212">
        <v>-0.3899999999999999</v>
      </c>
      <c r="G1212">
        <v>0.3899999999999999</v>
      </c>
      <c r="H1212">
        <v>0</v>
      </c>
      <c r="I1212">
        <v>1</v>
      </c>
      <c r="J1212">
        <v>0</v>
      </c>
      <c r="K1212" t="s">
        <v>34</v>
      </c>
      <c r="L1212" t="s">
        <v>50</v>
      </c>
    </row>
    <row r="1213" spans="1:12">
      <c r="A1213" t="s">
        <v>317</v>
      </c>
      <c r="B1213" t="s">
        <v>30</v>
      </c>
      <c r="C1213" t="s">
        <v>87</v>
      </c>
      <c r="D1213">
        <v>2</v>
      </c>
      <c r="E1213">
        <v>1.61</v>
      </c>
      <c r="F1213">
        <v>-0.3899999999999999</v>
      </c>
      <c r="G1213">
        <v>0.3899999999999999</v>
      </c>
      <c r="H1213">
        <v>0</v>
      </c>
      <c r="I1213">
        <v>1</v>
      </c>
      <c r="J1213">
        <v>0</v>
      </c>
      <c r="K1213" t="s">
        <v>34</v>
      </c>
      <c r="L1213" t="s">
        <v>50</v>
      </c>
    </row>
    <row r="1214" spans="1:12">
      <c r="A1214" t="s">
        <v>317</v>
      </c>
      <c r="B1214" t="s">
        <v>30</v>
      </c>
      <c r="C1214" t="s">
        <v>88</v>
      </c>
      <c r="D1214">
        <v>2</v>
      </c>
      <c r="E1214">
        <v>1.61</v>
      </c>
      <c r="F1214">
        <v>-0.3899999999999999</v>
      </c>
      <c r="G1214">
        <v>0.3899999999999999</v>
      </c>
      <c r="H1214">
        <v>0</v>
      </c>
      <c r="I1214">
        <v>1</v>
      </c>
      <c r="J1214">
        <v>0</v>
      </c>
      <c r="K1214" t="s">
        <v>34</v>
      </c>
      <c r="L1214" t="s">
        <v>50</v>
      </c>
    </row>
    <row r="1215" spans="1:12">
      <c r="A1215" t="s">
        <v>317</v>
      </c>
      <c r="B1215" t="s">
        <v>30</v>
      </c>
      <c r="C1215" t="s">
        <v>89</v>
      </c>
      <c r="D1215">
        <v>2</v>
      </c>
      <c r="E1215">
        <v>0.72</v>
      </c>
      <c r="F1215">
        <v>-1.28</v>
      </c>
      <c r="G1215">
        <v>1.28</v>
      </c>
      <c r="H1215">
        <v>1</v>
      </c>
      <c r="I1215">
        <v>0</v>
      </c>
      <c r="J1215">
        <v>1</v>
      </c>
      <c r="K1215" t="s">
        <v>33</v>
      </c>
      <c r="L1215" t="s">
        <v>50</v>
      </c>
    </row>
    <row r="1216" spans="1:12">
      <c r="A1216" t="s">
        <v>317</v>
      </c>
      <c r="B1216" t="s">
        <v>30</v>
      </c>
      <c r="C1216" t="s">
        <v>90</v>
      </c>
      <c r="D1216">
        <v>2</v>
      </c>
      <c r="E1216">
        <v>0.72</v>
      </c>
      <c r="F1216">
        <v>-1.28</v>
      </c>
      <c r="G1216">
        <v>1.28</v>
      </c>
      <c r="H1216">
        <v>1</v>
      </c>
      <c r="I1216">
        <v>0</v>
      </c>
      <c r="J1216">
        <v>1</v>
      </c>
      <c r="K1216" t="s">
        <v>33</v>
      </c>
      <c r="L1216" t="s">
        <v>50</v>
      </c>
    </row>
    <row r="1217" spans="1:12">
      <c r="A1217" t="s">
        <v>317</v>
      </c>
      <c r="B1217" t="s">
        <v>30</v>
      </c>
      <c r="C1217" t="s">
        <v>91</v>
      </c>
      <c r="D1217">
        <v>1</v>
      </c>
      <c r="E1217">
        <v>0.72</v>
      </c>
      <c r="F1217">
        <v>-0.28000000000000003</v>
      </c>
      <c r="G1217">
        <v>0.28000000000000003</v>
      </c>
      <c r="H1217">
        <v>0</v>
      </c>
      <c r="I1217">
        <v>1</v>
      </c>
      <c r="J1217">
        <v>0</v>
      </c>
      <c r="K1217" t="s">
        <v>34</v>
      </c>
      <c r="L1217" t="s">
        <v>50</v>
      </c>
    </row>
    <row r="1218" spans="1:12">
      <c r="A1218" t="s">
        <v>317</v>
      </c>
      <c r="B1218" t="s">
        <v>30</v>
      </c>
      <c r="C1218" t="s">
        <v>92</v>
      </c>
      <c r="D1218">
        <v>2</v>
      </c>
      <c r="E1218">
        <v>0.72</v>
      </c>
      <c r="F1218">
        <v>-1.28</v>
      </c>
      <c r="G1218">
        <v>1.28</v>
      </c>
      <c r="H1218">
        <v>1</v>
      </c>
      <c r="I1218">
        <v>0</v>
      </c>
      <c r="J1218">
        <v>1</v>
      </c>
      <c r="K1218" t="s">
        <v>33</v>
      </c>
      <c r="L1218" t="s">
        <v>50</v>
      </c>
    </row>
    <row r="1219" spans="1:12">
      <c r="A1219" t="s">
        <v>317</v>
      </c>
      <c r="B1219" t="s">
        <v>30</v>
      </c>
      <c r="C1219" t="s">
        <v>93</v>
      </c>
      <c r="D1219">
        <v>2</v>
      </c>
      <c r="E1219">
        <v>1.61</v>
      </c>
      <c r="F1219">
        <v>-0.3899999999999999</v>
      </c>
      <c r="G1219">
        <v>0.3899999999999999</v>
      </c>
      <c r="H1219">
        <v>0</v>
      </c>
      <c r="I1219">
        <v>1</v>
      </c>
      <c r="J1219">
        <v>0</v>
      </c>
      <c r="K1219" t="s">
        <v>34</v>
      </c>
      <c r="L1219" t="s">
        <v>50</v>
      </c>
    </row>
    <row r="1220" spans="1:12">
      <c r="A1220" t="s">
        <v>317</v>
      </c>
      <c r="B1220" t="s">
        <v>30</v>
      </c>
      <c r="C1220" t="s">
        <v>94</v>
      </c>
      <c r="D1220">
        <v>2</v>
      </c>
      <c r="E1220">
        <v>1.61</v>
      </c>
      <c r="F1220">
        <v>-0.3899999999999999</v>
      </c>
      <c r="G1220">
        <v>0.3899999999999999</v>
      </c>
      <c r="H1220">
        <v>0</v>
      </c>
      <c r="I1220">
        <v>1</v>
      </c>
      <c r="J1220">
        <v>0</v>
      </c>
      <c r="K1220" t="s">
        <v>34</v>
      </c>
      <c r="L1220" t="s">
        <v>50</v>
      </c>
    </row>
    <row r="1221" spans="1:12">
      <c r="A1221" t="s">
        <v>317</v>
      </c>
      <c r="B1221" t="s">
        <v>30</v>
      </c>
      <c r="C1221" t="s">
        <v>95</v>
      </c>
      <c r="D1221">
        <v>2</v>
      </c>
      <c r="E1221">
        <v>1.61</v>
      </c>
      <c r="F1221">
        <v>-0.3899999999999999</v>
      </c>
      <c r="G1221">
        <v>0.3899999999999999</v>
      </c>
      <c r="H1221">
        <v>0</v>
      </c>
      <c r="I1221">
        <v>1</v>
      </c>
      <c r="J1221">
        <v>0</v>
      </c>
      <c r="K1221" t="s">
        <v>34</v>
      </c>
      <c r="L1221" t="s">
        <v>50</v>
      </c>
    </row>
    <row r="1222" spans="1:12">
      <c r="A1222" t="s">
        <v>317</v>
      </c>
      <c r="B1222" t="s">
        <v>30</v>
      </c>
      <c r="C1222" t="s">
        <v>96</v>
      </c>
      <c r="D1222">
        <v>2</v>
      </c>
      <c r="E1222">
        <v>1.61</v>
      </c>
      <c r="F1222">
        <v>-0.3899999999999999</v>
      </c>
      <c r="G1222">
        <v>0.3899999999999999</v>
      </c>
      <c r="H1222">
        <v>0</v>
      </c>
      <c r="I1222">
        <v>1</v>
      </c>
      <c r="J1222">
        <v>0</v>
      </c>
      <c r="K1222" t="s">
        <v>34</v>
      </c>
      <c r="L1222" t="s">
        <v>40</v>
      </c>
    </row>
    <row r="1223" spans="1:12">
      <c r="A1223" t="s">
        <v>317</v>
      </c>
      <c r="B1223" t="s">
        <v>30</v>
      </c>
      <c r="C1223" t="s">
        <v>31</v>
      </c>
      <c r="D1223">
        <v>2</v>
      </c>
      <c r="E1223">
        <v>1.61</v>
      </c>
      <c r="F1223">
        <v>-0.3899999999999999</v>
      </c>
      <c r="G1223">
        <v>0.3899999999999999</v>
      </c>
      <c r="H1223">
        <v>0</v>
      </c>
      <c r="I1223">
        <v>1</v>
      </c>
      <c r="J1223">
        <v>0</v>
      </c>
      <c r="K1223" t="s">
        <v>34</v>
      </c>
      <c r="L1223" t="s">
        <v>40</v>
      </c>
    </row>
    <row r="1224" spans="1:12">
      <c r="A1224" t="s">
        <v>317</v>
      </c>
      <c r="B1224" t="s">
        <v>30</v>
      </c>
      <c r="C1224" t="s">
        <v>30</v>
      </c>
      <c r="D1224">
        <v>2</v>
      </c>
      <c r="E1224">
        <v>1.61</v>
      </c>
      <c r="F1224">
        <v>-0.3899999999999999</v>
      </c>
      <c r="G1224">
        <v>0.3899999999999999</v>
      </c>
      <c r="H1224">
        <v>0</v>
      </c>
      <c r="I1224">
        <v>1</v>
      </c>
      <c r="J1224">
        <v>0</v>
      </c>
      <c r="K1224" t="s">
        <v>34</v>
      </c>
      <c r="L1224" t="s">
        <v>40</v>
      </c>
    </row>
    <row r="1225" spans="1:12">
      <c r="A1225" t="s">
        <v>317</v>
      </c>
      <c r="B1225" t="s">
        <v>30</v>
      </c>
      <c r="C1225" t="s">
        <v>97</v>
      </c>
      <c r="D1225">
        <v>2</v>
      </c>
      <c r="E1225">
        <v>1.61</v>
      </c>
      <c r="F1225">
        <v>-0.3899999999999999</v>
      </c>
      <c r="G1225">
        <v>0.3899999999999999</v>
      </c>
      <c r="H1225">
        <v>0</v>
      </c>
      <c r="I1225">
        <v>1</v>
      </c>
      <c r="J1225">
        <v>0</v>
      </c>
      <c r="K1225" t="s">
        <v>34</v>
      </c>
      <c r="L1225" t="s">
        <v>40</v>
      </c>
    </row>
    <row r="1226" spans="1:12">
      <c r="A1226" t="s">
        <v>317</v>
      </c>
      <c r="B1226" t="s">
        <v>30</v>
      </c>
      <c r="C1226" t="s">
        <v>98</v>
      </c>
      <c r="D1226">
        <v>1</v>
      </c>
      <c r="E1226">
        <v>1.61</v>
      </c>
      <c r="F1226">
        <v>0.6100000000000001</v>
      </c>
      <c r="G1226">
        <v>0.6100000000000001</v>
      </c>
      <c r="H1226">
        <v>0</v>
      </c>
      <c r="I1226">
        <v>1</v>
      </c>
      <c r="J1226">
        <v>0</v>
      </c>
      <c r="K1226" t="s">
        <v>34</v>
      </c>
      <c r="L1226" t="s">
        <v>40</v>
      </c>
    </row>
    <row r="1227" spans="1:12">
      <c r="A1227" t="s">
        <v>317</v>
      </c>
      <c r="B1227" t="s">
        <v>30</v>
      </c>
      <c r="C1227" t="s">
        <v>99</v>
      </c>
      <c r="D1227">
        <v>1</v>
      </c>
      <c r="E1227">
        <v>1.61</v>
      </c>
      <c r="F1227">
        <v>0.6100000000000001</v>
      </c>
      <c r="G1227">
        <v>0.6100000000000001</v>
      </c>
      <c r="H1227">
        <v>0</v>
      </c>
      <c r="I1227">
        <v>1</v>
      </c>
      <c r="J1227">
        <v>0</v>
      </c>
      <c r="K1227" t="s">
        <v>34</v>
      </c>
      <c r="L1227" t="s">
        <v>39</v>
      </c>
    </row>
    <row r="1228" spans="1:12">
      <c r="A1228" t="s">
        <v>317</v>
      </c>
      <c r="B1228" t="s">
        <v>30</v>
      </c>
      <c r="C1228" t="s">
        <v>100</v>
      </c>
      <c r="D1228">
        <v>2</v>
      </c>
      <c r="E1228">
        <v>1.61</v>
      </c>
      <c r="F1228">
        <v>-0.3899999999999999</v>
      </c>
      <c r="G1228">
        <v>0.3899999999999999</v>
      </c>
      <c r="H1228">
        <v>0</v>
      </c>
      <c r="I1228">
        <v>1</v>
      </c>
      <c r="J1228">
        <v>0</v>
      </c>
      <c r="K1228" t="s">
        <v>34</v>
      </c>
      <c r="L1228" t="s">
        <v>39</v>
      </c>
    </row>
    <row r="1229" spans="1:12">
      <c r="A1229" t="s">
        <v>317</v>
      </c>
      <c r="B1229" t="s">
        <v>30</v>
      </c>
      <c r="C1229" t="s">
        <v>101</v>
      </c>
      <c r="D1229">
        <v>2</v>
      </c>
      <c r="E1229">
        <v>1.61</v>
      </c>
      <c r="F1229">
        <v>-0.3899999999999999</v>
      </c>
      <c r="G1229">
        <v>0.3899999999999999</v>
      </c>
      <c r="H1229">
        <v>0</v>
      </c>
      <c r="I1229">
        <v>1</v>
      </c>
      <c r="J1229">
        <v>0</v>
      </c>
      <c r="K1229" t="s">
        <v>34</v>
      </c>
      <c r="L1229" t="s">
        <v>39</v>
      </c>
    </row>
    <row r="1230" spans="1:12">
      <c r="A1230" t="s">
        <v>317</v>
      </c>
      <c r="B1230" t="s">
        <v>30</v>
      </c>
      <c r="C1230" t="s">
        <v>102</v>
      </c>
      <c r="D1230">
        <v>2</v>
      </c>
      <c r="E1230">
        <v>1.61</v>
      </c>
      <c r="F1230">
        <v>-0.3899999999999999</v>
      </c>
      <c r="G1230">
        <v>0.3899999999999999</v>
      </c>
      <c r="H1230">
        <v>0</v>
      </c>
      <c r="I1230">
        <v>1</v>
      </c>
      <c r="J1230">
        <v>0</v>
      </c>
      <c r="K1230" t="s">
        <v>34</v>
      </c>
      <c r="L1230" t="s">
        <v>39</v>
      </c>
    </row>
    <row r="1231" spans="1:12">
      <c r="A1231" t="s">
        <v>317</v>
      </c>
      <c r="B1231" t="s">
        <v>30</v>
      </c>
      <c r="C1231" t="s">
        <v>103</v>
      </c>
      <c r="D1231">
        <v>2</v>
      </c>
      <c r="E1231">
        <v>0.72</v>
      </c>
      <c r="F1231">
        <v>-1.28</v>
      </c>
      <c r="G1231">
        <v>1.28</v>
      </c>
      <c r="H1231">
        <v>1</v>
      </c>
      <c r="I1231">
        <v>0</v>
      </c>
      <c r="J1231">
        <v>1</v>
      </c>
      <c r="K1231" t="s">
        <v>33</v>
      </c>
      <c r="L1231" t="s">
        <v>39</v>
      </c>
    </row>
    <row r="1232" spans="1:12">
      <c r="A1232" t="s">
        <v>317</v>
      </c>
      <c r="B1232" t="s">
        <v>30</v>
      </c>
      <c r="C1232" t="s">
        <v>104</v>
      </c>
      <c r="D1232">
        <v>2</v>
      </c>
      <c r="E1232">
        <v>0.72</v>
      </c>
      <c r="F1232">
        <v>-1.28</v>
      </c>
      <c r="G1232">
        <v>1.28</v>
      </c>
      <c r="H1232">
        <v>1</v>
      </c>
      <c r="I1232">
        <v>0</v>
      </c>
      <c r="J1232">
        <v>1</v>
      </c>
      <c r="K1232" t="s">
        <v>33</v>
      </c>
      <c r="L1232" t="s">
        <v>41</v>
      </c>
    </row>
    <row r="1233" spans="1:12">
      <c r="A1233" t="s">
        <v>317</v>
      </c>
      <c r="B1233" t="s">
        <v>30</v>
      </c>
      <c r="C1233" t="s">
        <v>105</v>
      </c>
      <c r="D1233">
        <v>2</v>
      </c>
      <c r="E1233">
        <v>1.61</v>
      </c>
      <c r="F1233">
        <v>-0.3899999999999999</v>
      </c>
      <c r="G1233">
        <v>0.3899999999999999</v>
      </c>
      <c r="H1233">
        <v>0</v>
      </c>
      <c r="I1233">
        <v>1</v>
      </c>
      <c r="J1233">
        <v>0</v>
      </c>
      <c r="K1233" t="s">
        <v>34</v>
      </c>
      <c r="L1233" t="s">
        <v>41</v>
      </c>
    </row>
    <row r="1234" spans="1:12">
      <c r="A1234" t="s">
        <v>317</v>
      </c>
      <c r="B1234" t="s">
        <v>30</v>
      </c>
      <c r="C1234" t="s">
        <v>106</v>
      </c>
      <c r="D1234">
        <v>1</v>
      </c>
      <c r="E1234">
        <v>1.61</v>
      </c>
      <c r="F1234">
        <v>0.6100000000000001</v>
      </c>
      <c r="G1234">
        <v>0.6100000000000001</v>
      </c>
      <c r="H1234">
        <v>0</v>
      </c>
      <c r="I1234">
        <v>1</v>
      </c>
      <c r="J1234">
        <v>0</v>
      </c>
      <c r="K1234" t="s">
        <v>34</v>
      </c>
      <c r="L1234" t="s">
        <v>41</v>
      </c>
    </row>
    <row r="1235" spans="1:12">
      <c r="A1235" t="s">
        <v>317</v>
      </c>
      <c r="B1235" t="s">
        <v>30</v>
      </c>
      <c r="C1235" t="s">
        <v>107</v>
      </c>
      <c r="D1235">
        <v>2</v>
      </c>
      <c r="E1235">
        <v>1.61</v>
      </c>
      <c r="F1235">
        <v>-0.3899999999999999</v>
      </c>
      <c r="G1235">
        <v>0.3899999999999999</v>
      </c>
      <c r="H1235">
        <v>0</v>
      </c>
      <c r="I1235">
        <v>1</v>
      </c>
      <c r="J1235">
        <v>0</v>
      </c>
      <c r="K1235" t="s">
        <v>34</v>
      </c>
      <c r="L1235" t="s">
        <v>41</v>
      </c>
    </row>
    <row r="1236" spans="1:12">
      <c r="A1236" t="s">
        <v>317</v>
      </c>
      <c r="B1236" t="s">
        <v>30</v>
      </c>
      <c r="C1236" t="s">
        <v>108</v>
      </c>
      <c r="D1236">
        <v>2</v>
      </c>
      <c r="E1236">
        <v>1.61</v>
      </c>
      <c r="F1236">
        <v>-0.3899999999999999</v>
      </c>
      <c r="G1236">
        <v>0.3899999999999999</v>
      </c>
      <c r="H1236">
        <v>0</v>
      </c>
      <c r="I1236">
        <v>1</v>
      </c>
      <c r="J1236">
        <v>0</v>
      </c>
      <c r="K1236" t="s">
        <v>34</v>
      </c>
      <c r="L1236" t="s">
        <v>41</v>
      </c>
    </row>
    <row r="1237" spans="1:12">
      <c r="A1237" t="s">
        <v>317</v>
      </c>
      <c r="B1237" t="s">
        <v>30</v>
      </c>
      <c r="C1237" t="s">
        <v>109</v>
      </c>
      <c r="D1237">
        <v>2</v>
      </c>
      <c r="E1237">
        <v>1.61</v>
      </c>
      <c r="F1237">
        <v>-0.3899999999999999</v>
      </c>
      <c r="G1237">
        <v>0.3899999999999999</v>
      </c>
      <c r="H1237">
        <v>0</v>
      </c>
      <c r="I1237">
        <v>1</v>
      </c>
      <c r="J1237">
        <v>0</v>
      </c>
      <c r="K1237" t="s">
        <v>34</v>
      </c>
      <c r="L1237" t="s">
        <v>38</v>
      </c>
    </row>
    <row r="1238" spans="1:12">
      <c r="A1238" t="s">
        <v>317</v>
      </c>
      <c r="B1238" t="s">
        <v>30</v>
      </c>
      <c r="C1238" t="s">
        <v>110</v>
      </c>
      <c r="D1238">
        <v>2</v>
      </c>
      <c r="E1238">
        <v>1.61</v>
      </c>
      <c r="F1238">
        <v>-0.3899999999999999</v>
      </c>
      <c r="G1238">
        <v>0.3899999999999999</v>
      </c>
      <c r="H1238">
        <v>0</v>
      </c>
      <c r="I1238">
        <v>1</v>
      </c>
      <c r="J1238">
        <v>0</v>
      </c>
      <c r="K1238" t="s">
        <v>34</v>
      </c>
      <c r="L1238" t="s">
        <v>38</v>
      </c>
    </row>
    <row r="1239" spans="1:12">
      <c r="A1239" t="s">
        <v>317</v>
      </c>
      <c r="B1239" t="s">
        <v>30</v>
      </c>
      <c r="C1239" t="s">
        <v>111</v>
      </c>
      <c r="D1239">
        <v>2</v>
      </c>
      <c r="E1239">
        <v>1.61</v>
      </c>
      <c r="F1239">
        <v>-0.3899999999999999</v>
      </c>
      <c r="G1239">
        <v>0.3899999999999999</v>
      </c>
      <c r="H1239">
        <v>0</v>
      </c>
      <c r="I1239">
        <v>1</v>
      </c>
      <c r="J1239">
        <v>0</v>
      </c>
      <c r="K1239" t="s">
        <v>34</v>
      </c>
      <c r="L1239" t="s">
        <v>38</v>
      </c>
    </row>
    <row r="1240" spans="1:12">
      <c r="A1240" t="s">
        <v>317</v>
      </c>
      <c r="B1240" t="s">
        <v>30</v>
      </c>
      <c r="C1240" t="s">
        <v>112</v>
      </c>
      <c r="D1240">
        <v>2</v>
      </c>
      <c r="E1240">
        <v>1.61</v>
      </c>
      <c r="F1240">
        <v>-0.3899999999999999</v>
      </c>
      <c r="G1240">
        <v>0.3899999999999999</v>
      </c>
      <c r="H1240">
        <v>0</v>
      </c>
      <c r="I1240">
        <v>1</v>
      </c>
      <c r="J1240">
        <v>0</v>
      </c>
      <c r="K1240" t="s">
        <v>34</v>
      </c>
      <c r="L1240" t="s">
        <v>38</v>
      </c>
    </row>
    <row r="1241" spans="1:12">
      <c r="A1241" t="s">
        <v>317</v>
      </c>
      <c r="B1241" t="s">
        <v>30</v>
      </c>
      <c r="C1241" t="s">
        <v>113</v>
      </c>
      <c r="D1241">
        <v>2</v>
      </c>
      <c r="E1241">
        <v>1.61</v>
      </c>
      <c r="F1241">
        <v>-0.3899999999999999</v>
      </c>
      <c r="G1241">
        <v>0.3899999999999999</v>
      </c>
      <c r="H1241">
        <v>0</v>
      </c>
      <c r="I1241">
        <v>1</v>
      </c>
      <c r="J1241">
        <v>0</v>
      </c>
      <c r="K1241" t="s">
        <v>34</v>
      </c>
      <c r="L1241" t="s">
        <v>38</v>
      </c>
    </row>
    <row r="1242" spans="1:12">
      <c r="A1242" t="s">
        <v>317</v>
      </c>
      <c r="B1242" t="s">
        <v>30</v>
      </c>
      <c r="C1242" t="s">
        <v>114</v>
      </c>
      <c r="D1242">
        <v>2</v>
      </c>
      <c r="E1242">
        <v>1.61</v>
      </c>
      <c r="F1242">
        <v>-0.3899999999999999</v>
      </c>
      <c r="G1242">
        <v>0.3899999999999999</v>
      </c>
      <c r="H1242">
        <v>0</v>
      </c>
      <c r="I1242">
        <v>1</v>
      </c>
      <c r="J1242">
        <v>0</v>
      </c>
      <c r="K1242" t="s">
        <v>34</v>
      </c>
      <c r="L1242" t="s">
        <v>38</v>
      </c>
    </row>
    <row r="1243" spans="1:12">
      <c r="A1243" t="s">
        <v>317</v>
      </c>
      <c r="B1243" t="s">
        <v>30</v>
      </c>
      <c r="C1243" t="s">
        <v>115</v>
      </c>
      <c r="D1243">
        <v>1</v>
      </c>
      <c r="E1243">
        <v>1.61</v>
      </c>
      <c r="F1243">
        <v>0.6100000000000001</v>
      </c>
      <c r="G1243">
        <v>0.6100000000000001</v>
      </c>
      <c r="H1243">
        <v>0</v>
      </c>
      <c r="I1243">
        <v>1</v>
      </c>
      <c r="J1243">
        <v>0</v>
      </c>
      <c r="K1243" t="s">
        <v>34</v>
      </c>
      <c r="L1243" t="s">
        <v>38</v>
      </c>
    </row>
    <row r="1244" spans="1:12">
      <c r="A1244" t="s">
        <v>317</v>
      </c>
      <c r="B1244" t="s">
        <v>30</v>
      </c>
      <c r="C1244" t="s">
        <v>116</v>
      </c>
      <c r="D1244">
        <v>1</v>
      </c>
      <c r="E1244">
        <v>1.61</v>
      </c>
      <c r="F1244">
        <v>0.6100000000000001</v>
      </c>
      <c r="G1244">
        <v>0.6100000000000001</v>
      </c>
      <c r="H1244">
        <v>0</v>
      </c>
      <c r="I1244">
        <v>1</v>
      </c>
      <c r="J1244">
        <v>0</v>
      </c>
      <c r="K1244" t="s">
        <v>34</v>
      </c>
      <c r="L1244" t="s">
        <v>38</v>
      </c>
    </row>
    <row r="1245" spans="1:12">
      <c r="A1245" t="s">
        <v>317</v>
      </c>
      <c r="B1245" t="s">
        <v>30</v>
      </c>
      <c r="C1245" t="s">
        <v>117</v>
      </c>
      <c r="D1245">
        <v>2</v>
      </c>
      <c r="E1245">
        <v>1.61</v>
      </c>
      <c r="F1245">
        <v>-0.3899999999999999</v>
      </c>
      <c r="G1245">
        <v>0.3899999999999999</v>
      </c>
      <c r="H1245">
        <v>0</v>
      </c>
      <c r="I1245">
        <v>1</v>
      </c>
      <c r="J1245">
        <v>0</v>
      </c>
      <c r="K1245" t="s">
        <v>34</v>
      </c>
      <c r="L1245" t="s">
        <v>38</v>
      </c>
    </row>
    <row r="1246" spans="1:12">
      <c r="A1246" t="s">
        <v>317</v>
      </c>
      <c r="B1246" t="s">
        <v>30</v>
      </c>
      <c r="C1246" t="s">
        <v>118</v>
      </c>
      <c r="D1246">
        <v>2</v>
      </c>
      <c r="E1246">
        <v>1.61</v>
      </c>
      <c r="F1246">
        <v>-0.3899999999999999</v>
      </c>
      <c r="G1246">
        <v>0.3899999999999999</v>
      </c>
      <c r="H1246">
        <v>0</v>
      </c>
      <c r="I1246">
        <v>1</v>
      </c>
      <c r="J1246">
        <v>0</v>
      </c>
      <c r="K1246" t="s">
        <v>34</v>
      </c>
      <c r="L1246" t="s">
        <v>38</v>
      </c>
    </row>
    <row r="1247" spans="1:12">
      <c r="A1247" t="s">
        <v>317</v>
      </c>
      <c r="B1247" t="s">
        <v>30</v>
      </c>
      <c r="C1247" t="s">
        <v>119</v>
      </c>
      <c r="D1247">
        <v>2</v>
      </c>
      <c r="E1247">
        <v>1.61</v>
      </c>
      <c r="F1247">
        <v>-0.3899999999999999</v>
      </c>
      <c r="G1247">
        <v>0.3899999999999999</v>
      </c>
      <c r="H1247">
        <v>0</v>
      </c>
      <c r="I1247">
        <v>1</v>
      </c>
      <c r="J1247">
        <v>0</v>
      </c>
      <c r="K1247" t="s">
        <v>34</v>
      </c>
      <c r="L1247" t="s">
        <v>44</v>
      </c>
    </row>
    <row r="1248" spans="1:12">
      <c r="A1248" t="s">
        <v>317</v>
      </c>
      <c r="B1248" t="s">
        <v>30</v>
      </c>
      <c r="C1248" t="s">
        <v>120</v>
      </c>
      <c r="D1248">
        <v>2</v>
      </c>
      <c r="E1248">
        <v>1.61</v>
      </c>
      <c r="F1248">
        <v>-0.3899999999999999</v>
      </c>
      <c r="G1248">
        <v>0.3899999999999999</v>
      </c>
      <c r="H1248">
        <v>0</v>
      </c>
      <c r="I1248">
        <v>1</v>
      </c>
      <c r="J1248">
        <v>0</v>
      </c>
      <c r="K1248" t="s">
        <v>34</v>
      </c>
      <c r="L1248" t="s">
        <v>44</v>
      </c>
    </row>
    <row r="1249" spans="1:12">
      <c r="A1249" t="s">
        <v>317</v>
      </c>
      <c r="B1249" t="s">
        <v>30</v>
      </c>
      <c r="C1249" t="s">
        <v>121</v>
      </c>
      <c r="D1249">
        <v>2</v>
      </c>
      <c r="E1249">
        <v>0.72</v>
      </c>
      <c r="F1249">
        <v>-1.28</v>
      </c>
      <c r="G1249">
        <v>1.28</v>
      </c>
      <c r="H1249">
        <v>1</v>
      </c>
      <c r="I1249">
        <v>0</v>
      </c>
      <c r="J1249">
        <v>1</v>
      </c>
      <c r="K1249" t="s">
        <v>33</v>
      </c>
      <c r="L1249" t="s">
        <v>44</v>
      </c>
    </row>
    <row r="1250" spans="1:12">
      <c r="A1250" t="s">
        <v>317</v>
      </c>
      <c r="B1250" t="s">
        <v>30</v>
      </c>
      <c r="C1250" t="s">
        <v>122</v>
      </c>
      <c r="D1250">
        <v>2</v>
      </c>
      <c r="E1250">
        <v>0.72</v>
      </c>
      <c r="F1250">
        <v>-1.28</v>
      </c>
      <c r="G1250">
        <v>1.28</v>
      </c>
      <c r="H1250">
        <v>1</v>
      </c>
      <c r="I1250">
        <v>0</v>
      </c>
      <c r="J1250">
        <v>1</v>
      </c>
      <c r="K1250" t="s">
        <v>33</v>
      </c>
      <c r="L1250" t="s">
        <v>44</v>
      </c>
    </row>
    <row r="1251" spans="1:12">
      <c r="A1251" t="s">
        <v>317</v>
      </c>
      <c r="B1251" t="s">
        <v>30</v>
      </c>
      <c r="C1251" t="s">
        <v>123</v>
      </c>
      <c r="D1251">
        <v>1</v>
      </c>
      <c r="E1251">
        <v>1.08</v>
      </c>
      <c r="F1251">
        <v>8.0000000000000071E-2</v>
      </c>
      <c r="G1251">
        <v>8.0000000000000071E-2</v>
      </c>
      <c r="H1251">
        <v>0</v>
      </c>
      <c r="I1251">
        <v>1</v>
      </c>
      <c r="J1251">
        <v>0</v>
      </c>
      <c r="K1251" t="s">
        <v>34</v>
      </c>
      <c r="L1251" t="s">
        <v>44</v>
      </c>
    </row>
    <row r="1252" spans="1:12">
      <c r="A1252" t="s">
        <v>317</v>
      </c>
      <c r="B1252" t="s">
        <v>30</v>
      </c>
      <c r="C1252" t="s">
        <v>124</v>
      </c>
      <c r="D1252">
        <v>2</v>
      </c>
      <c r="E1252">
        <v>1.08</v>
      </c>
      <c r="F1252">
        <v>-0.91999999999999993</v>
      </c>
      <c r="G1252">
        <v>0.91999999999999993</v>
      </c>
      <c r="H1252">
        <v>0</v>
      </c>
      <c r="I1252">
        <v>1</v>
      </c>
      <c r="J1252">
        <v>0</v>
      </c>
      <c r="K1252" t="s">
        <v>34</v>
      </c>
      <c r="L1252" t="s">
        <v>45</v>
      </c>
    </row>
    <row r="1253" spans="1:12">
      <c r="A1253" t="s">
        <v>317</v>
      </c>
      <c r="B1253" t="s">
        <v>30</v>
      </c>
      <c r="C1253" t="s">
        <v>125</v>
      </c>
      <c r="D1253">
        <v>2</v>
      </c>
      <c r="E1253">
        <v>2</v>
      </c>
      <c r="F1253">
        <v>0</v>
      </c>
      <c r="G1253">
        <v>0</v>
      </c>
      <c r="H1253">
        <v>0</v>
      </c>
      <c r="I1253">
        <v>1</v>
      </c>
      <c r="J1253">
        <v>0</v>
      </c>
      <c r="K1253" t="s">
        <v>34</v>
      </c>
      <c r="L1253" t="s">
        <v>45</v>
      </c>
    </row>
    <row r="1254" spans="1:12">
      <c r="A1254" t="s">
        <v>317</v>
      </c>
      <c r="B1254" t="s">
        <v>30</v>
      </c>
      <c r="C1254" t="s">
        <v>126</v>
      </c>
      <c r="D1254">
        <v>2</v>
      </c>
      <c r="E1254">
        <v>2</v>
      </c>
      <c r="F1254">
        <v>0</v>
      </c>
      <c r="G1254">
        <v>0</v>
      </c>
      <c r="H1254">
        <v>0</v>
      </c>
      <c r="I1254">
        <v>1</v>
      </c>
      <c r="J1254">
        <v>0</v>
      </c>
      <c r="K1254" t="s">
        <v>34</v>
      </c>
      <c r="L1254" t="s">
        <v>45</v>
      </c>
    </row>
    <row r="1255" spans="1:12">
      <c r="A1255" t="s">
        <v>317</v>
      </c>
      <c r="B1255" t="s">
        <v>30</v>
      </c>
      <c r="C1255" t="s">
        <v>127</v>
      </c>
      <c r="D1255">
        <v>2</v>
      </c>
      <c r="E1255">
        <v>2</v>
      </c>
      <c r="F1255">
        <v>0</v>
      </c>
      <c r="G1255">
        <v>0</v>
      </c>
      <c r="H1255">
        <v>0</v>
      </c>
      <c r="I1255">
        <v>1</v>
      </c>
      <c r="J1255">
        <v>0</v>
      </c>
      <c r="K1255" t="s">
        <v>34</v>
      </c>
      <c r="L1255" t="s">
        <v>45</v>
      </c>
    </row>
    <row r="1256" spans="1:12">
      <c r="A1256" t="s">
        <v>317</v>
      </c>
      <c r="B1256" t="s">
        <v>30</v>
      </c>
      <c r="C1256" t="s">
        <v>128</v>
      </c>
      <c r="D1256">
        <v>2</v>
      </c>
      <c r="E1256">
        <v>2</v>
      </c>
      <c r="F1256">
        <v>0</v>
      </c>
      <c r="G1256">
        <v>0</v>
      </c>
      <c r="H1256">
        <v>0</v>
      </c>
      <c r="I1256">
        <v>1</v>
      </c>
      <c r="J1256">
        <v>0</v>
      </c>
      <c r="K1256" t="s">
        <v>34</v>
      </c>
      <c r="L1256" t="s">
        <v>45</v>
      </c>
    </row>
    <row r="1257" spans="1:12">
      <c r="A1257" t="s">
        <v>317</v>
      </c>
      <c r="B1257" t="s">
        <v>30</v>
      </c>
      <c r="C1257" t="s">
        <v>129</v>
      </c>
      <c r="D1257">
        <v>2</v>
      </c>
      <c r="E1257">
        <v>2</v>
      </c>
      <c r="F1257">
        <v>0</v>
      </c>
      <c r="G1257">
        <v>0</v>
      </c>
      <c r="H1257">
        <v>0</v>
      </c>
      <c r="I1257">
        <v>1</v>
      </c>
      <c r="J1257">
        <v>0</v>
      </c>
      <c r="K1257" t="s">
        <v>34</v>
      </c>
      <c r="L1257" t="s">
        <v>46</v>
      </c>
    </row>
    <row r="1258" spans="1:12">
      <c r="A1258" t="s">
        <v>317</v>
      </c>
      <c r="B1258" t="s">
        <v>30</v>
      </c>
      <c r="C1258" t="s">
        <v>130</v>
      </c>
      <c r="D1258">
        <v>2</v>
      </c>
      <c r="E1258">
        <v>2</v>
      </c>
      <c r="F1258">
        <v>0</v>
      </c>
      <c r="G1258">
        <v>0</v>
      </c>
      <c r="H1258">
        <v>0</v>
      </c>
      <c r="I1258">
        <v>1</v>
      </c>
      <c r="J1258">
        <v>0</v>
      </c>
      <c r="K1258" t="s">
        <v>34</v>
      </c>
      <c r="L1258" t="s">
        <v>46</v>
      </c>
    </row>
    <row r="1259" spans="1:12">
      <c r="A1259" t="s">
        <v>317</v>
      </c>
      <c r="B1259" t="s">
        <v>30</v>
      </c>
      <c r="C1259" t="s">
        <v>131</v>
      </c>
      <c r="D1259">
        <v>2</v>
      </c>
      <c r="E1259">
        <v>1.61</v>
      </c>
      <c r="F1259">
        <v>-0.3899999999999999</v>
      </c>
      <c r="G1259">
        <v>0.3899999999999999</v>
      </c>
      <c r="H1259">
        <v>0</v>
      </c>
      <c r="I1259">
        <v>1</v>
      </c>
      <c r="J1259">
        <v>0</v>
      </c>
      <c r="K1259" t="s">
        <v>34</v>
      </c>
      <c r="L1259" t="s">
        <v>46</v>
      </c>
    </row>
    <row r="1260" spans="1:12">
      <c r="A1260" t="s">
        <v>317</v>
      </c>
      <c r="B1260" t="s">
        <v>30</v>
      </c>
      <c r="C1260" t="s">
        <v>132</v>
      </c>
      <c r="D1260">
        <v>1</v>
      </c>
      <c r="E1260">
        <v>1.61</v>
      </c>
      <c r="F1260">
        <v>0.6100000000000001</v>
      </c>
      <c r="G1260">
        <v>0.6100000000000001</v>
      </c>
      <c r="H1260">
        <v>0</v>
      </c>
      <c r="I1260">
        <v>1</v>
      </c>
      <c r="J1260">
        <v>0</v>
      </c>
      <c r="K1260" t="s">
        <v>34</v>
      </c>
      <c r="L1260" t="s">
        <v>46</v>
      </c>
    </row>
    <row r="1261" spans="1:12">
      <c r="A1261" t="s">
        <v>317</v>
      </c>
      <c r="B1261" t="s">
        <v>30</v>
      </c>
      <c r="C1261" t="s">
        <v>133</v>
      </c>
      <c r="D1261">
        <v>1</v>
      </c>
      <c r="E1261">
        <v>1.61</v>
      </c>
      <c r="F1261">
        <v>0.6100000000000001</v>
      </c>
      <c r="G1261">
        <v>0.6100000000000001</v>
      </c>
      <c r="H1261">
        <v>0</v>
      </c>
      <c r="I1261">
        <v>1</v>
      </c>
      <c r="J1261">
        <v>0</v>
      </c>
      <c r="K1261" t="s">
        <v>34</v>
      </c>
      <c r="L1261" t="s">
        <v>46</v>
      </c>
    </row>
    <row r="1262" spans="1:12">
      <c r="A1262" t="s">
        <v>317</v>
      </c>
      <c r="B1262" t="s">
        <v>30</v>
      </c>
      <c r="C1262" t="s">
        <v>134</v>
      </c>
      <c r="D1262">
        <v>2</v>
      </c>
      <c r="E1262">
        <v>1.61</v>
      </c>
      <c r="F1262">
        <v>-0.3899999999999999</v>
      </c>
      <c r="G1262">
        <v>0.3899999999999999</v>
      </c>
      <c r="H1262">
        <v>0</v>
      </c>
      <c r="I1262">
        <v>1</v>
      </c>
      <c r="J1262">
        <v>0</v>
      </c>
      <c r="K1262" t="s">
        <v>34</v>
      </c>
      <c r="L1262" t="s">
        <v>47</v>
      </c>
    </row>
    <row r="1263" spans="1:12">
      <c r="A1263" t="s">
        <v>317</v>
      </c>
      <c r="B1263" t="s">
        <v>30</v>
      </c>
      <c r="C1263" t="s">
        <v>135</v>
      </c>
      <c r="D1263">
        <v>2</v>
      </c>
      <c r="E1263">
        <v>1.61</v>
      </c>
      <c r="F1263">
        <v>-0.3899999999999999</v>
      </c>
      <c r="G1263">
        <v>0.3899999999999999</v>
      </c>
      <c r="H1263">
        <v>0</v>
      </c>
      <c r="I1263">
        <v>1</v>
      </c>
      <c r="J1263">
        <v>0</v>
      </c>
      <c r="K1263" t="s">
        <v>34</v>
      </c>
      <c r="L1263" t="s">
        <v>47</v>
      </c>
    </row>
    <row r="1264" spans="1:12">
      <c r="A1264" t="s">
        <v>317</v>
      </c>
      <c r="B1264" t="s">
        <v>30</v>
      </c>
      <c r="C1264" t="s">
        <v>136</v>
      </c>
      <c r="D1264">
        <v>2</v>
      </c>
      <c r="E1264">
        <v>1.61</v>
      </c>
      <c r="F1264">
        <v>-0.3899999999999999</v>
      </c>
      <c r="G1264">
        <v>0.3899999999999999</v>
      </c>
      <c r="H1264">
        <v>0</v>
      </c>
      <c r="I1264">
        <v>1</v>
      </c>
      <c r="J1264">
        <v>0</v>
      </c>
      <c r="K1264" t="s">
        <v>34</v>
      </c>
      <c r="L1264" t="s">
        <v>47</v>
      </c>
    </row>
    <row r="1265" spans="1:12">
      <c r="A1265" t="s">
        <v>317</v>
      </c>
      <c r="B1265" t="s">
        <v>30</v>
      </c>
      <c r="C1265" t="s">
        <v>137</v>
      </c>
      <c r="D1265">
        <v>2</v>
      </c>
      <c r="E1265">
        <v>0.72</v>
      </c>
      <c r="F1265">
        <v>-1.28</v>
      </c>
      <c r="G1265">
        <v>1.28</v>
      </c>
      <c r="H1265">
        <v>1</v>
      </c>
      <c r="I1265">
        <v>0</v>
      </c>
      <c r="J1265">
        <v>1</v>
      </c>
      <c r="K1265" t="s">
        <v>33</v>
      </c>
      <c r="L1265" t="s">
        <v>47</v>
      </c>
    </row>
    <row r="1266" spans="1:12">
      <c r="A1266" t="s">
        <v>317</v>
      </c>
      <c r="B1266" t="s">
        <v>30</v>
      </c>
      <c r="C1266" t="s">
        <v>138</v>
      </c>
      <c r="D1266">
        <v>2</v>
      </c>
      <c r="E1266">
        <v>0.72</v>
      </c>
      <c r="F1266">
        <v>-1.28</v>
      </c>
      <c r="G1266">
        <v>1.28</v>
      </c>
      <c r="H1266">
        <v>1</v>
      </c>
      <c r="I1266">
        <v>0</v>
      </c>
      <c r="J1266">
        <v>1</v>
      </c>
      <c r="K1266" t="s">
        <v>33</v>
      </c>
      <c r="L1266" t="s">
        <v>47</v>
      </c>
    </row>
    <row r="1267" spans="1:12">
      <c r="A1267" t="s">
        <v>317</v>
      </c>
      <c r="B1267" t="s">
        <v>30</v>
      </c>
      <c r="C1267" t="s">
        <v>139</v>
      </c>
      <c r="D1267">
        <v>2</v>
      </c>
      <c r="E1267">
        <v>1.61</v>
      </c>
      <c r="F1267">
        <v>-0.3899999999999999</v>
      </c>
      <c r="G1267">
        <v>0.3899999999999999</v>
      </c>
      <c r="H1267">
        <v>0</v>
      </c>
      <c r="I1267">
        <v>1</v>
      </c>
      <c r="J1267">
        <v>0</v>
      </c>
      <c r="K1267" t="s">
        <v>34</v>
      </c>
      <c r="L1267" t="s">
        <v>42</v>
      </c>
    </row>
    <row r="1268" spans="1:12">
      <c r="A1268" t="s">
        <v>317</v>
      </c>
      <c r="B1268" t="s">
        <v>30</v>
      </c>
      <c r="C1268" t="s">
        <v>140</v>
      </c>
      <c r="D1268">
        <v>1</v>
      </c>
      <c r="E1268">
        <v>1.61</v>
      </c>
      <c r="F1268">
        <v>0.6100000000000001</v>
      </c>
      <c r="G1268">
        <v>0.6100000000000001</v>
      </c>
      <c r="H1268">
        <v>0</v>
      </c>
      <c r="I1268">
        <v>1</v>
      </c>
      <c r="J1268">
        <v>0</v>
      </c>
      <c r="K1268" t="s">
        <v>34</v>
      </c>
      <c r="L1268" t="s">
        <v>42</v>
      </c>
    </row>
    <row r="1269" spans="1:12">
      <c r="A1269" t="s">
        <v>317</v>
      </c>
      <c r="B1269" t="s">
        <v>30</v>
      </c>
      <c r="C1269" t="s">
        <v>141</v>
      </c>
      <c r="D1269">
        <v>2</v>
      </c>
      <c r="E1269">
        <v>1.61</v>
      </c>
      <c r="F1269">
        <v>-0.3899999999999999</v>
      </c>
      <c r="G1269">
        <v>0.3899999999999999</v>
      </c>
      <c r="H1269">
        <v>0</v>
      </c>
      <c r="I1269">
        <v>1</v>
      </c>
      <c r="J1269">
        <v>0</v>
      </c>
      <c r="K1269" t="s">
        <v>34</v>
      </c>
      <c r="L1269" t="s">
        <v>42</v>
      </c>
    </row>
    <row r="1270" spans="1:12">
      <c r="A1270" t="s">
        <v>317</v>
      </c>
      <c r="B1270" t="s">
        <v>30</v>
      </c>
      <c r="C1270" t="s">
        <v>142</v>
      </c>
      <c r="D1270">
        <v>3</v>
      </c>
      <c r="E1270">
        <v>1.61</v>
      </c>
      <c r="F1270">
        <v>-1.39</v>
      </c>
      <c r="G1270">
        <v>1.39</v>
      </c>
      <c r="H1270">
        <v>1</v>
      </c>
      <c r="I1270">
        <v>0</v>
      </c>
      <c r="J1270">
        <v>1</v>
      </c>
      <c r="K1270" t="s">
        <v>33</v>
      </c>
      <c r="L1270" t="s">
        <v>42</v>
      </c>
    </row>
    <row r="1271" spans="1:12">
      <c r="A1271" t="s">
        <v>317</v>
      </c>
      <c r="B1271" t="s">
        <v>30</v>
      </c>
      <c r="C1271" t="s">
        <v>143</v>
      </c>
      <c r="D1271">
        <v>4</v>
      </c>
      <c r="E1271">
        <v>1.61</v>
      </c>
      <c r="F1271">
        <v>-2.3899999999999997</v>
      </c>
      <c r="G1271">
        <v>2.3899999999999997</v>
      </c>
      <c r="H1271">
        <v>1</v>
      </c>
      <c r="I1271">
        <v>0</v>
      </c>
      <c r="J1271">
        <v>1</v>
      </c>
      <c r="K1271" t="s">
        <v>36</v>
      </c>
      <c r="L1271" t="s">
        <v>42</v>
      </c>
    </row>
    <row r="1272" spans="1:12">
      <c r="A1272" t="s">
        <v>317</v>
      </c>
      <c r="B1272" t="s">
        <v>30</v>
      </c>
      <c r="C1272" t="s">
        <v>144</v>
      </c>
      <c r="D1272">
        <v>4</v>
      </c>
      <c r="E1272">
        <v>1.61</v>
      </c>
      <c r="F1272">
        <v>-2.3899999999999997</v>
      </c>
      <c r="G1272">
        <v>2.3899999999999997</v>
      </c>
      <c r="H1272">
        <v>1</v>
      </c>
      <c r="I1272">
        <v>0</v>
      </c>
      <c r="J1272">
        <v>1</v>
      </c>
      <c r="K1272" t="s">
        <v>36</v>
      </c>
      <c r="L1272" t="s">
        <v>43</v>
      </c>
    </row>
    <row r="1273" spans="1:12">
      <c r="A1273" t="s">
        <v>317</v>
      </c>
      <c r="B1273" t="s">
        <v>30</v>
      </c>
      <c r="C1273" t="s">
        <v>145</v>
      </c>
      <c r="D1273">
        <v>4</v>
      </c>
      <c r="E1273">
        <v>1.61</v>
      </c>
      <c r="F1273">
        <v>-2.3899999999999997</v>
      </c>
      <c r="G1273">
        <v>2.3899999999999997</v>
      </c>
      <c r="H1273">
        <v>1</v>
      </c>
      <c r="I1273">
        <v>0</v>
      </c>
      <c r="J1273">
        <v>1</v>
      </c>
      <c r="K1273" t="s">
        <v>36</v>
      </c>
      <c r="L1273" t="s">
        <v>43</v>
      </c>
    </row>
    <row r="1274" spans="1:12">
      <c r="A1274" t="s">
        <v>317</v>
      </c>
      <c r="B1274" t="s">
        <v>30</v>
      </c>
      <c r="C1274" t="s">
        <v>146</v>
      </c>
      <c r="D1274">
        <v>4</v>
      </c>
      <c r="E1274">
        <v>1.61</v>
      </c>
      <c r="F1274">
        <v>-2.3899999999999997</v>
      </c>
      <c r="G1274">
        <v>2.3899999999999997</v>
      </c>
      <c r="H1274">
        <v>1</v>
      </c>
      <c r="I1274">
        <v>0</v>
      </c>
      <c r="J1274">
        <v>1</v>
      </c>
      <c r="K1274" t="s">
        <v>36</v>
      </c>
      <c r="L1274" t="s">
        <v>43</v>
      </c>
    </row>
    <row r="1275" spans="1:12">
      <c r="A1275" t="s">
        <v>317</v>
      </c>
      <c r="B1275" t="s">
        <v>30</v>
      </c>
      <c r="C1275" t="s">
        <v>147</v>
      </c>
      <c r="D1275">
        <v>4</v>
      </c>
      <c r="E1275">
        <v>1.61</v>
      </c>
      <c r="F1275">
        <v>-2.3899999999999997</v>
      </c>
      <c r="G1275">
        <v>2.3899999999999997</v>
      </c>
      <c r="H1275">
        <v>1</v>
      </c>
      <c r="I1275">
        <v>0</v>
      </c>
      <c r="J1275">
        <v>1</v>
      </c>
      <c r="K1275" t="s">
        <v>36</v>
      </c>
      <c r="L1275" t="s">
        <v>43</v>
      </c>
    </row>
    <row r="1276" spans="1:12">
      <c r="A1276" t="s">
        <v>317</v>
      </c>
      <c r="B1276" t="s">
        <v>30</v>
      </c>
      <c r="C1276" t="s">
        <v>148</v>
      </c>
      <c r="D1276">
        <v>5</v>
      </c>
      <c r="E1276">
        <v>1.61</v>
      </c>
      <c r="F1276">
        <v>-3.3899999999999997</v>
      </c>
      <c r="G1276">
        <v>3.3899999999999997</v>
      </c>
      <c r="H1276">
        <v>1</v>
      </c>
      <c r="I1276">
        <v>0</v>
      </c>
      <c r="J1276">
        <v>1</v>
      </c>
      <c r="K1276" t="s">
        <v>36</v>
      </c>
      <c r="L1276" t="s">
        <v>43</v>
      </c>
    </row>
    <row r="1277" spans="1:12">
      <c r="A1277" t="s">
        <v>317</v>
      </c>
      <c r="B1277" t="s">
        <v>30</v>
      </c>
      <c r="C1277" t="s">
        <v>149</v>
      </c>
      <c r="D1277">
        <v>5</v>
      </c>
      <c r="E1277">
        <v>1.61</v>
      </c>
      <c r="F1277">
        <v>-3.3899999999999997</v>
      </c>
      <c r="G1277">
        <v>3.3899999999999997</v>
      </c>
      <c r="H1277">
        <v>1</v>
      </c>
      <c r="I1277">
        <v>0</v>
      </c>
      <c r="J1277">
        <v>1</v>
      </c>
      <c r="K1277" t="s">
        <v>36</v>
      </c>
      <c r="L1277" t="s">
        <v>48</v>
      </c>
    </row>
    <row r="1278" spans="1:12">
      <c r="A1278" t="s">
        <v>317</v>
      </c>
      <c r="B1278" t="s">
        <v>30</v>
      </c>
      <c r="C1278" t="s">
        <v>150</v>
      </c>
      <c r="D1278">
        <v>5</v>
      </c>
      <c r="E1278">
        <v>1.61</v>
      </c>
      <c r="F1278">
        <v>-3.3899999999999997</v>
      </c>
      <c r="G1278">
        <v>3.3899999999999997</v>
      </c>
      <c r="H1278">
        <v>1</v>
      </c>
      <c r="I1278">
        <v>0</v>
      </c>
      <c r="J1278">
        <v>1</v>
      </c>
      <c r="K1278" t="s">
        <v>36</v>
      </c>
      <c r="L1278" t="s">
        <v>48</v>
      </c>
    </row>
    <row r="1279" spans="1:12">
      <c r="A1279" t="s">
        <v>317</v>
      </c>
      <c r="B1279" t="s">
        <v>30</v>
      </c>
      <c r="C1279" t="s">
        <v>151</v>
      </c>
      <c r="D1279">
        <v>5</v>
      </c>
      <c r="E1279">
        <v>1.61</v>
      </c>
      <c r="F1279">
        <v>-3.3899999999999997</v>
      </c>
      <c r="G1279">
        <v>3.3899999999999997</v>
      </c>
      <c r="H1279">
        <v>1</v>
      </c>
      <c r="I1279">
        <v>0</v>
      </c>
      <c r="J1279">
        <v>1</v>
      </c>
      <c r="K1279" t="s">
        <v>36</v>
      </c>
      <c r="L1279" t="s">
        <v>48</v>
      </c>
    </row>
    <row r="1280" spans="1:12">
      <c r="A1280" t="s">
        <v>317</v>
      </c>
      <c r="B1280" t="s">
        <v>30</v>
      </c>
      <c r="C1280" t="s">
        <v>152</v>
      </c>
      <c r="D1280">
        <v>5</v>
      </c>
      <c r="E1280">
        <v>1.61</v>
      </c>
      <c r="F1280">
        <v>-3.3899999999999997</v>
      </c>
      <c r="G1280">
        <v>3.3899999999999997</v>
      </c>
      <c r="H1280">
        <v>1</v>
      </c>
      <c r="I1280">
        <v>0</v>
      </c>
      <c r="J1280">
        <v>1</v>
      </c>
      <c r="K1280" t="s">
        <v>36</v>
      </c>
      <c r="L1280" t="s">
        <v>48</v>
      </c>
    </row>
    <row r="1281" spans="1:12">
      <c r="A1281" t="s">
        <v>317</v>
      </c>
      <c r="B1281" t="s">
        <v>30</v>
      </c>
      <c r="C1281" t="s">
        <v>153</v>
      </c>
      <c r="D1281">
        <v>5</v>
      </c>
      <c r="E1281">
        <v>1.61</v>
      </c>
      <c r="F1281">
        <v>-3.3899999999999997</v>
      </c>
      <c r="G1281">
        <v>3.3899999999999997</v>
      </c>
      <c r="H1281">
        <v>1</v>
      </c>
      <c r="I1281">
        <v>0</v>
      </c>
      <c r="J1281">
        <v>1</v>
      </c>
      <c r="K1281" t="s">
        <v>36</v>
      </c>
      <c r="L1281" t="s">
        <v>48</v>
      </c>
    </row>
    <row r="1282" spans="1:12">
      <c r="A1282" t="s">
        <v>320</v>
      </c>
      <c r="B1282" t="s">
        <v>30</v>
      </c>
      <c r="C1282" t="s">
        <v>76</v>
      </c>
      <c r="D1282">
        <v>1</v>
      </c>
      <c r="E1282">
        <v>0.72</v>
      </c>
      <c r="F1282">
        <v>-0.28000000000000003</v>
      </c>
      <c r="G1282">
        <v>0.28000000000000003</v>
      </c>
      <c r="H1282">
        <v>0</v>
      </c>
      <c r="I1282">
        <v>1</v>
      </c>
      <c r="J1282">
        <v>0</v>
      </c>
      <c r="K1282" t="s">
        <v>34</v>
      </c>
      <c r="L1282" t="s">
        <v>49</v>
      </c>
    </row>
    <row r="1283" spans="1:12">
      <c r="A1283" t="s">
        <v>320</v>
      </c>
      <c r="B1283" t="s">
        <v>30</v>
      </c>
      <c r="C1283" t="s">
        <v>77</v>
      </c>
      <c r="D1283">
        <v>5</v>
      </c>
      <c r="E1283">
        <v>5</v>
      </c>
      <c r="F1283">
        <v>0</v>
      </c>
      <c r="G1283">
        <v>0</v>
      </c>
      <c r="H1283">
        <v>0</v>
      </c>
      <c r="I1283">
        <v>1</v>
      </c>
      <c r="J1283">
        <v>0</v>
      </c>
      <c r="K1283" t="s">
        <v>34</v>
      </c>
      <c r="L1283" t="s">
        <v>49</v>
      </c>
    </row>
    <row r="1284" spans="1:12">
      <c r="A1284" t="s">
        <v>320</v>
      </c>
      <c r="B1284" t="s">
        <v>30</v>
      </c>
      <c r="C1284" t="s">
        <v>78</v>
      </c>
      <c r="D1284">
        <v>2</v>
      </c>
      <c r="E1284">
        <v>5</v>
      </c>
      <c r="F1284">
        <v>3</v>
      </c>
      <c r="G1284">
        <v>3</v>
      </c>
      <c r="H1284">
        <v>0</v>
      </c>
      <c r="I1284">
        <v>1</v>
      </c>
      <c r="J1284">
        <v>1</v>
      </c>
      <c r="K1284" t="s">
        <v>35</v>
      </c>
      <c r="L1284" t="s">
        <v>49</v>
      </c>
    </row>
    <row r="1285" spans="1:12">
      <c r="A1285" t="s">
        <v>320</v>
      </c>
      <c r="B1285" t="s">
        <v>30</v>
      </c>
      <c r="C1285" t="s">
        <v>79</v>
      </c>
      <c r="D1285">
        <v>5</v>
      </c>
      <c r="E1285">
        <v>1.61</v>
      </c>
      <c r="F1285">
        <v>-3.3899999999999997</v>
      </c>
      <c r="G1285">
        <v>3.3899999999999997</v>
      </c>
      <c r="H1285">
        <v>1</v>
      </c>
      <c r="I1285">
        <v>0</v>
      </c>
      <c r="J1285">
        <v>1</v>
      </c>
      <c r="K1285" t="s">
        <v>36</v>
      </c>
      <c r="L1285" t="s">
        <v>49</v>
      </c>
    </row>
    <row r="1286" spans="1:12">
      <c r="A1286" t="s">
        <v>320</v>
      </c>
      <c r="B1286" t="s">
        <v>30</v>
      </c>
      <c r="C1286" t="s">
        <v>80</v>
      </c>
      <c r="D1286">
        <v>5</v>
      </c>
      <c r="E1286">
        <v>1.61</v>
      </c>
      <c r="F1286">
        <v>-3.3899999999999997</v>
      </c>
      <c r="G1286">
        <v>3.3899999999999997</v>
      </c>
      <c r="H1286">
        <v>1</v>
      </c>
      <c r="I1286">
        <v>0</v>
      </c>
      <c r="J1286">
        <v>1</v>
      </c>
      <c r="K1286" t="s">
        <v>36</v>
      </c>
      <c r="L1286" t="s">
        <v>49</v>
      </c>
    </row>
    <row r="1287" spans="1:12">
      <c r="A1287" t="s">
        <v>320</v>
      </c>
      <c r="B1287" t="s">
        <v>30</v>
      </c>
      <c r="C1287" t="s">
        <v>81</v>
      </c>
      <c r="D1287">
        <v>5</v>
      </c>
      <c r="E1287">
        <v>5</v>
      </c>
      <c r="F1287">
        <v>0</v>
      </c>
      <c r="G1287">
        <v>0</v>
      </c>
      <c r="H1287">
        <v>0</v>
      </c>
      <c r="I1287">
        <v>1</v>
      </c>
      <c r="J1287">
        <v>0</v>
      </c>
      <c r="K1287" t="s">
        <v>34</v>
      </c>
      <c r="L1287" t="s">
        <v>49</v>
      </c>
    </row>
    <row r="1288" spans="1:12">
      <c r="A1288" t="s">
        <v>320</v>
      </c>
      <c r="B1288" t="s">
        <v>30</v>
      </c>
      <c r="C1288" t="s">
        <v>82</v>
      </c>
      <c r="D1288">
        <v>5</v>
      </c>
      <c r="E1288">
        <v>5</v>
      </c>
      <c r="F1288">
        <v>0</v>
      </c>
      <c r="G1288">
        <v>0</v>
      </c>
      <c r="H1288">
        <v>0</v>
      </c>
      <c r="I1288">
        <v>1</v>
      </c>
      <c r="J1288">
        <v>0</v>
      </c>
      <c r="K1288" t="s">
        <v>34</v>
      </c>
      <c r="L1288" t="s">
        <v>49</v>
      </c>
    </row>
    <row r="1289" spans="1:12">
      <c r="A1289" t="s">
        <v>320</v>
      </c>
      <c r="B1289" t="s">
        <v>30</v>
      </c>
      <c r="C1289" t="s">
        <v>83</v>
      </c>
      <c r="D1289">
        <v>4</v>
      </c>
      <c r="E1289">
        <v>5</v>
      </c>
      <c r="F1289">
        <v>1</v>
      </c>
      <c r="G1289">
        <v>1</v>
      </c>
      <c r="H1289">
        <v>0</v>
      </c>
      <c r="I1289">
        <v>1</v>
      </c>
      <c r="J1289">
        <v>1</v>
      </c>
      <c r="K1289" t="s">
        <v>37</v>
      </c>
      <c r="L1289" t="s">
        <v>49</v>
      </c>
    </row>
    <row r="1290" spans="1:12">
      <c r="A1290" t="s">
        <v>320</v>
      </c>
      <c r="B1290" t="s">
        <v>30</v>
      </c>
      <c r="C1290" t="s">
        <v>84</v>
      </c>
      <c r="D1290">
        <v>4</v>
      </c>
      <c r="E1290">
        <v>5</v>
      </c>
      <c r="F1290">
        <v>1</v>
      </c>
      <c r="G1290">
        <v>1</v>
      </c>
      <c r="H1290">
        <v>0</v>
      </c>
      <c r="I1290">
        <v>1</v>
      </c>
      <c r="J1290">
        <v>1</v>
      </c>
      <c r="K1290" t="s">
        <v>37</v>
      </c>
      <c r="L1290" t="s">
        <v>49</v>
      </c>
    </row>
    <row r="1291" spans="1:12">
      <c r="A1291" t="s">
        <v>320</v>
      </c>
      <c r="B1291" t="s">
        <v>30</v>
      </c>
      <c r="C1291" t="s">
        <v>85</v>
      </c>
      <c r="D1291">
        <v>4</v>
      </c>
      <c r="E1291">
        <v>5</v>
      </c>
      <c r="F1291">
        <v>1</v>
      </c>
      <c r="G1291">
        <v>1</v>
      </c>
      <c r="H1291">
        <v>0</v>
      </c>
      <c r="I1291">
        <v>1</v>
      </c>
      <c r="J1291">
        <v>1</v>
      </c>
      <c r="K1291" t="s">
        <v>37</v>
      </c>
      <c r="L1291" t="s">
        <v>49</v>
      </c>
    </row>
    <row r="1292" spans="1:12">
      <c r="A1292" t="s">
        <v>320</v>
      </c>
      <c r="B1292" t="s">
        <v>30</v>
      </c>
      <c r="C1292" t="s">
        <v>86</v>
      </c>
      <c r="D1292">
        <v>4</v>
      </c>
      <c r="E1292">
        <v>5</v>
      </c>
      <c r="F1292">
        <v>1</v>
      </c>
      <c r="G1292">
        <v>1</v>
      </c>
      <c r="H1292">
        <v>0</v>
      </c>
      <c r="I1292">
        <v>1</v>
      </c>
      <c r="J1292">
        <v>1</v>
      </c>
      <c r="K1292" t="s">
        <v>37</v>
      </c>
      <c r="L1292" t="s">
        <v>50</v>
      </c>
    </row>
    <row r="1293" spans="1:12">
      <c r="A1293" t="s">
        <v>320</v>
      </c>
      <c r="B1293" t="s">
        <v>30</v>
      </c>
      <c r="C1293" t="s">
        <v>87</v>
      </c>
      <c r="D1293">
        <v>4</v>
      </c>
      <c r="E1293">
        <v>5</v>
      </c>
      <c r="F1293">
        <v>1</v>
      </c>
      <c r="G1293">
        <v>1</v>
      </c>
      <c r="H1293">
        <v>0</v>
      </c>
      <c r="I1293">
        <v>1</v>
      </c>
      <c r="J1293">
        <v>1</v>
      </c>
      <c r="K1293" t="s">
        <v>37</v>
      </c>
      <c r="L1293" t="s">
        <v>50</v>
      </c>
    </row>
    <row r="1294" spans="1:12">
      <c r="A1294" t="s">
        <v>320</v>
      </c>
      <c r="B1294" t="s">
        <v>30</v>
      </c>
      <c r="C1294" t="s">
        <v>88</v>
      </c>
      <c r="D1294">
        <v>3</v>
      </c>
      <c r="E1294">
        <v>5</v>
      </c>
      <c r="F1294">
        <v>2</v>
      </c>
      <c r="G1294">
        <v>2</v>
      </c>
      <c r="H1294">
        <v>0</v>
      </c>
      <c r="I1294">
        <v>1</v>
      </c>
      <c r="J1294">
        <v>1</v>
      </c>
      <c r="K1294" t="s">
        <v>35</v>
      </c>
      <c r="L1294" t="s">
        <v>50</v>
      </c>
    </row>
    <row r="1295" spans="1:12">
      <c r="A1295" t="s">
        <v>320</v>
      </c>
      <c r="B1295" t="s">
        <v>30</v>
      </c>
      <c r="C1295" t="s">
        <v>89</v>
      </c>
      <c r="D1295">
        <v>3</v>
      </c>
      <c r="E1295">
        <v>4.3899999999999997</v>
      </c>
      <c r="F1295">
        <v>1.3899999999999997</v>
      </c>
      <c r="G1295">
        <v>1.3899999999999997</v>
      </c>
      <c r="H1295">
        <v>0</v>
      </c>
      <c r="I1295">
        <v>1</v>
      </c>
      <c r="J1295">
        <v>1</v>
      </c>
      <c r="K1295" t="s">
        <v>37</v>
      </c>
      <c r="L1295" t="s">
        <v>50</v>
      </c>
    </row>
    <row r="1296" spans="1:12">
      <c r="A1296" t="s">
        <v>320</v>
      </c>
      <c r="B1296" t="s">
        <v>30</v>
      </c>
      <c r="C1296" t="s">
        <v>90</v>
      </c>
      <c r="D1296">
        <v>3</v>
      </c>
      <c r="E1296">
        <v>4.3899999999999997</v>
      </c>
      <c r="F1296">
        <v>1.3899999999999997</v>
      </c>
      <c r="G1296">
        <v>1.3899999999999997</v>
      </c>
      <c r="H1296">
        <v>0</v>
      </c>
      <c r="I1296">
        <v>1</v>
      </c>
      <c r="J1296">
        <v>1</v>
      </c>
      <c r="K1296" t="s">
        <v>37</v>
      </c>
      <c r="L1296" t="s">
        <v>50</v>
      </c>
    </row>
    <row r="1297" spans="1:12">
      <c r="A1297" t="s">
        <v>320</v>
      </c>
      <c r="B1297" t="s">
        <v>30</v>
      </c>
      <c r="C1297" t="s">
        <v>91</v>
      </c>
      <c r="D1297">
        <v>3</v>
      </c>
      <c r="E1297">
        <v>4.3899999999999997</v>
      </c>
      <c r="F1297">
        <v>1.3899999999999997</v>
      </c>
      <c r="G1297">
        <v>1.3899999999999997</v>
      </c>
      <c r="H1297">
        <v>0</v>
      </c>
      <c r="I1297">
        <v>1</v>
      </c>
      <c r="J1297">
        <v>1</v>
      </c>
      <c r="K1297" t="s">
        <v>37</v>
      </c>
      <c r="L1297" t="s">
        <v>50</v>
      </c>
    </row>
    <row r="1298" spans="1:12">
      <c r="A1298" t="s">
        <v>320</v>
      </c>
      <c r="B1298" t="s">
        <v>30</v>
      </c>
      <c r="C1298" t="s">
        <v>92</v>
      </c>
      <c r="D1298">
        <v>3</v>
      </c>
      <c r="E1298">
        <v>4.3899999999999997</v>
      </c>
      <c r="F1298">
        <v>1.3899999999999997</v>
      </c>
      <c r="G1298">
        <v>1.3899999999999997</v>
      </c>
      <c r="H1298">
        <v>0</v>
      </c>
      <c r="I1298">
        <v>1</v>
      </c>
      <c r="J1298">
        <v>1</v>
      </c>
      <c r="K1298" t="s">
        <v>37</v>
      </c>
      <c r="L1298" t="s">
        <v>50</v>
      </c>
    </row>
    <row r="1299" spans="1:12">
      <c r="A1299" t="s">
        <v>320</v>
      </c>
      <c r="B1299" t="s">
        <v>30</v>
      </c>
      <c r="C1299" t="s">
        <v>93</v>
      </c>
      <c r="D1299">
        <v>3</v>
      </c>
      <c r="E1299">
        <v>4.3899999999999997</v>
      </c>
      <c r="F1299">
        <v>1.3899999999999997</v>
      </c>
      <c r="G1299">
        <v>1.3899999999999997</v>
      </c>
      <c r="H1299">
        <v>0</v>
      </c>
      <c r="I1299">
        <v>1</v>
      </c>
      <c r="J1299">
        <v>1</v>
      </c>
      <c r="K1299" t="s">
        <v>37</v>
      </c>
      <c r="L1299" t="s">
        <v>50</v>
      </c>
    </row>
    <row r="1300" spans="1:12">
      <c r="A1300" t="s">
        <v>320</v>
      </c>
      <c r="B1300" t="s">
        <v>30</v>
      </c>
      <c r="C1300" t="s">
        <v>94</v>
      </c>
      <c r="D1300">
        <v>2</v>
      </c>
      <c r="E1300">
        <v>4.3899999999999997</v>
      </c>
      <c r="F1300">
        <v>2.3899999999999997</v>
      </c>
      <c r="G1300">
        <v>2.3899999999999997</v>
      </c>
      <c r="H1300">
        <v>0</v>
      </c>
      <c r="I1300">
        <v>1</v>
      </c>
      <c r="J1300">
        <v>1</v>
      </c>
      <c r="K1300" t="s">
        <v>35</v>
      </c>
      <c r="L1300" t="s">
        <v>50</v>
      </c>
    </row>
    <row r="1301" spans="1:12">
      <c r="A1301" t="s">
        <v>320</v>
      </c>
      <c r="B1301" t="s">
        <v>30</v>
      </c>
      <c r="C1301" t="s">
        <v>95</v>
      </c>
      <c r="D1301">
        <v>2</v>
      </c>
      <c r="E1301">
        <v>4.3899999999999997</v>
      </c>
      <c r="F1301">
        <v>2.3899999999999997</v>
      </c>
      <c r="G1301">
        <v>2.3899999999999997</v>
      </c>
      <c r="H1301">
        <v>0</v>
      </c>
      <c r="I1301">
        <v>1</v>
      </c>
      <c r="J1301">
        <v>1</v>
      </c>
      <c r="K1301" t="s">
        <v>35</v>
      </c>
      <c r="L1301" t="s">
        <v>50</v>
      </c>
    </row>
    <row r="1302" spans="1:12">
      <c r="A1302" t="s">
        <v>320</v>
      </c>
      <c r="B1302" t="s">
        <v>30</v>
      </c>
      <c r="C1302" t="s">
        <v>96</v>
      </c>
      <c r="D1302">
        <v>2</v>
      </c>
      <c r="E1302">
        <v>4.3899999999999997</v>
      </c>
      <c r="F1302">
        <v>2.3899999999999997</v>
      </c>
      <c r="G1302">
        <v>2.3899999999999997</v>
      </c>
      <c r="H1302">
        <v>0</v>
      </c>
      <c r="I1302">
        <v>1</v>
      </c>
      <c r="J1302">
        <v>1</v>
      </c>
      <c r="K1302" t="s">
        <v>35</v>
      </c>
      <c r="L1302" t="s">
        <v>40</v>
      </c>
    </row>
    <row r="1303" spans="1:12">
      <c r="A1303" t="s">
        <v>320</v>
      </c>
      <c r="B1303" t="s">
        <v>30</v>
      </c>
      <c r="C1303" t="s">
        <v>31</v>
      </c>
      <c r="D1303">
        <v>2</v>
      </c>
      <c r="E1303">
        <v>4.3899999999999997</v>
      </c>
      <c r="F1303">
        <v>2.3899999999999997</v>
      </c>
      <c r="G1303">
        <v>2.3899999999999997</v>
      </c>
      <c r="H1303">
        <v>0</v>
      </c>
      <c r="I1303">
        <v>1</v>
      </c>
      <c r="J1303">
        <v>1</v>
      </c>
      <c r="K1303" t="s">
        <v>35</v>
      </c>
      <c r="L1303" t="s">
        <v>40</v>
      </c>
    </row>
    <row r="1304" spans="1:12">
      <c r="A1304" t="s">
        <v>320</v>
      </c>
      <c r="B1304" t="s">
        <v>30</v>
      </c>
      <c r="C1304" t="s">
        <v>30</v>
      </c>
      <c r="D1304">
        <v>2</v>
      </c>
      <c r="E1304">
        <v>4.3899999999999997</v>
      </c>
      <c r="F1304">
        <v>2.3899999999999997</v>
      </c>
      <c r="G1304">
        <v>2.3899999999999997</v>
      </c>
      <c r="H1304">
        <v>0</v>
      </c>
      <c r="I1304">
        <v>1</v>
      </c>
      <c r="J1304">
        <v>1</v>
      </c>
      <c r="K1304" t="s">
        <v>35</v>
      </c>
      <c r="L1304" t="s">
        <v>40</v>
      </c>
    </row>
    <row r="1305" spans="1:12">
      <c r="A1305" t="s">
        <v>320</v>
      </c>
      <c r="B1305" t="s">
        <v>30</v>
      </c>
      <c r="C1305" t="s">
        <v>97</v>
      </c>
      <c r="D1305">
        <v>3</v>
      </c>
      <c r="E1305">
        <v>3</v>
      </c>
      <c r="F1305">
        <v>0</v>
      </c>
      <c r="G1305">
        <v>0</v>
      </c>
      <c r="H1305">
        <v>0</v>
      </c>
      <c r="I1305">
        <v>1</v>
      </c>
      <c r="J1305">
        <v>0</v>
      </c>
      <c r="K1305" t="s">
        <v>34</v>
      </c>
      <c r="L1305" t="s">
        <v>40</v>
      </c>
    </row>
    <row r="1306" spans="1:12">
      <c r="A1306" t="s">
        <v>320</v>
      </c>
      <c r="B1306" t="s">
        <v>30</v>
      </c>
      <c r="C1306" t="s">
        <v>98</v>
      </c>
      <c r="D1306">
        <v>3</v>
      </c>
      <c r="E1306">
        <v>3</v>
      </c>
      <c r="F1306">
        <v>0</v>
      </c>
      <c r="G1306">
        <v>0</v>
      </c>
      <c r="H1306">
        <v>0</v>
      </c>
      <c r="I1306">
        <v>1</v>
      </c>
      <c r="J1306">
        <v>0</v>
      </c>
      <c r="K1306" t="s">
        <v>34</v>
      </c>
      <c r="L1306" t="s">
        <v>40</v>
      </c>
    </row>
    <row r="1307" spans="1:12">
      <c r="A1307" t="s">
        <v>320</v>
      </c>
      <c r="B1307" t="s">
        <v>30</v>
      </c>
      <c r="C1307" t="s">
        <v>99</v>
      </c>
      <c r="D1307">
        <v>3</v>
      </c>
      <c r="E1307">
        <v>3</v>
      </c>
      <c r="F1307">
        <v>0</v>
      </c>
      <c r="G1307">
        <v>0</v>
      </c>
      <c r="H1307">
        <v>0</v>
      </c>
      <c r="I1307">
        <v>1</v>
      </c>
      <c r="J1307">
        <v>0</v>
      </c>
      <c r="K1307" t="s">
        <v>34</v>
      </c>
      <c r="L1307" t="s">
        <v>39</v>
      </c>
    </row>
    <row r="1308" spans="1:12">
      <c r="A1308" t="s">
        <v>320</v>
      </c>
      <c r="B1308" t="s">
        <v>30</v>
      </c>
      <c r="C1308" t="s">
        <v>100</v>
      </c>
      <c r="D1308">
        <v>3</v>
      </c>
      <c r="E1308">
        <v>3</v>
      </c>
      <c r="F1308">
        <v>0</v>
      </c>
      <c r="G1308">
        <v>0</v>
      </c>
      <c r="H1308">
        <v>0</v>
      </c>
      <c r="I1308">
        <v>1</v>
      </c>
      <c r="J1308">
        <v>0</v>
      </c>
      <c r="K1308" t="s">
        <v>34</v>
      </c>
      <c r="L1308" t="s">
        <v>39</v>
      </c>
    </row>
    <row r="1309" spans="1:12">
      <c r="A1309" t="s">
        <v>320</v>
      </c>
      <c r="B1309" t="s">
        <v>30</v>
      </c>
      <c r="C1309" t="s">
        <v>101</v>
      </c>
      <c r="D1309">
        <v>2</v>
      </c>
      <c r="E1309">
        <v>3</v>
      </c>
      <c r="F1309">
        <v>1</v>
      </c>
      <c r="G1309">
        <v>1</v>
      </c>
      <c r="H1309">
        <v>0</v>
      </c>
      <c r="I1309">
        <v>1</v>
      </c>
      <c r="J1309">
        <v>1</v>
      </c>
      <c r="K1309" t="s">
        <v>37</v>
      </c>
      <c r="L1309" t="s">
        <v>39</v>
      </c>
    </row>
    <row r="1310" spans="1:12">
      <c r="A1310" t="s">
        <v>320</v>
      </c>
      <c r="B1310" t="s">
        <v>30</v>
      </c>
      <c r="C1310" t="s">
        <v>102</v>
      </c>
      <c r="D1310">
        <v>2</v>
      </c>
      <c r="E1310">
        <v>3</v>
      </c>
      <c r="F1310">
        <v>1</v>
      </c>
      <c r="G1310">
        <v>1</v>
      </c>
      <c r="H1310">
        <v>0</v>
      </c>
      <c r="I1310">
        <v>1</v>
      </c>
      <c r="J1310">
        <v>1</v>
      </c>
      <c r="K1310" t="s">
        <v>37</v>
      </c>
      <c r="L1310" t="s">
        <v>39</v>
      </c>
    </row>
    <row r="1311" spans="1:12">
      <c r="A1311" t="s">
        <v>320</v>
      </c>
      <c r="B1311" t="s">
        <v>30</v>
      </c>
      <c r="C1311" t="s">
        <v>103</v>
      </c>
      <c r="D1311">
        <v>2</v>
      </c>
      <c r="E1311">
        <v>3</v>
      </c>
      <c r="F1311">
        <v>1</v>
      </c>
      <c r="G1311">
        <v>1</v>
      </c>
      <c r="H1311">
        <v>0</v>
      </c>
      <c r="I1311">
        <v>1</v>
      </c>
      <c r="J1311">
        <v>1</v>
      </c>
      <c r="K1311" t="s">
        <v>37</v>
      </c>
      <c r="L1311" t="s">
        <v>39</v>
      </c>
    </row>
    <row r="1312" spans="1:12">
      <c r="A1312" t="s">
        <v>320</v>
      </c>
      <c r="B1312" t="s">
        <v>30</v>
      </c>
      <c r="C1312" t="s">
        <v>104</v>
      </c>
      <c r="D1312">
        <v>2</v>
      </c>
      <c r="E1312">
        <v>3</v>
      </c>
      <c r="F1312">
        <v>1</v>
      </c>
      <c r="G1312">
        <v>1</v>
      </c>
      <c r="H1312">
        <v>0</v>
      </c>
      <c r="I1312">
        <v>1</v>
      </c>
      <c r="J1312">
        <v>1</v>
      </c>
      <c r="K1312" t="s">
        <v>37</v>
      </c>
      <c r="L1312" t="s">
        <v>41</v>
      </c>
    </row>
    <row r="1313" spans="1:12">
      <c r="A1313" t="s">
        <v>320</v>
      </c>
      <c r="B1313" t="s">
        <v>30</v>
      </c>
      <c r="C1313" t="s">
        <v>105</v>
      </c>
      <c r="D1313">
        <v>2</v>
      </c>
      <c r="E1313">
        <v>3</v>
      </c>
      <c r="F1313">
        <v>1</v>
      </c>
      <c r="G1313">
        <v>1</v>
      </c>
      <c r="H1313">
        <v>0</v>
      </c>
      <c r="I1313">
        <v>1</v>
      </c>
      <c r="J1313">
        <v>1</v>
      </c>
      <c r="K1313" t="s">
        <v>37</v>
      </c>
      <c r="L1313" t="s">
        <v>41</v>
      </c>
    </row>
    <row r="1314" spans="1:12">
      <c r="A1314" t="s">
        <v>320</v>
      </c>
      <c r="B1314" t="s">
        <v>30</v>
      </c>
      <c r="C1314" t="s">
        <v>106</v>
      </c>
      <c r="D1314">
        <v>2</v>
      </c>
      <c r="E1314">
        <v>3</v>
      </c>
      <c r="F1314">
        <v>1</v>
      </c>
      <c r="G1314">
        <v>1</v>
      </c>
      <c r="H1314">
        <v>0</v>
      </c>
      <c r="I1314">
        <v>1</v>
      </c>
      <c r="J1314">
        <v>1</v>
      </c>
      <c r="K1314" t="s">
        <v>37</v>
      </c>
      <c r="L1314" t="s">
        <v>41</v>
      </c>
    </row>
    <row r="1315" spans="1:12">
      <c r="A1315" t="s">
        <v>320</v>
      </c>
      <c r="B1315" t="s">
        <v>30</v>
      </c>
      <c r="C1315" t="s">
        <v>107</v>
      </c>
      <c r="D1315">
        <v>2</v>
      </c>
      <c r="E1315">
        <v>3</v>
      </c>
      <c r="F1315">
        <v>1</v>
      </c>
      <c r="G1315">
        <v>1</v>
      </c>
      <c r="H1315">
        <v>0</v>
      </c>
      <c r="I1315">
        <v>1</v>
      </c>
      <c r="J1315">
        <v>1</v>
      </c>
      <c r="K1315" t="s">
        <v>37</v>
      </c>
      <c r="L1315" t="s">
        <v>41</v>
      </c>
    </row>
    <row r="1316" spans="1:12">
      <c r="A1316" t="s">
        <v>320</v>
      </c>
      <c r="B1316" t="s">
        <v>30</v>
      </c>
      <c r="C1316" t="s">
        <v>108</v>
      </c>
      <c r="D1316">
        <v>2</v>
      </c>
      <c r="E1316">
        <v>3</v>
      </c>
      <c r="F1316">
        <v>1</v>
      </c>
      <c r="G1316">
        <v>1</v>
      </c>
      <c r="H1316">
        <v>0</v>
      </c>
      <c r="I1316">
        <v>1</v>
      </c>
      <c r="J1316">
        <v>1</v>
      </c>
      <c r="K1316" t="s">
        <v>37</v>
      </c>
      <c r="L1316" t="s">
        <v>41</v>
      </c>
    </row>
    <row r="1317" spans="1:12">
      <c r="A1317" t="s">
        <v>320</v>
      </c>
      <c r="B1317" t="s">
        <v>30</v>
      </c>
      <c r="C1317" t="s">
        <v>109</v>
      </c>
      <c r="D1317">
        <v>2</v>
      </c>
      <c r="E1317">
        <v>1.61</v>
      </c>
      <c r="F1317">
        <v>-0.3899999999999999</v>
      </c>
      <c r="G1317">
        <v>0.3899999999999999</v>
      </c>
      <c r="H1317">
        <v>0</v>
      </c>
      <c r="I1317">
        <v>1</v>
      </c>
      <c r="J1317">
        <v>0</v>
      </c>
      <c r="K1317" t="s">
        <v>34</v>
      </c>
      <c r="L1317" t="s">
        <v>38</v>
      </c>
    </row>
    <row r="1318" spans="1:12">
      <c r="A1318" t="s">
        <v>320</v>
      </c>
      <c r="B1318" t="s">
        <v>30</v>
      </c>
      <c r="C1318" t="s">
        <v>110</v>
      </c>
      <c r="D1318">
        <v>2</v>
      </c>
      <c r="E1318">
        <v>1.61</v>
      </c>
      <c r="F1318">
        <v>-0.3899999999999999</v>
      </c>
      <c r="G1318">
        <v>0.3899999999999999</v>
      </c>
      <c r="H1318">
        <v>0</v>
      </c>
      <c r="I1318">
        <v>1</v>
      </c>
      <c r="J1318">
        <v>0</v>
      </c>
      <c r="K1318" t="s">
        <v>34</v>
      </c>
      <c r="L1318" t="s">
        <v>38</v>
      </c>
    </row>
    <row r="1319" spans="1:12">
      <c r="A1319" t="s">
        <v>320</v>
      </c>
      <c r="B1319" t="s">
        <v>30</v>
      </c>
      <c r="C1319" t="s">
        <v>111</v>
      </c>
      <c r="D1319">
        <v>2</v>
      </c>
      <c r="E1319">
        <v>1.61</v>
      </c>
      <c r="F1319">
        <v>-0.3899999999999999</v>
      </c>
      <c r="G1319">
        <v>0.3899999999999999</v>
      </c>
      <c r="H1319">
        <v>0</v>
      </c>
      <c r="I1319">
        <v>1</v>
      </c>
      <c r="J1319">
        <v>0</v>
      </c>
      <c r="K1319" t="s">
        <v>34</v>
      </c>
      <c r="L1319" t="s">
        <v>38</v>
      </c>
    </row>
    <row r="1320" spans="1:12">
      <c r="A1320" t="s">
        <v>320</v>
      </c>
      <c r="B1320" t="s">
        <v>30</v>
      </c>
      <c r="C1320" t="s">
        <v>112</v>
      </c>
      <c r="D1320">
        <v>2</v>
      </c>
      <c r="E1320">
        <v>1.61</v>
      </c>
      <c r="F1320">
        <v>-0.3899999999999999</v>
      </c>
      <c r="G1320">
        <v>0.3899999999999999</v>
      </c>
      <c r="H1320">
        <v>0</v>
      </c>
      <c r="I1320">
        <v>1</v>
      </c>
      <c r="J1320">
        <v>0</v>
      </c>
      <c r="K1320" t="s">
        <v>34</v>
      </c>
      <c r="L1320" t="s">
        <v>38</v>
      </c>
    </row>
    <row r="1321" spans="1:12">
      <c r="A1321" t="s">
        <v>320</v>
      </c>
      <c r="B1321" t="s">
        <v>30</v>
      </c>
      <c r="C1321" t="s">
        <v>113</v>
      </c>
      <c r="D1321">
        <v>2</v>
      </c>
      <c r="E1321">
        <v>1.61</v>
      </c>
      <c r="F1321">
        <v>-0.3899999999999999</v>
      </c>
      <c r="G1321">
        <v>0.3899999999999999</v>
      </c>
      <c r="H1321">
        <v>0</v>
      </c>
      <c r="I1321">
        <v>1</v>
      </c>
      <c r="J1321">
        <v>0</v>
      </c>
      <c r="K1321" t="s">
        <v>34</v>
      </c>
      <c r="L1321" t="s">
        <v>38</v>
      </c>
    </row>
    <row r="1322" spans="1:12">
      <c r="A1322" t="s">
        <v>320</v>
      </c>
      <c r="B1322" t="s">
        <v>30</v>
      </c>
      <c r="C1322" t="s">
        <v>114</v>
      </c>
      <c r="D1322">
        <v>2</v>
      </c>
      <c r="E1322">
        <v>1.61</v>
      </c>
      <c r="F1322">
        <v>-0.3899999999999999</v>
      </c>
      <c r="G1322">
        <v>0.3899999999999999</v>
      </c>
      <c r="H1322">
        <v>0</v>
      </c>
      <c r="I1322">
        <v>1</v>
      </c>
      <c r="J1322">
        <v>0</v>
      </c>
      <c r="K1322" t="s">
        <v>34</v>
      </c>
      <c r="L1322" t="s">
        <v>38</v>
      </c>
    </row>
    <row r="1323" spans="1:12">
      <c r="A1323" t="s">
        <v>320</v>
      </c>
      <c r="B1323" t="s">
        <v>30</v>
      </c>
      <c r="C1323" t="s">
        <v>115</v>
      </c>
      <c r="D1323">
        <v>2</v>
      </c>
      <c r="E1323">
        <v>1.61</v>
      </c>
      <c r="F1323">
        <v>-0.3899999999999999</v>
      </c>
      <c r="G1323">
        <v>0.3899999999999999</v>
      </c>
      <c r="H1323">
        <v>0</v>
      </c>
      <c r="I1323">
        <v>1</v>
      </c>
      <c r="J1323">
        <v>0</v>
      </c>
      <c r="K1323" t="s">
        <v>34</v>
      </c>
      <c r="L1323" t="s">
        <v>38</v>
      </c>
    </row>
    <row r="1324" spans="1:12">
      <c r="A1324" t="s">
        <v>320</v>
      </c>
      <c r="B1324" t="s">
        <v>30</v>
      </c>
      <c r="C1324" t="s">
        <v>116</v>
      </c>
      <c r="D1324">
        <v>2</v>
      </c>
      <c r="E1324">
        <v>1.61</v>
      </c>
      <c r="F1324">
        <v>-0.3899999999999999</v>
      </c>
      <c r="G1324">
        <v>0.3899999999999999</v>
      </c>
      <c r="H1324">
        <v>0</v>
      </c>
      <c r="I1324">
        <v>1</v>
      </c>
      <c r="J1324">
        <v>0</v>
      </c>
      <c r="K1324" t="s">
        <v>34</v>
      </c>
      <c r="L1324" t="s">
        <v>38</v>
      </c>
    </row>
    <row r="1325" spans="1:12">
      <c r="A1325" t="s">
        <v>320</v>
      </c>
      <c r="B1325" t="s">
        <v>30</v>
      </c>
      <c r="C1325" t="s">
        <v>117</v>
      </c>
      <c r="D1325">
        <v>2</v>
      </c>
      <c r="E1325">
        <v>1.61</v>
      </c>
      <c r="F1325">
        <v>-0.3899999999999999</v>
      </c>
      <c r="G1325">
        <v>0.3899999999999999</v>
      </c>
      <c r="H1325">
        <v>0</v>
      </c>
      <c r="I1325">
        <v>1</v>
      </c>
      <c r="J1325">
        <v>0</v>
      </c>
      <c r="K1325" t="s">
        <v>34</v>
      </c>
      <c r="L1325" t="s">
        <v>38</v>
      </c>
    </row>
    <row r="1326" spans="1:12">
      <c r="A1326" t="s">
        <v>320</v>
      </c>
      <c r="B1326" t="s">
        <v>30</v>
      </c>
      <c r="C1326" t="s">
        <v>118</v>
      </c>
      <c r="D1326">
        <v>2</v>
      </c>
      <c r="E1326">
        <v>1.61</v>
      </c>
      <c r="F1326">
        <v>-0.3899999999999999</v>
      </c>
      <c r="G1326">
        <v>0.3899999999999999</v>
      </c>
      <c r="H1326">
        <v>0</v>
      </c>
      <c r="I1326">
        <v>1</v>
      </c>
      <c r="J1326">
        <v>0</v>
      </c>
      <c r="K1326" t="s">
        <v>34</v>
      </c>
      <c r="L1326" t="s">
        <v>38</v>
      </c>
    </row>
    <row r="1327" spans="1:12">
      <c r="A1327" t="s">
        <v>320</v>
      </c>
      <c r="B1327" t="s">
        <v>30</v>
      </c>
      <c r="C1327" t="s">
        <v>119</v>
      </c>
      <c r="D1327">
        <v>2</v>
      </c>
      <c r="E1327">
        <v>3</v>
      </c>
      <c r="F1327">
        <v>1</v>
      </c>
      <c r="G1327">
        <v>1</v>
      </c>
      <c r="H1327">
        <v>0</v>
      </c>
      <c r="I1327">
        <v>1</v>
      </c>
      <c r="J1327">
        <v>1</v>
      </c>
      <c r="K1327" t="s">
        <v>37</v>
      </c>
      <c r="L1327" t="s">
        <v>44</v>
      </c>
    </row>
    <row r="1328" spans="1:12">
      <c r="A1328" t="s">
        <v>320</v>
      </c>
      <c r="B1328" t="s">
        <v>30</v>
      </c>
      <c r="C1328" t="s">
        <v>120</v>
      </c>
      <c r="D1328">
        <v>2</v>
      </c>
      <c r="E1328">
        <v>3</v>
      </c>
      <c r="F1328">
        <v>1</v>
      </c>
      <c r="G1328">
        <v>1</v>
      </c>
      <c r="H1328">
        <v>0</v>
      </c>
      <c r="I1328">
        <v>1</v>
      </c>
      <c r="J1328">
        <v>1</v>
      </c>
      <c r="K1328" t="s">
        <v>37</v>
      </c>
      <c r="L1328" t="s">
        <v>44</v>
      </c>
    </row>
    <row r="1329" spans="1:12">
      <c r="A1329" t="s">
        <v>320</v>
      </c>
      <c r="B1329" t="s">
        <v>30</v>
      </c>
      <c r="C1329" t="s">
        <v>121</v>
      </c>
      <c r="D1329">
        <v>2</v>
      </c>
      <c r="E1329">
        <v>3</v>
      </c>
      <c r="F1329">
        <v>1</v>
      </c>
      <c r="G1329">
        <v>1</v>
      </c>
      <c r="H1329">
        <v>0</v>
      </c>
      <c r="I1329">
        <v>1</v>
      </c>
      <c r="J1329">
        <v>1</v>
      </c>
      <c r="K1329" t="s">
        <v>37</v>
      </c>
      <c r="L1329" t="s">
        <v>44</v>
      </c>
    </row>
    <row r="1330" spans="1:12">
      <c r="A1330" t="s">
        <v>320</v>
      </c>
      <c r="B1330" t="s">
        <v>30</v>
      </c>
      <c r="C1330" t="s">
        <v>122</v>
      </c>
      <c r="D1330">
        <v>2</v>
      </c>
      <c r="E1330">
        <v>3</v>
      </c>
      <c r="F1330">
        <v>1</v>
      </c>
      <c r="G1330">
        <v>1</v>
      </c>
      <c r="H1330">
        <v>0</v>
      </c>
      <c r="I1330">
        <v>1</v>
      </c>
      <c r="J1330">
        <v>1</v>
      </c>
      <c r="K1330" t="s">
        <v>37</v>
      </c>
      <c r="L1330" t="s">
        <v>44</v>
      </c>
    </row>
    <row r="1331" spans="1:12">
      <c r="A1331" t="s">
        <v>320</v>
      </c>
      <c r="B1331" t="s">
        <v>30</v>
      </c>
      <c r="C1331" t="s">
        <v>123</v>
      </c>
      <c r="D1331">
        <v>2</v>
      </c>
      <c r="E1331">
        <v>2.92</v>
      </c>
      <c r="F1331">
        <v>0.91999999999999993</v>
      </c>
      <c r="G1331">
        <v>0.91999999999999993</v>
      </c>
      <c r="H1331">
        <v>0</v>
      </c>
      <c r="I1331">
        <v>1</v>
      </c>
      <c r="J1331">
        <v>0</v>
      </c>
      <c r="K1331" t="s">
        <v>34</v>
      </c>
      <c r="L1331" t="s">
        <v>44</v>
      </c>
    </row>
    <row r="1332" spans="1:12">
      <c r="A1332" t="s">
        <v>320</v>
      </c>
      <c r="B1332" t="s">
        <v>30</v>
      </c>
      <c r="C1332" t="s">
        <v>124</v>
      </c>
      <c r="D1332">
        <v>2</v>
      </c>
      <c r="E1332">
        <v>2.92</v>
      </c>
      <c r="F1332">
        <v>0.91999999999999993</v>
      </c>
      <c r="G1332">
        <v>0.91999999999999993</v>
      </c>
      <c r="H1332">
        <v>0</v>
      </c>
      <c r="I1332">
        <v>1</v>
      </c>
      <c r="J1332">
        <v>0</v>
      </c>
      <c r="K1332" t="s">
        <v>34</v>
      </c>
      <c r="L1332" t="s">
        <v>45</v>
      </c>
    </row>
    <row r="1333" spans="1:12">
      <c r="A1333" t="s">
        <v>320</v>
      </c>
      <c r="B1333" t="s">
        <v>30</v>
      </c>
      <c r="C1333" t="s">
        <v>125</v>
      </c>
      <c r="D1333">
        <v>2</v>
      </c>
      <c r="E1333">
        <v>2.92</v>
      </c>
      <c r="F1333">
        <v>0.91999999999999993</v>
      </c>
      <c r="G1333">
        <v>0.91999999999999993</v>
      </c>
      <c r="H1333">
        <v>0</v>
      </c>
      <c r="I1333">
        <v>1</v>
      </c>
      <c r="J1333">
        <v>0</v>
      </c>
      <c r="K1333" t="s">
        <v>34</v>
      </c>
      <c r="L1333" t="s">
        <v>45</v>
      </c>
    </row>
    <row r="1334" spans="1:12">
      <c r="A1334" t="s">
        <v>320</v>
      </c>
      <c r="B1334" t="s">
        <v>30</v>
      </c>
      <c r="C1334" t="s">
        <v>126</v>
      </c>
      <c r="D1334">
        <v>2</v>
      </c>
      <c r="E1334">
        <v>2.92</v>
      </c>
      <c r="F1334">
        <v>0.91999999999999993</v>
      </c>
      <c r="G1334">
        <v>0.91999999999999993</v>
      </c>
      <c r="H1334">
        <v>0</v>
      </c>
      <c r="I1334">
        <v>1</v>
      </c>
      <c r="J1334">
        <v>0</v>
      </c>
      <c r="K1334" t="s">
        <v>34</v>
      </c>
      <c r="L1334" t="s">
        <v>45</v>
      </c>
    </row>
    <row r="1335" spans="1:12">
      <c r="A1335" t="s">
        <v>320</v>
      </c>
      <c r="B1335" t="s">
        <v>30</v>
      </c>
      <c r="C1335" t="s">
        <v>127</v>
      </c>
      <c r="D1335">
        <v>2</v>
      </c>
      <c r="E1335">
        <v>2</v>
      </c>
      <c r="F1335">
        <v>0</v>
      </c>
      <c r="G1335">
        <v>0</v>
      </c>
      <c r="H1335">
        <v>0</v>
      </c>
      <c r="I1335">
        <v>1</v>
      </c>
      <c r="J1335">
        <v>0</v>
      </c>
      <c r="K1335" t="s">
        <v>34</v>
      </c>
      <c r="L1335" t="s">
        <v>45</v>
      </c>
    </row>
    <row r="1336" spans="1:12">
      <c r="A1336" t="s">
        <v>320</v>
      </c>
      <c r="B1336" t="s">
        <v>30</v>
      </c>
      <c r="C1336" t="s">
        <v>128</v>
      </c>
      <c r="D1336">
        <v>2</v>
      </c>
      <c r="E1336">
        <v>2</v>
      </c>
      <c r="F1336">
        <v>0</v>
      </c>
      <c r="G1336">
        <v>0</v>
      </c>
      <c r="H1336">
        <v>0</v>
      </c>
      <c r="I1336">
        <v>1</v>
      </c>
      <c r="J1336">
        <v>0</v>
      </c>
      <c r="K1336" t="s">
        <v>34</v>
      </c>
      <c r="L1336" t="s">
        <v>45</v>
      </c>
    </row>
    <row r="1337" spans="1:12">
      <c r="A1337" t="s">
        <v>320</v>
      </c>
      <c r="B1337" t="s">
        <v>30</v>
      </c>
      <c r="C1337" t="s">
        <v>129</v>
      </c>
      <c r="D1337">
        <v>2</v>
      </c>
      <c r="E1337">
        <v>2</v>
      </c>
      <c r="F1337">
        <v>0</v>
      </c>
      <c r="G1337">
        <v>0</v>
      </c>
      <c r="H1337">
        <v>0</v>
      </c>
      <c r="I1337">
        <v>1</v>
      </c>
      <c r="J1337">
        <v>0</v>
      </c>
      <c r="K1337" t="s">
        <v>34</v>
      </c>
      <c r="L1337" t="s">
        <v>46</v>
      </c>
    </row>
    <row r="1338" spans="1:12">
      <c r="A1338" t="s">
        <v>320</v>
      </c>
      <c r="B1338" t="s">
        <v>30</v>
      </c>
      <c r="C1338" t="s">
        <v>130</v>
      </c>
      <c r="D1338">
        <v>2</v>
      </c>
      <c r="E1338">
        <v>2</v>
      </c>
      <c r="F1338">
        <v>0</v>
      </c>
      <c r="G1338">
        <v>0</v>
      </c>
      <c r="H1338">
        <v>0</v>
      </c>
      <c r="I1338">
        <v>1</v>
      </c>
      <c r="J1338">
        <v>0</v>
      </c>
      <c r="K1338" t="s">
        <v>34</v>
      </c>
      <c r="L1338" t="s">
        <v>46</v>
      </c>
    </row>
    <row r="1339" spans="1:12">
      <c r="A1339" t="s">
        <v>320</v>
      </c>
      <c r="B1339" t="s">
        <v>30</v>
      </c>
      <c r="C1339" t="s">
        <v>131</v>
      </c>
      <c r="D1339">
        <v>2</v>
      </c>
      <c r="E1339">
        <v>1.61</v>
      </c>
      <c r="F1339">
        <v>-0.3899999999999999</v>
      </c>
      <c r="G1339">
        <v>0.3899999999999999</v>
      </c>
      <c r="H1339">
        <v>0</v>
      </c>
      <c r="I1339">
        <v>1</v>
      </c>
      <c r="J1339">
        <v>0</v>
      </c>
      <c r="K1339" t="s">
        <v>34</v>
      </c>
      <c r="L1339" t="s">
        <v>46</v>
      </c>
    </row>
    <row r="1340" spans="1:12">
      <c r="A1340" t="s">
        <v>320</v>
      </c>
      <c r="B1340" t="s">
        <v>30</v>
      </c>
      <c r="C1340" t="s">
        <v>132</v>
      </c>
      <c r="D1340">
        <v>2</v>
      </c>
      <c r="E1340">
        <v>1.61</v>
      </c>
      <c r="F1340">
        <v>-0.3899999999999999</v>
      </c>
      <c r="G1340">
        <v>0.3899999999999999</v>
      </c>
      <c r="H1340">
        <v>0</v>
      </c>
      <c r="I1340">
        <v>1</v>
      </c>
      <c r="J1340">
        <v>0</v>
      </c>
      <c r="K1340" t="s">
        <v>34</v>
      </c>
      <c r="L1340" t="s">
        <v>46</v>
      </c>
    </row>
    <row r="1341" spans="1:12">
      <c r="A1341" t="s">
        <v>320</v>
      </c>
      <c r="B1341" t="s">
        <v>30</v>
      </c>
      <c r="C1341" t="s">
        <v>133</v>
      </c>
      <c r="D1341">
        <v>2</v>
      </c>
      <c r="E1341">
        <v>1.61</v>
      </c>
      <c r="F1341">
        <v>-0.3899999999999999</v>
      </c>
      <c r="G1341">
        <v>0.3899999999999999</v>
      </c>
      <c r="H1341">
        <v>0</v>
      </c>
      <c r="I1341">
        <v>1</v>
      </c>
      <c r="J1341">
        <v>0</v>
      </c>
      <c r="K1341" t="s">
        <v>34</v>
      </c>
      <c r="L1341" t="s">
        <v>46</v>
      </c>
    </row>
    <row r="1342" spans="1:12">
      <c r="A1342" t="s">
        <v>320</v>
      </c>
      <c r="B1342" t="s">
        <v>30</v>
      </c>
      <c r="C1342" t="s">
        <v>134</v>
      </c>
      <c r="D1342">
        <v>2</v>
      </c>
      <c r="E1342">
        <v>1.61</v>
      </c>
      <c r="F1342">
        <v>-0.3899999999999999</v>
      </c>
      <c r="G1342">
        <v>0.3899999999999999</v>
      </c>
      <c r="H1342">
        <v>0</v>
      </c>
      <c r="I1342">
        <v>1</v>
      </c>
      <c r="J1342">
        <v>0</v>
      </c>
      <c r="K1342" t="s">
        <v>34</v>
      </c>
      <c r="L1342" t="s">
        <v>47</v>
      </c>
    </row>
    <row r="1343" spans="1:12">
      <c r="A1343" t="s">
        <v>320</v>
      </c>
      <c r="B1343" t="s">
        <v>30</v>
      </c>
      <c r="C1343" t="s">
        <v>135</v>
      </c>
      <c r="D1343">
        <v>2</v>
      </c>
      <c r="E1343">
        <v>1.61</v>
      </c>
      <c r="F1343">
        <v>-0.3899999999999999</v>
      </c>
      <c r="G1343">
        <v>0.3899999999999999</v>
      </c>
      <c r="H1343">
        <v>0</v>
      </c>
      <c r="I1343">
        <v>1</v>
      </c>
      <c r="J1343">
        <v>0</v>
      </c>
      <c r="K1343" t="s">
        <v>34</v>
      </c>
      <c r="L1343" t="s">
        <v>47</v>
      </c>
    </row>
    <row r="1344" spans="1:12">
      <c r="A1344" t="s">
        <v>320</v>
      </c>
      <c r="B1344" t="s">
        <v>30</v>
      </c>
      <c r="C1344" t="s">
        <v>136</v>
      </c>
      <c r="D1344">
        <v>2</v>
      </c>
      <c r="E1344">
        <v>1.61</v>
      </c>
      <c r="F1344">
        <v>-0.3899999999999999</v>
      </c>
      <c r="G1344">
        <v>0.3899999999999999</v>
      </c>
      <c r="H1344">
        <v>0</v>
      </c>
      <c r="I1344">
        <v>1</v>
      </c>
      <c r="J1344">
        <v>0</v>
      </c>
      <c r="K1344" t="s">
        <v>34</v>
      </c>
      <c r="L1344" t="s">
        <v>47</v>
      </c>
    </row>
    <row r="1345" spans="1:12">
      <c r="A1345" t="s">
        <v>320</v>
      </c>
      <c r="B1345" t="s">
        <v>30</v>
      </c>
      <c r="C1345" t="s">
        <v>137</v>
      </c>
      <c r="D1345">
        <v>2</v>
      </c>
      <c r="E1345">
        <v>1.61</v>
      </c>
      <c r="F1345">
        <v>-0.3899999999999999</v>
      </c>
      <c r="G1345">
        <v>0.3899999999999999</v>
      </c>
      <c r="H1345">
        <v>0</v>
      </c>
      <c r="I1345">
        <v>1</v>
      </c>
      <c r="J1345">
        <v>0</v>
      </c>
      <c r="K1345" t="s">
        <v>34</v>
      </c>
      <c r="L1345" t="s">
        <v>47</v>
      </c>
    </row>
    <row r="1346" spans="1:12">
      <c r="A1346" t="s">
        <v>320</v>
      </c>
      <c r="B1346" t="s">
        <v>30</v>
      </c>
      <c r="C1346" t="s">
        <v>138</v>
      </c>
      <c r="D1346">
        <v>2</v>
      </c>
      <c r="E1346">
        <v>1.61</v>
      </c>
      <c r="F1346">
        <v>-0.3899999999999999</v>
      </c>
      <c r="G1346">
        <v>0.3899999999999999</v>
      </c>
      <c r="H1346">
        <v>0</v>
      </c>
      <c r="I1346">
        <v>1</v>
      </c>
      <c r="J1346">
        <v>0</v>
      </c>
      <c r="K1346" t="s">
        <v>34</v>
      </c>
      <c r="L1346" t="s">
        <v>47</v>
      </c>
    </row>
    <row r="1347" spans="1:12">
      <c r="A1347" t="s">
        <v>320</v>
      </c>
      <c r="B1347" t="s">
        <v>30</v>
      </c>
      <c r="C1347" t="s">
        <v>139</v>
      </c>
      <c r="D1347">
        <v>2</v>
      </c>
      <c r="E1347">
        <v>1.61</v>
      </c>
      <c r="F1347">
        <v>-0.3899999999999999</v>
      </c>
      <c r="G1347">
        <v>0.3899999999999999</v>
      </c>
      <c r="H1347">
        <v>0</v>
      </c>
      <c r="I1347">
        <v>1</v>
      </c>
      <c r="J1347">
        <v>0</v>
      </c>
      <c r="K1347" t="s">
        <v>34</v>
      </c>
      <c r="L1347" t="s">
        <v>42</v>
      </c>
    </row>
    <row r="1348" spans="1:12">
      <c r="A1348" t="s">
        <v>320</v>
      </c>
      <c r="B1348" t="s">
        <v>30</v>
      </c>
      <c r="C1348" t="s">
        <v>140</v>
      </c>
      <c r="D1348">
        <v>2</v>
      </c>
      <c r="E1348">
        <v>1.61</v>
      </c>
      <c r="F1348">
        <v>-0.3899999999999999</v>
      </c>
      <c r="G1348">
        <v>0.3899999999999999</v>
      </c>
      <c r="H1348">
        <v>0</v>
      </c>
      <c r="I1348">
        <v>1</v>
      </c>
      <c r="J1348">
        <v>0</v>
      </c>
      <c r="K1348" t="s">
        <v>34</v>
      </c>
      <c r="L1348" t="s">
        <v>42</v>
      </c>
    </row>
    <row r="1349" spans="1:12">
      <c r="A1349" t="s">
        <v>320</v>
      </c>
      <c r="B1349" t="s">
        <v>30</v>
      </c>
      <c r="C1349" t="s">
        <v>141</v>
      </c>
      <c r="D1349">
        <v>2</v>
      </c>
      <c r="E1349">
        <v>1.61</v>
      </c>
      <c r="F1349">
        <v>-0.3899999999999999</v>
      </c>
      <c r="G1349">
        <v>0.3899999999999999</v>
      </c>
      <c r="H1349">
        <v>0</v>
      </c>
      <c r="I1349">
        <v>1</v>
      </c>
      <c r="J1349">
        <v>0</v>
      </c>
      <c r="K1349" t="s">
        <v>34</v>
      </c>
      <c r="L1349" t="s">
        <v>42</v>
      </c>
    </row>
    <row r="1350" spans="1:12">
      <c r="A1350" t="s">
        <v>320</v>
      </c>
      <c r="B1350" t="s">
        <v>30</v>
      </c>
      <c r="C1350" t="s">
        <v>142</v>
      </c>
      <c r="D1350">
        <v>2</v>
      </c>
      <c r="E1350">
        <v>1.61</v>
      </c>
      <c r="F1350">
        <v>-0.3899999999999999</v>
      </c>
      <c r="G1350">
        <v>0.3899999999999999</v>
      </c>
      <c r="H1350">
        <v>0</v>
      </c>
      <c r="I1350">
        <v>1</v>
      </c>
      <c r="J1350">
        <v>0</v>
      </c>
      <c r="K1350" t="s">
        <v>34</v>
      </c>
      <c r="L1350" t="s">
        <v>42</v>
      </c>
    </row>
    <row r="1351" spans="1:12">
      <c r="A1351" t="s">
        <v>320</v>
      </c>
      <c r="B1351" t="s">
        <v>30</v>
      </c>
      <c r="C1351" t="s">
        <v>143</v>
      </c>
      <c r="D1351">
        <v>2</v>
      </c>
      <c r="E1351">
        <v>1.61</v>
      </c>
      <c r="F1351">
        <v>-0.3899999999999999</v>
      </c>
      <c r="G1351">
        <v>0.3899999999999999</v>
      </c>
      <c r="H1351">
        <v>0</v>
      </c>
      <c r="I1351">
        <v>1</v>
      </c>
      <c r="J1351">
        <v>0</v>
      </c>
      <c r="K1351" t="s">
        <v>34</v>
      </c>
      <c r="L1351" t="s">
        <v>42</v>
      </c>
    </row>
    <row r="1352" spans="1:12">
      <c r="A1352" t="s">
        <v>320</v>
      </c>
      <c r="B1352" t="s">
        <v>30</v>
      </c>
      <c r="C1352" t="s">
        <v>144</v>
      </c>
      <c r="D1352">
        <v>2</v>
      </c>
      <c r="E1352">
        <v>1.61</v>
      </c>
      <c r="F1352">
        <v>-0.3899999999999999</v>
      </c>
      <c r="G1352">
        <v>0.3899999999999999</v>
      </c>
      <c r="H1352">
        <v>0</v>
      </c>
      <c r="I1352">
        <v>1</v>
      </c>
      <c r="J1352">
        <v>0</v>
      </c>
      <c r="K1352" t="s">
        <v>34</v>
      </c>
      <c r="L1352" t="s">
        <v>43</v>
      </c>
    </row>
    <row r="1353" spans="1:12">
      <c r="A1353" t="s">
        <v>320</v>
      </c>
      <c r="B1353" t="s">
        <v>30</v>
      </c>
      <c r="C1353" t="s">
        <v>145</v>
      </c>
      <c r="D1353">
        <v>2</v>
      </c>
      <c r="E1353">
        <v>1.61</v>
      </c>
      <c r="F1353">
        <v>-0.3899999999999999</v>
      </c>
      <c r="G1353">
        <v>0.3899999999999999</v>
      </c>
      <c r="H1353">
        <v>0</v>
      </c>
      <c r="I1353">
        <v>1</v>
      </c>
      <c r="J1353">
        <v>0</v>
      </c>
      <c r="K1353" t="s">
        <v>34</v>
      </c>
      <c r="L1353" t="s">
        <v>43</v>
      </c>
    </row>
    <row r="1354" spans="1:12">
      <c r="A1354" t="s">
        <v>320</v>
      </c>
      <c r="B1354" t="s">
        <v>30</v>
      </c>
      <c r="C1354" t="s">
        <v>146</v>
      </c>
      <c r="D1354">
        <v>2</v>
      </c>
      <c r="E1354">
        <v>1.61</v>
      </c>
      <c r="F1354">
        <v>-0.3899999999999999</v>
      </c>
      <c r="G1354">
        <v>0.3899999999999999</v>
      </c>
      <c r="H1354">
        <v>0</v>
      </c>
      <c r="I1354">
        <v>1</v>
      </c>
      <c r="J1354">
        <v>0</v>
      </c>
      <c r="K1354" t="s">
        <v>34</v>
      </c>
      <c r="L1354" t="s">
        <v>43</v>
      </c>
    </row>
    <row r="1355" spans="1:12">
      <c r="A1355" t="s">
        <v>320</v>
      </c>
      <c r="B1355" t="s">
        <v>30</v>
      </c>
      <c r="C1355" t="s">
        <v>147</v>
      </c>
      <c r="D1355">
        <v>2</v>
      </c>
      <c r="E1355">
        <v>1.61</v>
      </c>
      <c r="F1355">
        <v>-0.3899999999999999</v>
      </c>
      <c r="G1355">
        <v>0.3899999999999999</v>
      </c>
      <c r="H1355">
        <v>0</v>
      </c>
      <c r="I1355">
        <v>1</v>
      </c>
      <c r="J1355">
        <v>0</v>
      </c>
      <c r="K1355" t="s">
        <v>34</v>
      </c>
      <c r="L1355" t="s">
        <v>43</v>
      </c>
    </row>
    <row r="1356" spans="1:12">
      <c r="A1356" t="s">
        <v>320</v>
      </c>
      <c r="B1356" t="s">
        <v>30</v>
      </c>
      <c r="C1356" t="s">
        <v>148</v>
      </c>
      <c r="D1356">
        <v>2</v>
      </c>
      <c r="E1356">
        <v>1.61</v>
      </c>
      <c r="F1356">
        <v>-0.3899999999999999</v>
      </c>
      <c r="G1356">
        <v>0.3899999999999999</v>
      </c>
      <c r="H1356">
        <v>0</v>
      </c>
      <c r="I1356">
        <v>1</v>
      </c>
      <c r="J1356">
        <v>0</v>
      </c>
      <c r="K1356" t="s">
        <v>34</v>
      </c>
      <c r="L1356" t="s">
        <v>43</v>
      </c>
    </row>
    <row r="1357" spans="1:12">
      <c r="A1357" t="s">
        <v>320</v>
      </c>
      <c r="B1357" t="s">
        <v>30</v>
      </c>
      <c r="C1357" t="s">
        <v>149</v>
      </c>
      <c r="D1357">
        <v>2</v>
      </c>
      <c r="E1357">
        <v>1.61</v>
      </c>
      <c r="F1357">
        <v>-0.3899999999999999</v>
      </c>
      <c r="G1357">
        <v>0.3899999999999999</v>
      </c>
      <c r="H1357">
        <v>0</v>
      </c>
      <c r="I1357">
        <v>1</v>
      </c>
      <c r="J1357">
        <v>0</v>
      </c>
      <c r="K1357" t="s">
        <v>34</v>
      </c>
      <c r="L1357" t="s">
        <v>48</v>
      </c>
    </row>
    <row r="1358" spans="1:12">
      <c r="A1358" t="s">
        <v>320</v>
      </c>
      <c r="B1358" t="s">
        <v>30</v>
      </c>
      <c r="C1358" t="s">
        <v>150</v>
      </c>
      <c r="D1358">
        <v>2</v>
      </c>
      <c r="E1358">
        <v>1.61</v>
      </c>
      <c r="F1358">
        <v>-0.3899999999999999</v>
      </c>
      <c r="G1358">
        <v>0.3899999999999999</v>
      </c>
      <c r="H1358">
        <v>0</v>
      </c>
      <c r="I1358">
        <v>1</v>
      </c>
      <c r="J1358">
        <v>0</v>
      </c>
      <c r="K1358" t="s">
        <v>34</v>
      </c>
      <c r="L1358" t="s">
        <v>48</v>
      </c>
    </row>
    <row r="1359" spans="1:12">
      <c r="A1359" t="s">
        <v>320</v>
      </c>
      <c r="B1359" t="s">
        <v>30</v>
      </c>
      <c r="C1359" t="s">
        <v>151</v>
      </c>
      <c r="D1359">
        <v>2</v>
      </c>
      <c r="E1359">
        <v>1.61</v>
      </c>
      <c r="F1359">
        <v>-0.3899999999999999</v>
      </c>
      <c r="G1359">
        <v>0.3899999999999999</v>
      </c>
      <c r="H1359">
        <v>0</v>
      </c>
      <c r="I1359">
        <v>1</v>
      </c>
      <c r="J1359">
        <v>0</v>
      </c>
      <c r="K1359" t="s">
        <v>34</v>
      </c>
      <c r="L1359" t="s">
        <v>48</v>
      </c>
    </row>
    <row r="1360" spans="1:12">
      <c r="A1360" t="s">
        <v>320</v>
      </c>
      <c r="B1360" t="s">
        <v>30</v>
      </c>
      <c r="C1360" t="s">
        <v>152</v>
      </c>
      <c r="D1360">
        <v>2</v>
      </c>
      <c r="E1360">
        <v>1.61</v>
      </c>
      <c r="F1360">
        <v>-0.3899999999999999</v>
      </c>
      <c r="G1360">
        <v>0.3899999999999999</v>
      </c>
      <c r="H1360">
        <v>0</v>
      </c>
      <c r="I1360">
        <v>1</v>
      </c>
      <c r="J1360">
        <v>0</v>
      </c>
      <c r="K1360" t="s">
        <v>34</v>
      </c>
      <c r="L1360" t="s">
        <v>48</v>
      </c>
    </row>
    <row r="1361" spans="1:12">
      <c r="A1361" t="s">
        <v>320</v>
      </c>
      <c r="B1361" t="s">
        <v>30</v>
      </c>
      <c r="C1361" t="s">
        <v>153</v>
      </c>
      <c r="D1361">
        <v>2</v>
      </c>
      <c r="E1361">
        <v>1.61</v>
      </c>
      <c r="F1361">
        <v>-0.3899999999999999</v>
      </c>
      <c r="G1361">
        <v>0.3899999999999999</v>
      </c>
      <c r="H1361">
        <v>0</v>
      </c>
      <c r="I1361">
        <v>1</v>
      </c>
      <c r="J1361">
        <v>0</v>
      </c>
      <c r="K1361" t="s">
        <v>34</v>
      </c>
      <c r="L1361" t="s">
        <v>48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315F63EF384D54585C6D2F2EC0C6E86" ma:contentTypeVersion="3" ma:contentTypeDescription="Create a new document." ma:contentTypeScope="" ma:versionID="47037cd8174d472a812ac7748047da14">
  <xsd:schema xmlns:xsd="http://www.w3.org/2001/XMLSchema" xmlns:xs="http://www.w3.org/2001/XMLSchema" xmlns:p="http://schemas.microsoft.com/office/2006/metadata/properties" xmlns:ns2="034a8c02-6e41-439a-a9ee-37b25cccfe9d" targetNamespace="http://schemas.microsoft.com/office/2006/metadata/properties" ma:root="true" ma:fieldsID="460b21a4d457de0e3e9a2c2fec64c8dc" ns2:_="">
    <xsd:import namespace="034a8c02-6e41-439a-a9ee-37b25cccfe9d"/>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4a8c02-6e41-439a-a9ee-37b25cccfe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0C8F1B8-09CF-4B08-8849-192FBA7D3A4E}"/>
</file>

<file path=customXml/itemProps2.xml><?xml version="1.0" encoding="utf-8"?>
<ds:datastoreItem xmlns:ds="http://schemas.openxmlformats.org/officeDocument/2006/customXml" ds:itemID="{9790ECF1-F395-4CF7-9F4A-52767D4C86D8}"/>
</file>

<file path=customXml/itemProps3.xml><?xml version="1.0" encoding="utf-8"?>
<ds:datastoreItem xmlns:ds="http://schemas.openxmlformats.org/officeDocument/2006/customXml" ds:itemID="{DD98A06C-CE04-48CD-99D9-13E2FDDC2347}"/>
</file>

<file path=customXml/itemProps4.xml><?xml version="1.0" encoding="utf-8"?>
<ds:datastoreItem xmlns:ds="http://schemas.openxmlformats.org/officeDocument/2006/customXml" ds:itemID="{8348603E-5B69-4CCF-9756-AF670F31ABC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Truwayne Gordon</dc:creator>
  <cp:keywords/>
  <dc:description/>
  <cp:lastModifiedBy>Truwayne Gordon</cp:lastModifiedBy>
  <cp:revision/>
  <dcterms:created xsi:type="dcterms:W3CDTF">2025-07-29T05:50:06Z</dcterms:created>
  <dcterms:modified xsi:type="dcterms:W3CDTF">2026-06-19T13:03:34Z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0x0101008315F63EF384D54585C6D2F2EC0C6E86</vt:lpwstr>
  </property>
</Properties>
</file>